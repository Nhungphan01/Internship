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admin\OneDrive\Documents\Internship program\Internship in Germany\"/>
    </mc:Choice>
  </mc:AlternateContent>
  <xr:revisionPtr revIDLastSave="0" documentId="13_ncr:1_{5D79BE70-A25E-4E2E-A897-FC36E45AB58A}" xr6:coauthVersionLast="47" xr6:coauthVersionMax="47" xr10:uidLastSave="{00000000-0000-0000-0000-000000000000}"/>
  <bookViews>
    <workbookView xWindow="-120" yWindow="-120" windowWidth="20730" windowHeight="11160" activeTab="8" xr2:uid="{00000000-000D-0000-FFFF-FFFF00000000}"/>
  </bookViews>
  <sheets>
    <sheet name="Summary" sheetId="1" r:id="rId1"/>
    <sheet name="DATA" sheetId="2" r:id="rId2"/>
    <sheet name="ASSUMPTION" sheetId="3" r:id="rId3"/>
    <sheet name="DCF" sheetId="7" r:id="rId4"/>
    <sheet name="Financial Ratios" sheetId="4" r:id="rId5"/>
    <sheet name="M- Scores" sheetId="5" r:id="rId6"/>
    <sheet name="SALE" sheetId="6" r:id="rId7"/>
    <sheet name="IS" sheetId="8" r:id="rId8"/>
    <sheet name="BS" sheetId="9" r:id="rId9"/>
    <sheet name="CF" sheetId="10" r:id="rId10"/>
    <sheet name="FI&amp;FE" sheetId="11" r:id="rId11"/>
    <sheet name="CAPEX" sheetId="12" r:id="rId12"/>
    <sheet name="NWC" sheetId="13" r:id="rId13"/>
    <sheet name="EQUITY" sheetId="14" r:id="rId14"/>
    <sheet name="Multiple" sheetId="15" r:id="rId15"/>
    <sheet name="Beta" sheetId="16" r:id="rId16"/>
    <sheet name="Sheet1" sheetId="17" r:id="rId17"/>
  </sheets>
  <calcPr calcId="191029"/>
</workbook>
</file>

<file path=xl/calcChain.xml><?xml version="1.0" encoding="utf-8"?>
<calcChain xmlns="http://schemas.openxmlformats.org/spreadsheetml/2006/main">
  <c r="H5" i="1" l="1"/>
  <c r="G5" i="1"/>
  <c r="F5" i="1"/>
  <c r="H4" i="1"/>
  <c r="G4" i="1"/>
  <c r="F4" i="1"/>
  <c r="H3" i="1"/>
  <c r="G3" i="1"/>
  <c r="F3" i="1"/>
  <c r="H2" i="1"/>
  <c r="G2" i="1"/>
  <c r="E252" i="16"/>
  <c r="D252" i="16"/>
  <c r="E251" i="16"/>
  <c r="D251" i="16"/>
  <c r="E250" i="16"/>
  <c r="D250" i="16"/>
  <c r="E249" i="16"/>
  <c r="D249" i="16"/>
  <c r="E248" i="16"/>
  <c r="D248" i="16"/>
  <c r="E247" i="16"/>
  <c r="D247" i="16"/>
  <c r="E246" i="16"/>
  <c r="D246" i="16"/>
  <c r="E245" i="16"/>
  <c r="D245" i="16"/>
  <c r="E244" i="16"/>
  <c r="D244" i="16"/>
  <c r="E243" i="16"/>
  <c r="D243" i="16"/>
  <c r="E242" i="16"/>
  <c r="D242" i="16"/>
  <c r="E241" i="16"/>
  <c r="D241" i="16"/>
  <c r="E240" i="16"/>
  <c r="D240" i="16"/>
  <c r="E239" i="16"/>
  <c r="D239" i="16"/>
  <c r="E238" i="16"/>
  <c r="D238" i="16"/>
  <c r="E237" i="16"/>
  <c r="D237" i="16"/>
  <c r="E236" i="16"/>
  <c r="D236" i="16"/>
  <c r="E235" i="16"/>
  <c r="D235" i="16"/>
  <c r="E234" i="16"/>
  <c r="D234" i="16"/>
  <c r="E233" i="16"/>
  <c r="D233" i="16"/>
  <c r="E232" i="16"/>
  <c r="D232" i="16"/>
  <c r="E231" i="16"/>
  <c r="D231" i="16"/>
  <c r="E230" i="16"/>
  <c r="D230" i="16"/>
  <c r="E229" i="16"/>
  <c r="D229" i="16"/>
  <c r="E228" i="16"/>
  <c r="D228" i="16"/>
  <c r="E227" i="16"/>
  <c r="D227" i="16"/>
  <c r="E226" i="16"/>
  <c r="D226" i="16"/>
  <c r="E225" i="16"/>
  <c r="D225" i="16"/>
  <c r="E224" i="16"/>
  <c r="D224" i="16"/>
  <c r="E223" i="16"/>
  <c r="D223" i="16"/>
  <c r="E222" i="16"/>
  <c r="D222" i="16"/>
  <c r="E221" i="16"/>
  <c r="D221" i="16"/>
  <c r="E220" i="16"/>
  <c r="D220" i="16"/>
  <c r="E219" i="16"/>
  <c r="D219" i="16"/>
  <c r="E218" i="16"/>
  <c r="D218" i="16"/>
  <c r="E217" i="16"/>
  <c r="D217" i="16"/>
  <c r="E216" i="16"/>
  <c r="D216" i="16"/>
  <c r="E215" i="16"/>
  <c r="D215" i="16"/>
  <c r="E214" i="16"/>
  <c r="D214" i="16"/>
  <c r="E213" i="16"/>
  <c r="D213" i="16"/>
  <c r="E212" i="16"/>
  <c r="D212" i="16"/>
  <c r="E211" i="16"/>
  <c r="D211" i="16"/>
  <c r="E210" i="16"/>
  <c r="D210" i="16"/>
  <c r="E209" i="16"/>
  <c r="D209" i="16"/>
  <c r="E208" i="16"/>
  <c r="D208" i="16"/>
  <c r="E207" i="16"/>
  <c r="D207" i="16"/>
  <c r="E206" i="16"/>
  <c r="D206" i="16"/>
  <c r="E205" i="16"/>
  <c r="D205" i="16"/>
  <c r="E204" i="16"/>
  <c r="D204" i="16"/>
  <c r="E203" i="16"/>
  <c r="D203" i="16"/>
  <c r="E202" i="16"/>
  <c r="D202" i="16"/>
  <c r="E201" i="16"/>
  <c r="D201" i="16"/>
  <c r="E200" i="16"/>
  <c r="D200" i="16"/>
  <c r="E199" i="16"/>
  <c r="D199" i="16"/>
  <c r="E198" i="16"/>
  <c r="D198" i="16"/>
  <c r="E197" i="16"/>
  <c r="D197" i="16"/>
  <c r="E196" i="16"/>
  <c r="D196" i="16"/>
  <c r="E195" i="16"/>
  <c r="D195" i="16"/>
  <c r="E194" i="16"/>
  <c r="D194" i="16"/>
  <c r="E193" i="16"/>
  <c r="D193" i="16"/>
  <c r="E192" i="16"/>
  <c r="D192" i="16"/>
  <c r="E191" i="16"/>
  <c r="D191" i="16"/>
  <c r="E190" i="16"/>
  <c r="D190" i="16"/>
  <c r="E189" i="16"/>
  <c r="D189" i="16"/>
  <c r="E188" i="16"/>
  <c r="D188" i="16"/>
  <c r="E187" i="16"/>
  <c r="D187" i="16"/>
  <c r="E186" i="16"/>
  <c r="D186" i="16"/>
  <c r="E185" i="16"/>
  <c r="D185" i="16"/>
  <c r="E184" i="16"/>
  <c r="D184" i="16"/>
  <c r="E183" i="16"/>
  <c r="D183" i="16"/>
  <c r="E182" i="16"/>
  <c r="D182" i="16"/>
  <c r="E181" i="16"/>
  <c r="D181" i="16"/>
  <c r="E180" i="16"/>
  <c r="D180" i="16"/>
  <c r="E179" i="16"/>
  <c r="D179" i="16"/>
  <c r="E178" i="16"/>
  <c r="D178" i="16"/>
  <c r="E177" i="16"/>
  <c r="D177" i="16"/>
  <c r="E176" i="16"/>
  <c r="D176" i="16"/>
  <c r="E175" i="16"/>
  <c r="D175" i="16"/>
  <c r="E174" i="16"/>
  <c r="D174" i="16"/>
  <c r="E173" i="16"/>
  <c r="D173" i="16"/>
  <c r="E172" i="16"/>
  <c r="D172" i="16"/>
  <c r="E171" i="16"/>
  <c r="D171" i="16"/>
  <c r="E170" i="16"/>
  <c r="D170" i="16"/>
  <c r="E169" i="16"/>
  <c r="D169" i="16"/>
  <c r="E168" i="16"/>
  <c r="D168" i="16"/>
  <c r="E167" i="16"/>
  <c r="D167" i="16"/>
  <c r="E166" i="16"/>
  <c r="D166" i="16"/>
  <c r="E165" i="16"/>
  <c r="D165" i="16"/>
  <c r="E164" i="16"/>
  <c r="D164" i="16"/>
  <c r="E163" i="16"/>
  <c r="D163" i="16"/>
  <c r="E162" i="16"/>
  <c r="D162" i="16"/>
  <c r="E161" i="16"/>
  <c r="D161" i="16"/>
  <c r="E160" i="16"/>
  <c r="D160" i="16"/>
  <c r="E159" i="16"/>
  <c r="D159" i="16"/>
  <c r="E158" i="16"/>
  <c r="D158" i="16"/>
  <c r="E157" i="16"/>
  <c r="D157" i="16"/>
  <c r="E156" i="16"/>
  <c r="D156" i="16"/>
  <c r="E155" i="16"/>
  <c r="D155" i="16"/>
  <c r="E154" i="16"/>
  <c r="D154" i="16"/>
  <c r="E153" i="16"/>
  <c r="D153" i="16"/>
  <c r="E152" i="16"/>
  <c r="D152" i="16"/>
  <c r="E151" i="16"/>
  <c r="D151" i="16"/>
  <c r="E150" i="16"/>
  <c r="D150" i="16"/>
  <c r="E149" i="16"/>
  <c r="D149" i="16"/>
  <c r="E148" i="16"/>
  <c r="D148" i="16"/>
  <c r="E147" i="16"/>
  <c r="D147" i="16"/>
  <c r="E146" i="16"/>
  <c r="D146" i="16"/>
  <c r="E145" i="16"/>
  <c r="D145" i="16"/>
  <c r="E144" i="16"/>
  <c r="D144" i="16"/>
  <c r="E143" i="16"/>
  <c r="D143" i="16"/>
  <c r="E142" i="16"/>
  <c r="D142" i="16"/>
  <c r="E141" i="16"/>
  <c r="D141" i="16"/>
  <c r="E140" i="16"/>
  <c r="D140" i="16"/>
  <c r="E139" i="16"/>
  <c r="D139" i="16"/>
  <c r="E138" i="16"/>
  <c r="D138" i="16"/>
  <c r="E137" i="16"/>
  <c r="D137" i="16"/>
  <c r="E136" i="16"/>
  <c r="D136" i="16"/>
  <c r="E135" i="16"/>
  <c r="D135" i="16"/>
  <c r="E134" i="16"/>
  <c r="D134" i="16"/>
  <c r="E133" i="16"/>
  <c r="D133" i="16"/>
  <c r="E132" i="16"/>
  <c r="D132" i="16"/>
  <c r="E131" i="16"/>
  <c r="D131" i="16"/>
  <c r="E130" i="16"/>
  <c r="D130" i="16"/>
  <c r="E129" i="16"/>
  <c r="D129" i="16"/>
  <c r="E128" i="16"/>
  <c r="D128" i="16"/>
  <c r="E127" i="16"/>
  <c r="D127" i="16"/>
  <c r="E126" i="16"/>
  <c r="D126" i="16"/>
  <c r="E125" i="16"/>
  <c r="D125" i="16"/>
  <c r="E124" i="16"/>
  <c r="D124" i="16"/>
  <c r="E123" i="16"/>
  <c r="D123" i="16"/>
  <c r="E122" i="16"/>
  <c r="D122" i="16"/>
  <c r="E121" i="16"/>
  <c r="D121" i="16"/>
  <c r="E120" i="16"/>
  <c r="D120" i="16"/>
  <c r="E119" i="16"/>
  <c r="D119" i="16"/>
  <c r="E118" i="16"/>
  <c r="D118" i="16"/>
  <c r="E117" i="16"/>
  <c r="D117" i="16"/>
  <c r="E116" i="16"/>
  <c r="D116" i="16"/>
  <c r="E115" i="16"/>
  <c r="D115" i="16"/>
  <c r="E114" i="16"/>
  <c r="D114" i="16"/>
  <c r="E113" i="16"/>
  <c r="D113" i="16"/>
  <c r="E112" i="16"/>
  <c r="D112" i="16"/>
  <c r="E111" i="16"/>
  <c r="D111" i="16"/>
  <c r="E110" i="16"/>
  <c r="D110" i="16"/>
  <c r="E109" i="16"/>
  <c r="D109" i="16"/>
  <c r="E108" i="16"/>
  <c r="D108" i="16"/>
  <c r="E107" i="16"/>
  <c r="D107" i="16"/>
  <c r="E106" i="16"/>
  <c r="D106" i="16"/>
  <c r="E105" i="16"/>
  <c r="D105" i="16"/>
  <c r="E104" i="16"/>
  <c r="D104" i="16"/>
  <c r="E103" i="16"/>
  <c r="D103" i="16"/>
  <c r="E102" i="16"/>
  <c r="D102" i="16"/>
  <c r="E101" i="16"/>
  <c r="D101" i="16"/>
  <c r="E100" i="16"/>
  <c r="D100" i="16"/>
  <c r="E99" i="16"/>
  <c r="D99" i="16"/>
  <c r="E98" i="16"/>
  <c r="D98" i="16"/>
  <c r="E97" i="16"/>
  <c r="D97" i="16"/>
  <c r="E96" i="16"/>
  <c r="D96" i="16"/>
  <c r="E95" i="16"/>
  <c r="D95" i="16"/>
  <c r="E94" i="16"/>
  <c r="D94" i="16"/>
  <c r="E93" i="16"/>
  <c r="D93" i="16"/>
  <c r="E92" i="16"/>
  <c r="D92" i="16"/>
  <c r="E91" i="16"/>
  <c r="D91" i="16"/>
  <c r="E90" i="16"/>
  <c r="D90" i="16"/>
  <c r="E89" i="16"/>
  <c r="D89" i="16"/>
  <c r="E88" i="16"/>
  <c r="D88" i="16"/>
  <c r="E87" i="16"/>
  <c r="D87" i="16"/>
  <c r="E86" i="16"/>
  <c r="D86" i="16"/>
  <c r="E85" i="16"/>
  <c r="D85" i="16"/>
  <c r="E84" i="16"/>
  <c r="D84" i="16"/>
  <c r="E83" i="16"/>
  <c r="D83" i="16"/>
  <c r="E82" i="16"/>
  <c r="D82" i="16"/>
  <c r="E81" i="16"/>
  <c r="D81" i="16"/>
  <c r="E80" i="16"/>
  <c r="D80" i="16"/>
  <c r="E79" i="16"/>
  <c r="D79" i="16"/>
  <c r="E78" i="16"/>
  <c r="D78" i="16"/>
  <c r="E77" i="16"/>
  <c r="D77" i="16"/>
  <c r="E76" i="16"/>
  <c r="D76" i="16"/>
  <c r="E75" i="16"/>
  <c r="D75" i="16"/>
  <c r="E74" i="16"/>
  <c r="D74" i="16"/>
  <c r="E73" i="16"/>
  <c r="D73" i="16"/>
  <c r="E72" i="16"/>
  <c r="D72" i="16"/>
  <c r="E71" i="16"/>
  <c r="D71" i="16"/>
  <c r="E70" i="16"/>
  <c r="D70" i="16"/>
  <c r="E69" i="16"/>
  <c r="D69" i="16"/>
  <c r="E68" i="16"/>
  <c r="D68" i="16"/>
  <c r="E67" i="16"/>
  <c r="D67" i="16"/>
  <c r="E66" i="16"/>
  <c r="D66" i="16"/>
  <c r="E65" i="16"/>
  <c r="D65" i="16"/>
  <c r="E64" i="16"/>
  <c r="D64" i="16"/>
  <c r="E63" i="16"/>
  <c r="D63" i="16"/>
  <c r="E62" i="16"/>
  <c r="D62" i="16"/>
  <c r="E61" i="16"/>
  <c r="D61" i="16"/>
  <c r="E60" i="16"/>
  <c r="D60" i="16"/>
  <c r="E59" i="16"/>
  <c r="D59" i="16"/>
  <c r="E58" i="16"/>
  <c r="D58" i="16"/>
  <c r="E57" i="16"/>
  <c r="D57" i="16"/>
  <c r="E56" i="16"/>
  <c r="D56" i="16"/>
  <c r="E55" i="16"/>
  <c r="D55" i="16"/>
  <c r="E54" i="16"/>
  <c r="D54" i="16"/>
  <c r="E53" i="16"/>
  <c r="D53" i="16"/>
  <c r="E52" i="16"/>
  <c r="D52" i="16"/>
  <c r="E51" i="16"/>
  <c r="D51" i="16"/>
  <c r="E50" i="16"/>
  <c r="D50" i="16"/>
  <c r="E49" i="16"/>
  <c r="D49" i="16"/>
  <c r="E48" i="16"/>
  <c r="D48" i="16"/>
  <c r="E47" i="16"/>
  <c r="D47" i="16"/>
  <c r="E46" i="16"/>
  <c r="D46" i="16"/>
  <c r="E45" i="16"/>
  <c r="D45" i="16"/>
  <c r="E44" i="16"/>
  <c r="D44" i="16"/>
  <c r="E43" i="16"/>
  <c r="D43" i="16"/>
  <c r="E42" i="16"/>
  <c r="D42" i="16"/>
  <c r="E41" i="16"/>
  <c r="D41" i="16"/>
  <c r="E40" i="16"/>
  <c r="D40" i="16"/>
  <c r="E39" i="16"/>
  <c r="D39" i="16"/>
  <c r="E38" i="16"/>
  <c r="D38" i="16"/>
  <c r="E37" i="16"/>
  <c r="D37" i="16"/>
  <c r="E36" i="16"/>
  <c r="D36" i="16"/>
  <c r="E35" i="16"/>
  <c r="D35" i="16"/>
  <c r="E34" i="16"/>
  <c r="D34" i="16"/>
  <c r="E33" i="16"/>
  <c r="D33" i="16"/>
  <c r="E32" i="16"/>
  <c r="D32" i="16"/>
  <c r="E31" i="16"/>
  <c r="D31" i="16"/>
  <c r="E30" i="16"/>
  <c r="D30" i="16"/>
  <c r="E29" i="16"/>
  <c r="D29" i="16"/>
  <c r="E28" i="16"/>
  <c r="D28" i="16"/>
  <c r="E27" i="16"/>
  <c r="D27" i="16"/>
  <c r="E26" i="16"/>
  <c r="D26" i="16"/>
  <c r="E25" i="16"/>
  <c r="D25" i="16"/>
  <c r="E24" i="16"/>
  <c r="D24" i="16"/>
  <c r="E23" i="16"/>
  <c r="D23" i="16"/>
  <c r="E22" i="16"/>
  <c r="D22" i="16"/>
  <c r="E21" i="16"/>
  <c r="D21" i="16"/>
  <c r="E20" i="16"/>
  <c r="D20" i="16"/>
  <c r="E19" i="16"/>
  <c r="D19" i="16"/>
  <c r="E18" i="16"/>
  <c r="D18" i="16"/>
  <c r="E17" i="16"/>
  <c r="D17" i="16"/>
  <c r="E16" i="16"/>
  <c r="D16" i="16"/>
  <c r="E15" i="16"/>
  <c r="D15" i="16"/>
  <c r="E14" i="16"/>
  <c r="D14" i="16"/>
  <c r="E13" i="16"/>
  <c r="D13" i="16"/>
  <c r="E12" i="16"/>
  <c r="D12" i="16"/>
  <c r="E11" i="16"/>
  <c r="D11" i="16"/>
  <c r="E10" i="16"/>
  <c r="D10" i="16"/>
  <c r="E9" i="16"/>
  <c r="D9" i="16"/>
  <c r="E8" i="16"/>
  <c r="D8" i="16"/>
  <c r="E7" i="16"/>
  <c r="D7" i="16"/>
  <c r="I6" i="16"/>
  <c r="E6" i="16"/>
  <c r="D6" i="16"/>
  <c r="I5" i="16" s="1"/>
  <c r="E5" i="16"/>
  <c r="D5" i="16"/>
  <c r="O37" i="15"/>
  <c r="O40" i="15" s="1"/>
  <c r="N37" i="15"/>
  <c r="N40" i="15" s="1"/>
  <c r="M37" i="15"/>
  <c r="M40" i="15" s="1"/>
  <c r="L37" i="15"/>
  <c r="L40" i="15" s="1"/>
  <c r="K37" i="15"/>
  <c r="K40" i="15" s="1"/>
  <c r="G37" i="15"/>
  <c r="G38" i="15" s="1"/>
  <c r="F37" i="15"/>
  <c r="F38" i="15" s="1"/>
  <c r="E37" i="15"/>
  <c r="E38" i="15" s="1"/>
  <c r="J36" i="15"/>
  <c r="J35" i="15"/>
  <c r="J34" i="15"/>
  <c r="J33" i="15"/>
  <c r="J32" i="15"/>
  <c r="J37" i="15" s="1"/>
  <c r="M24" i="15"/>
  <c r="F23" i="15"/>
  <c r="O21" i="15"/>
  <c r="O24" i="15" s="1"/>
  <c r="N21" i="15"/>
  <c r="N24" i="15" s="1"/>
  <c r="M21" i="15"/>
  <c r="L21" i="15"/>
  <c r="L24" i="15" s="1"/>
  <c r="K21" i="15"/>
  <c r="K24" i="15" s="1"/>
  <c r="H21" i="15"/>
  <c r="G21" i="15"/>
  <c r="R20" i="15" s="1"/>
  <c r="R17" i="15" s="1"/>
  <c r="R21" i="15" s="1"/>
  <c r="G23" i="15" s="1"/>
  <c r="F21" i="15"/>
  <c r="F22" i="15" s="1"/>
  <c r="E21" i="15"/>
  <c r="J20" i="15"/>
  <c r="J19" i="15"/>
  <c r="J18" i="15"/>
  <c r="J17" i="15"/>
  <c r="P11" i="15"/>
  <c r="F10" i="15"/>
  <c r="R9" i="15"/>
  <c r="R24" i="15" s="1"/>
  <c r="R8" i="15"/>
  <c r="R10" i="15" s="1"/>
  <c r="P8" i="15"/>
  <c r="O8" i="15"/>
  <c r="O11" i="15" s="1"/>
  <c r="N8" i="15"/>
  <c r="N11" i="15" s="1"/>
  <c r="M8" i="15"/>
  <c r="M11" i="15" s="1"/>
  <c r="L8" i="15"/>
  <c r="L11" i="15" s="1"/>
  <c r="H8" i="15"/>
  <c r="H9" i="15" s="1"/>
  <c r="G8" i="15"/>
  <c r="F8" i="15"/>
  <c r="F9" i="15" s="1"/>
  <c r="E8" i="15"/>
  <c r="K7" i="15"/>
  <c r="K6" i="15"/>
  <c r="K5" i="15"/>
  <c r="K4" i="15"/>
  <c r="K3" i="15"/>
  <c r="F61" i="14"/>
  <c r="F48" i="14"/>
  <c r="C48" i="14"/>
  <c r="F45" i="14"/>
  <c r="E45" i="14"/>
  <c r="D45" i="14"/>
  <c r="C45" i="14"/>
  <c r="B45" i="14"/>
  <c r="B53" i="14" s="1"/>
  <c r="C44" i="14" s="1"/>
  <c r="B40" i="14"/>
  <c r="C38" i="14" s="1"/>
  <c r="C40" i="14" s="1"/>
  <c r="D38" i="14" s="1"/>
  <c r="D40" i="14" s="1"/>
  <c r="E38" i="14" s="1"/>
  <c r="E40" i="14" s="1"/>
  <c r="F38" i="14" s="1"/>
  <c r="F40" i="14" s="1"/>
  <c r="B36" i="14"/>
  <c r="C32" i="14" s="1"/>
  <c r="C36" i="14" s="1"/>
  <c r="D32" i="14" s="1"/>
  <c r="D36" i="14" s="1"/>
  <c r="E32" i="14" s="1"/>
  <c r="E36" i="14" s="1"/>
  <c r="F32" i="14" s="1"/>
  <c r="F36" i="14" s="1"/>
  <c r="G32" i="14" s="1"/>
  <c r="G36" i="14" s="1"/>
  <c r="B22" i="14"/>
  <c r="C15" i="14" s="1"/>
  <c r="C22" i="14" s="1"/>
  <c r="D15" i="14" s="1"/>
  <c r="D22" i="14" s="1"/>
  <c r="E15" i="14" s="1"/>
  <c r="E22" i="14" s="1"/>
  <c r="F15" i="14" s="1"/>
  <c r="F22" i="14" s="1"/>
  <c r="G15" i="14" s="1"/>
  <c r="F21" i="14"/>
  <c r="F49" i="14" s="1"/>
  <c r="C19" i="14"/>
  <c r="F9" i="14"/>
  <c r="F62" i="14" s="1"/>
  <c r="G60" i="14" s="1"/>
  <c r="E9" i="14"/>
  <c r="E62" i="14" s="1"/>
  <c r="F60" i="14" s="1"/>
  <c r="D9" i="14"/>
  <c r="D62" i="14" s="1"/>
  <c r="C9" i="14"/>
  <c r="C62" i="14" s="1"/>
  <c r="B9" i="14"/>
  <c r="B62" i="14" s="1"/>
  <c r="F8" i="14"/>
  <c r="E8" i="14"/>
  <c r="D8" i="14"/>
  <c r="D53" i="14" s="1"/>
  <c r="E44" i="14" s="1"/>
  <c r="C8" i="14"/>
  <c r="B8" i="14"/>
  <c r="F7" i="14"/>
  <c r="E7" i="14"/>
  <c r="D7" i="14"/>
  <c r="C7" i="14"/>
  <c r="B7" i="14"/>
  <c r="F6" i="14"/>
  <c r="E6" i="14"/>
  <c r="D6" i="14"/>
  <c r="C6" i="14"/>
  <c r="B6" i="14"/>
  <c r="K5" i="14"/>
  <c r="J5" i="14"/>
  <c r="I5" i="14"/>
  <c r="H5" i="14"/>
  <c r="G5" i="14"/>
  <c r="F5" i="14"/>
  <c r="E5" i="14"/>
  <c r="D5" i="14"/>
  <c r="C5" i="14"/>
  <c r="B5" i="14"/>
  <c r="B56" i="14" s="1"/>
  <c r="B58" i="14" s="1"/>
  <c r="C56" i="14" s="1"/>
  <c r="C58" i="14" s="1"/>
  <c r="D56" i="14" s="1"/>
  <c r="D58" i="14" s="1"/>
  <c r="E56" i="14" s="1"/>
  <c r="F4" i="14"/>
  <c r="E4" i="14"/>
  <c r="D4" i="14"/>
  <c r="C4" i="14"/>
  <c r="B4" i="14"/>
  <c r="B26" i="14" s="1"/>
  <c r="B28" i="14" s="1"/>
  <c r="C26" i="14" s="1"/>
  <c r="C28" i="14" s="1"/>
  <c r="D26" i="14" s="1"/>
  <c r="D28" i="14" s="1"/>
  <c r="E26" i="14" s="1"/>
  <c r="E28" i="14" s="1"/>
  <c r="F26" i="14" s="1"/>
  <c r="F28" i="14" s="1"/>
  <c r="G26" i="14" s="1"/>
  <c r="G28" i="14" s="1"/>
  <c r="F3" i="14"/>
  <c r="E3" i="14"/>
  <c r="D3" i="14"/>
  <c r="C3" i="14"/>
  <c r="B3" i="14"/>
  <c r="F38" i="13"/>
  <c r="E38" i="13"/>
  <c r="D38" i="13"/>
  <c r="C38" i="13"/>
  <c r="F37" i="13"/>
  <c r="G35" i="13" s="1"/>
  <c r="E37" i="13"/>
  <c r="F35" i="13" s="1"/>
  <c r="F36" i="13" s="1"/>
  <c r="D37" i="13"/>
  <c r="C37" i="13"/>
  <c r="B37" i="13"/>
  <c r="C35" i="13"/>
  <c r="F31" i="13"/>
  <c r="F32" i="13" s="1"/>
  <c r="E31" i="13"/>
  <c r="E32" i="13" s="1"/>
  <c r="D31" i="13"/>
  <c r="D32" i="13" s="1"/>
  <c r="C31" i="13"/>
  <c r="C32" i="13" s="1"/>
  <c r="B31" i="13"/>
  <c r="B32" i="13" s="1"/>
  <c r="F29" i="13"/>
  <c r="E29" i="13"/>
  <c r="D29" i="13"/>
  <c r="C29" i="13"/>
  <c r="B29" i="13"/>
  <c r="F27" i="13"/>
  <c r="F28" i="13" s="1"/>
  <c r="E27" i="13"/>
  <c r="E28" i="13" s="1"/>
  <c r="D27" i="13"/>
  <c r="D28" i="13" s="1"/>
  <c r="C27" i="13"/>
  <c r="C28" i="13" s="1"/>
  <c r="B27" i="13"/>
  <c r="B28" i="13" s="1"/>
  <c r="G26" i="13"/>
  <c r="F25" i="13"/>
  <c r="F26" i="13" s="1"/>
  <c r="E25" i="13"/>
  <c r="E26" i="13" s="1"/>
  <c r="D25" i="13"/>
  <c r="D26" i="13" s="1"/>
  <c r="C25" i="13"/>
  <c r="C26" i="13" s="1"/>
  <c r="B25" i="13"/>
  <c r="B26" i="13" s="1"/>
  <c r="K24" i="13"/>
  <c r="J24" i="13"/>
  <c r="I24" i="13"/>
  <c r="H24" i="13"/>
  <c r="G24" i="13"/>
  <c r="F23" i="13"/>
  <c r="F24" i="13" s="1"/>
  <c r="E23" i="13"/>
  <c r="E24" i="13" s="1"/>
  <c r="D23" i="13"/>
  <c r="D24" i="13" s="1"/>
  <c r="C23" i="13"/>
  <c r="C24" i="13" s="1"/>
  <c r="B23" i="13"/>
  <c r="B24" i="13" s="1"/>
  <c r="F21" i="13"/>
  <c r="F22" i="13" s="1"/>
  <c r="G22" i="13" s="1"/>
  <c r="E21" i="13"/>
  <c r="E22" i="13" s="1"/>
  <c r="D21" i="13"/>
  <c r="D22" i="13" s="1"/>
  <c r="C21" i="13"/>
  <c r="C22" i="13" s="1"/>
  <c r="B21" i="13"/>
  <c r="B22" i="13" s="1"/>
  <c r="G20" i="13"/>
  <c r="F19" i="13"/>
  <c r="E19" i="13"/>
  <c r="D19" i="13"/>
  <c r="C19" i="13"/>
  <c r="B19" i="13"/>
  <c r="F15" i="13"/>
  <c r="F16" i="13" s="1"/>
  <c r="G16" i="13" s="1"/>
  <c r="E15" i="13"/>
  <c r="E16" i="13" s="1"/>
  <c r="D15" i="13"/>
  <c r="D16" i="13" s="1"/>
  <c r="C15" i="13"/>
  <c r="C16" i="13" s="1"/>
  <c r="B15" i="13"/>
  <c r="B16" i="13" s="1"/>
  <c r="F13" i="13"/>
  <c r="F14" i="13" s="1"/>
  <c r="E13" i="13"/>
  <c r="E14" i="13" s="1"/>
  <c r="D13" i="13"/>
  <c r="D14" i="13" s="1"/>
  <c r="C13" i="13"/>
  <c r="C14" i="13" s="1"/>
  <c r="B13" i="13"/>
  <c r="B14" i="13" s="1"/>
  <c r="F11" i="13"/>
  <c r="F12" i="13" s="1"/>
  <c r="G12" i="13" s="1"/>
  <c r="E11" i="13"/>
  <c r="E12" i="13" s="1"/>
  <c r="D11" i="13"/>
  <c r="D12" i="13" s="1"/>
  <c r="C11" i="13"/>
  <c r="C12" i="13" s="1"/>
  <c r="B11" i="13"/>
  <c r="B12" i="13" s="1"/>
  <c r="K10" i="13"/>
  <c r="J10" i="13"/>
  <c r="I10" i="13"/>
  <c r="H10" i="13"/>
  <c r="G10" i="13"/>
  <c r="F9" i="13"/>
  <c r="E9" i="13"/>
  <c r="D9" i="13"/>
  <c r="C9" i="13"/>
  <c r="B9" i="13"/>
  <c r="K8" i="13"/>
  <c r="J8" i="13"/>
  <c r="I8" i="13"/>
  <c r="H8" i="13"/>
  <c r="G7" i="13"/>
  <c r="G8" i="13" s="1"/>
  <c r="F6" i="13"/>
  <c r="E6" i="13"/>
  <c r="E10" i="13" s="1"/>
  <c r="D6" i="13"/>
  <c r="C6" i="13"/>
  <c r="B6" i="13"/>
  <c r="F4" i="13"/>
  <c r="E4" i="13"/>
  <c r="D4" i="13"/>
  <c r="C4" i="13"/>
  <c r="B4" i="13"/>
  <c r="F92" i="12"/>
  <c r="G89" i="12" s="1"/>
  <c r="E92" i="12"/>
  <c r="F89" i="12" s="1"/>
  <c r="D92" i="12"/>
  <c r="E89" i="12" s="1"/>
  <c r="C92" i="12"/>
  <c r="D89" i="12" s="1"/>
  <c r="B92" i="12"/>
  <c r="C89" i="12" s="1"/>
  <c r="B91" i="12"/>
  <c r="K81" i="12"/>
  <c r="K82" i="12" s="1"/>
  <c r="K72" i="12" s="1"/>
  <c r="G77" i="12"/>
  <c r="G82" i="12" s="1"/>
  <c r="G72" i="12" s="1"/>
  <c r="F76" i="12"/>
  <c r="F75" i="12"/>
  <c r="I79" i="12" s="1"/>
  <c r="I82" i="12" s="1"/>
  <c r="I72" i="12" s="1"/>
  <c r="G71" i="12"/>
  <c r="F68" i="12"/>
  <c r="F86" i="12" s="1"/>
  <c r="G85" i="12" s="1"/>
  <c r="C62" i="12"/>
  <c r="D61" i="12" s="1"/>
  <c r="G61" i="12"/>
  <c r="F61" i="12"/>
  <c r="E61" i="12"/>
  <c r="J52" i="12"/>
  <c r="I52" i="12"/>
  <c r="H52" i="12"/>
  <c r="G52" i="12"/>
  <c r="F52" i="12"/>
  <c r="F58" i="12" s="1"/>
  <c r="F51" i="12"/>
  <c r="B48" i="12"/>
  <c r="C46" i="12" s="1"/>
  <c r="C48" i="12" s="1"/>
  <c r="D46" i="12" s="1"/>
  <c r="D48" i="12" s="1"/>
  <c r="E46" i="12" s="1"/>
  <c r="E48" i="12" s="1"/>
  <c r="F46" i="12" s="1"/>
  <c r="F48" i="12" s="1"/>
  <c r="G46" i="12" s="1"/>
  <c r="B43" i="12"/>
  <c r="C41" i="12" s="1"/>
  <c r="C43" i="12" s="1"/>
  <c r="D41" i="12" s="1"/>
  <c r="D43" i="12" s="1"/>
  <c r="E41" i="12" s="1"/>
  <c r="E43" i="12" s="1"/>
  <c r="F41" i="12" s="1"/>
  <c r="F43" i="12" s="1"/>
  <c r="G41" i="12" s="1"/>
  <c r="G43" i="12" s="1"/>
  <c r="G42" i="12"/>
  <c r="F38" i="12"/>
  <c r="E38" i="12"/>
  <c r="D38" i="12"/>
  <c r="C38" i="12"/>
  <c r="B38" i="12"/>
  <c r="F37" i="12"/>
  <c r="G37" i="12" s="1"/>
  <c r="H43" i="9" s="1"/>
  <c r="E37" i="12"/>
  <c r="D37" i="12"/>
  <c r="C37" i="12"/>
  <c r="B37" i="12"/>
  <c r="F24" i="12"/>
  <c r="F23" i="12"/>
  <c r="B20" i="12"/>
  <c r="C15" i="12"/>
  <c r="B13" i="12"/>
  <c r="B34" i="12" s="1"/>
  <c r="C33" i="12" s="1"/>
  <c r="C7" i="12"/>
  <c r="C13" i="12" s="1"/>
  <c r="F4" i="12"/>
  <c r="E4" i="12"/>
  <c r="D4" i="12"/>
  <c r="C4" i="12"/>
  <c r="C20" i="12" s="1"/>
  <c r="D15" i="12" s="1"/>
  <c r="D20" i="12" s="1"/>
  <c r="E15" i="12" s="1"/>
  <c r="E20" i="12" s="1"/>
  <c r="F15" i="12" s="1"/>
  <c r="F20" i="12" s="1"/>
  <c r="G15" i="12" s="1"/>
  <c r="B4" i="12"/>
  <c r="F3" i="12"/>
  <c r="E3" i="12"/>
  <c r="D3" i="12"/>
  <c r="C3" i="12"/>
  <c r="B3" i="12"/>
  <c r="K17" i="11"/>
  <c r="J17" i="11"/>
  <c r="I17" i="11"/>
  <c r="H17" i="11"/>
  <c r="G17" i="11"/>
  <c r="F17" i="11"/>
  <c r="E17" i="11"/>
  <c r="D17" i="11"/>
  <c r="C17" i="11"/>
  <c r="B17" i="11"/>
  <c r="F13" i="11"/>
  <c r="F15" i="11" s="1"/>
  <c r="E13" i="11"/>
  <c r="E15" i="11" s="1"/>
  <c r="D13" i="11"/>
  <c r="D15" i="11" s="1"/>
  <c r="C13" i="11"/>
  <c r="C15" i="11" s="1"/>
  <c r="B10" i="11"/>
  <c r="C6" i="11" s="1"/>
  <c r="C10" i="11" s="1"/>
  <c r="D6" i="11" s="1"/>
  <c r="D10" i="11" s="1"/>
  <c r="E6" i="11" s="1"/>
  <c r="E10" i="11" s="1"/>
  <c r="F6" i="11" s="1"/>
  <c r="F10" i="11" s="1"/>
  <c r="F2" i="11"/>
  <c r="E2" i="11"/>
  <c r="D2" i="11"/>
  <c r="C2" i="11"/>
  <c r="B2" i="11"/>
  <c r="F31" i="10"/>
  <c r="G30" i="10" s="1"/>
  <c r="E31" i="10"/>
  <c r="D31" i="10"/>
  <c r="C31" i="10"/>
  <c r="B31" i="10"/>
  <c r="F30" i="10"/>
  <c r="E30" i="10"/>
  <c r="D30" i="10"/>
  <c r="C30" i="10"/>
  <c r="B30" i="10"/>
  <c r="F29" i="10"/>
  <c r="F58" i="4" s="1"/>
  <c r="E29" i="10"/>
  <c r="E58" i="4" s="1"/>
  <c r="D29" i="10"/>
  <c r="D58" i="4" s="1"/>
  <c r="C29" i="10"/>
  <c r="C58" i="4" s="1"/>
  <c r="B29" i="10"/>
  <c r="B58" i="4" s="1"/>
  <c r="F27" i="10"/>
  <c r="E27" i="10"/>
  <c r="D27" i="10"/>
  <c r="C27" i="10"/>
  <c r="B27" i="10"/>
  <c r="F26" i="10"/>
  <c r="E26" i="10"/>
  <c r="D26" i="10"/>
  <c r="C26" i="10"/>
  <c r="B26" i="10"/>
  <c r="F25" i="10"/>
  <c r="E25" i="10"/>
  <c r="D25" i="10"/>
  <c r="C25" i="10"/>
  <c r="B25" i="10"/>
  <c r="K24" i="10"/>
  <c r="F24" i="10"/>
  <c r="E24" i="10"/>
  <c r="D24" i="10"/>
  <c r="C24" i="10"/>
  <c r="B24" i="10"/>
  <c r="F23" i="10"/>
  <c r="E23" i="10"/>
  <c r="D23" i="10"/>
  <c r="C23" i="10"/>
  <c r="B23" i="10"/>
  <c r="F19" i="10"/>
  <c r="E19" i="10"/>
  <c r="D19" i="10"/>
  <c r="C19" i="10"/>
  <c r="B19" i="10"/>
  <c r="F18" i="10"/>
  <c r="E18" i="10"/>
  <c r="D18" i="10"/>
  <c r="C18" i="10"/>
  <c r="B18" i="10"/>
  <c r="F17" i="10"/>
  <c r="E17" i="10"/>
  <c r="D17" i="10"/>
  <c r="C17" i="10"/>
  <c r="B17" i="10"/>
  <c r="F16" i="10"/>
  <c r="E16" i="10"/>
  <c r="D16" i="10"/>
  <c r="C16" i="10"/>
  <c r="B16" i="10"/>
  <c r="F15" i="10"/>
  <c r="E15" i="10"/>
  <c r="D15" i="10"/>
  <c r="C15" i="10"/>
  <c r="B15" i="10"/>
  <c r="F14" i="10"/>
  <c r="E14" i="10"/>
  <c r="D14" i="10"/>
  <c r="C14" i="10"/>
  <c r="B14" i="10"/>
  <c r="F13" i="10"/>
  <c r="E13" i="10"/>
  <c r="D13" i="10"/>
  <c r="C13" i="10"/>
  <c r="B13" i="10"/>
  <c r="F12" i="10"/>
  <c r="E12" i="10"/>
  <c r="D12" i="10"/>
  <c r="C12" i="10"/>
  <c r="B12" i="10"/>
  <c r="F10" i="10"/>
  <c r="E10" i="10"/>
  <c r="E61" i="4" s="1"/>
  <c r="D10" i="10"/>
  <c r="D60" i="4" s="1"/>
  <c r="C10" i="10"/>
  <c r="C61" i="4" s="1"/>
  <c r="B10" i="10"/>
  <c r="F7" i="10"/>
  <c r="E7" i="10"/>
  <c r="D7" i="10"/>
  <c r="C7" i="10"/>
  <c r="B7" i="10"/>
  <c r="F6" i="10"/>
  <c r="E6" i="10"/>
  <c r="D6" i="10"/>
  <c r="C6" i="10"/>
  <c r="B6" i="10"/>
  <c r="F5" i="10"/>
  <c r="F26" i="4" s="1"/>
  <c r="E5" i="10"/>
  <c r="E26" i="4" s="1"/>
  <c r="D5" i="10"/>
  <c r="D26" i="4" s="1"/>
  <c r="C5" i="10"/>
  <c r="C10" i="4" s="1"/>
  <c r="B5" i="10"/>
  <c r="B26" i="4" s="1"/>
  <c r="F3" i="10"/>
  <c r="E3" i="10"/>
  <c r="D3" i="10"/>
  <c r="C3" i="10"/>
  <c r="B3" i="10"/>
  <c r="G384" i="9"/>
  <c r="F384" i="9"/>
  <c r="E384" i="9"/>
  <c r="D384" i="9"/>
  <c r="L383" i="9"/>
  <c r="K383" i="9"/>
  <c r="J383" i="9"/>
  <c r="I383" i="9"/>
  <c r="H383" i="9"/>
  <c r="G383" i="9"/>
  <c r="F383" i="9"/>
  <c r="E383" i="9"/>
  <c r="D383" i="9"/>
  <c r="L382" i="9"/>
  <c r="K382" i="9"/>
  <c r="J382" i="9"/>
  <c r="I382" i="9"/>
  <c r="H382" i="9"/>
  <c r="G382" i="9"/>
  <c r="F382" i="9"/>
  <c r="E382" i="9"/>
  <c r="D382" i="9"/>
  <c r="L381" i="9"/>
  <c r="K381" i="9"/>
  <c r="J381" i="9"/>
  <c r="I381" i="9"/>
  <c r="H381" i="9"/>
  <c r="G381" i="9"/>
  <c r="F381" i="9"/>
  <c r="E381" i="9"/>
  <c r="D381" i="9"/>
  <c r="G380" i="9"/>
  <c r="F380" i="9"/>
  <c r="E380" i="9"/>
  <c r="D380" i="9"/>
  <c r="L379" i="9"/>
  <c r="K379" i="9"/>
  <c r="J379" i="9"/>
  <c r="I379" i="9"/>
  <c r="H379" i="9"/>
  <c r="G379" i="9"/>
  <c r="F379" i="9"/>
  <c r="E379" i="9"/>
  <c r="D379" i="9"/>
  <c r="L378" i="9"/>
  <c r="K378" i="9"/>
  <c r="J378" i="9"/>
  <c r="I378" i="9"/>
  <c r="H378" i="9"/>
  <c r="G378" i="9"/>
  <c r="F378" i="9"/>
  <c r="E378" i="9"/>
  <c r="D378" i="9"/>
  <c r="L377" i="9"/>
  <c r="K377" i="9"/>
  <c r="J377" i="9"/>
  <c r="I377" i="9"/>
  <c r="H377" i="9"/>
  <c r="G377" i="9"/>
  <c r="F377" i="9"/>
  <c r="E377" i="9"/>
  <c r="D377" i="9"/>
  <c r="G376" i="9"/>
  <c r="F376" i="9"/>
  <c r="E376" i="9"/>
  <c r="D376" i="9"/>
  <c r="L375" i="9"/>
  <c r="K375" i="9"/>
  <c r="J375" i="9"/>
  <c r="I375" i="9"/>
  <c r="H375" i="9"/>
  <c r="G375" i="9"/>
  <c r="F375" i="9"/>
  <c r="E375" i="9"/>
  <c r="D375" i="9"/>
  <c r="L374" i="9"/>
  <c r="K374" i="9"/>
  <c r="J374" i="9"/>
  <c r="I374" i="9"/>
  <c r="H374" i="9"/>
  <c r="G374" i="9"/>
  <c r="F374" i="9"/>
  <c r="E374" i="9"/>
  <c r="D374" i="9"/>
  <c r="L373" i="9"/>
  <c r="K373" i="9"/>
  <c r="J373" i="9"/>
  <c r="I373" i="9"/>
  <c r="H373" i="9"/>
  <c r="G373" i="9"/>
  <c r="F373" i="9"/>
  <c r="E373" i="9"/>
  <c r="D373" i="9"/>
  <c r="G372" i="9"/>
  <c r="F372" i="9"/>
  <c r="E372" i="9"/>
  <c r="D372" i="9"/>
  <c r="L371" i="9"/>
  <c r="K371" i="9"/>
  <c r="J371" i="9"/>
  <c r="I371" i="9"/>
  <c r="H371" i="9"/>
  <c r="G371" i="9"/>
  <c r="F371" i="9"/>
  <c r="E371" i="9"/>
  <c r="D371" i="9"/>
  <c r="G370" i="9"/>
  <c r="F370" i="9"/>
  <c r="E370" i="9"/>
  <c r="D370" i="9"/>
  <c r="L369" i="9"/>
  <c r="K369" i="9"/>
  <c r="J369" i="9"/>
  <c r="I369" i="9"/>
  <c r="H369" i="9"/>
  <c r="G369" i="9"/>
  <c r="F369" i="9"/>
  <c r="E369" i="9"/>
  <c r="D369" i="9"/>
  <c r="L368" i="9"/>
  <c r="K368" i="9"/>
  <c r="J368" i="9"/>
  <c r="I368" i="9"/>
  <c r="H368" i="9"/>
  <c r="G368" i="9"/>
  <c r="F368" i="9"/>
  <c r="E368" i="9"/>
  <c r="D368" i="9"/>
  <c r="G367" i="9"/>
  <c r="F367" i="9"/>
  <c r="E367" i="9"/>
  <c r="D367" i="9"/>
  <c r="L366" i="9"/>
  <c r="K366" i="9"/>
  <c r="J366" i="9"/>
  <c r="I366" i="9"/>
  <c r="H366" i="9"/>
  <c r="G366" i="9"/>
  <c r="F366" i="9"/>
  <c r="E366" i="9"/>
  <c r="D366" i="9"/>
  <c r="G365" i="9"/>
  <c r="F365" i="9"/>
  <c r="E365" i="9"/>
  <c r="D365" i="9"/>
  <c r="G364" i="9"/>
  <c r="F364" i="9"/>
  <c r="E364" i="9"/>
  <c r="D364" i="9"/>
  <c r="G363" i="9"/>
  <c r="F363" i="9"/>
  <c r="E363" i="9"/>
  <c r="D363" i="9"/>
  <c r="G362" i="9"/>
  <c r="F362" i="9"/>
  <c r="E362" i="9"/>
  <c r="D362" i="9"/>
  <c r="L361" i="9"/>
  <c r="K361" i="9"/>
  <c r="J361" i="9"/>
  <c r="I361" i="9"/>
  <c r="H361" i="9"/>
  <c r="G361" i="9"/>
  <c r="F361" i="9"/>
  <c r="E361" i="9"/>
  <c r="D361" i="9"/>
  <c r="L360" i="9"/>
  <c r="K360" i="9"/>
  <c r="J360" i="9"/>
  <c r="I360" i="9"/>
  <c r="H360" i="9"/>
  <c r="G360" i="9"/>
  <c r="F360" i="9"/>
  <c r="E360" i="9"/>
  <c r="D360" i="9"/>
  <c r="L359" i="9"/>
  <c r="K359" i="9"/>
  <c r="J359" i="9"/>
  <c r="I359" i="9"/>
  <c r="H359" i="9"/>
  <c r="G359" i="9"/>
  <c r="F359" i="9"/>
  <c r="E359" i="9"/>
  <c r="D359" i="9"/>
  <c r="L358" i="9"/>
  <c r="K358" i="9"/>
  <c r="J358" i="9"/>
  <c r="I358" i="9"/>
  <c r="H358" i="9"/>
  <c r="G358" i="9"/>
  <c r="F358" i="9"/>
  <c r="E358" i="9"/>
  <c r="D358" i="9"/>
  <c r="L357" i="9"/>
  <c r="K357" i="9"/>
  <c r="J357" i="9"/>
  <c r="I357" i="9"/>
  <c r="H357" i="9"/>
  <c r="G357" i="9"/>
  <c r="F357" i="9"/>
  <c r="E357" i="9"/>
  <c r="D357" i="9"/>
  <c r="L356" i="9"/>
  <c r="K356" i="9"/>
  <c r="J356" i="9"/>
  <c r="I356" i="9"/>
  <c r="H356" i="9"/>
  <c r="G356" i="9"/>
  <c r="F356" i="9"/>
  <c r="E356" i="9"/>
  <c r="D356" i="9"/>
  <c r="L355" i="9"/>
  <c r="K355" i="9"/>
  <c r="J355" i="9"/>
  <c r="I355" i="9"/>
  <c r="H355" i="9"/>
  <c r="G355" i="9"/>
  <c r="F355" i="9"/>
  <c r="E355" i="9"/>
  <c r="D355" i="9"/>
  <c r="L354" i="9"/>
  <c r="K354" i="9"/>
  <c r="J354" i="9"/>
  <c r="I354" i="9"/>
  <c r="H354" i="9"/>
  <c r="G354" i="9"/>
  <c r="F354" i="9"/>
  <c r="E354" i="9"/>
  <c r="D354" i="9"/>
  <c r="L353" i="9"/>
  <c r="K353" i="9"/>
  <c r="J353" i="9"/>
  <c r="I353" i="9"/>
  <c r="H353" i="9"/>
  <c r="G353" i="9"/>
  <c r="F353" i="9"/>
  <c r="E353" i="9"/>
  <c r="D353" i="9"/>
  <c r="L352" i="9"/>
  <c r="K352" i="9"/>
  <c r="J352" i="9"/>
  <c r="I352" i="9"/>
  <c r="H352" i="9"/>
  <c r="G352" i="9"/>
  <c r="F352" i="9"/>
  <c r="E352" i="9"/>
  <c r="D352" i="9"/>
  <c r="L351" i="9"/>
  <c r="K351" i="9"/>
  <c r="J351" i="9"/>
  <c r="I351" i="9"/>
  <c r="H351" i="9"/>
  <c r="G351" i="9"/>
  <c r="F351" i="9"/>
  <c r="E351" i="9"/>
  <c r="D351" i="9"/>
  <c r="L350" i="9"/>
  <c r="K350" i="9"/>
  <c r="J350" i="9"/>
  <c r="I350" i="9"/>
  <c r="H350" i="9"/>
  <c r="G350" i="9"/>
  <c r="F350" i="9"/>
  <c r="E350" i="9"/>
  <c r="D350" i="9"/>
  <c r="L349" i="9"/>
  <c r="K349" i="9"/>
  <c r="J349" i="9"/>
  <c r="I349" i="9"/>
  <c r="H349" i="9"/>
  <c r="G349" i="9"/>
  <c r="F349" i="9"/>
  <c r="E349" i="9"/>
  <c r="D349" i="9"/>
  <c r="L348" i="9"/>
  <c r="K348" i="9"/>
  <c r="J348" i="9"/>
  <c r="I348" i="9"/>
  <c r="H348" i="9"/>
  <c r="G348" i="9"/>
  <c r="F348" i="9"/>
  <c r="E348" i="9"/>
  <c r="D348" i="9"/>
  <c r="G347" i="9"/>
  <c r="F347" i="9"/>
  <c r="E347" i="9"/>
  <c r="D347" i="9"/>
  <c r="G346" i="9"/>
  <c r="F346" i="9"/>
  <c r="E346" i="9"/>
  <c r="D346" i="9"/>
  <c r="G345" i="9"/>
  <c r="F345" i="9"/>
  <c r="E345" i="9"/>
  <c r="D345" i="9"/>
  <c r="G344" i="9"/>
  <c r="F344" i="9"/>
  <c r="E344" i="9"/>
  <c r="D344" i="9"/>
  <c r="L343" i="9"/>
  <c r="K343" i="9"/>
  <c r="J343" i="9"/>
  <c r="I343" i="9"/>
  <c r="H343" i="9"/>
  <c r="G343" i="9"/>
  <c r="F343" i="9"/>
  <c r="E343" i="9"/>
  <c r="D343" i="9"/>
  <c r="L342" i="9"/>
  <c r="K342" i="9"/>
  <c r="J342" i="9"/>
  <c r="I342" i="9"/>
  <c r="H342" i="9"/>
  <c r="G342" i="9"/>
  <c r="F342" i="9"/>
  <c r="E342" i="9"/>
  <c r="D342" i="9"/>
  <c r="L341" i="9"/>
  <c r="K341" i="9"/>
  <c r="J341" i="9"/>
  <c r="I341" i="9"/>
  <c r="H341" i="9"/>
  <c r="G341" i="9"/>
  <c r="F341" i="9"/>
  <c r="E341" i="9"/>
  <c r="D341" i="9"/>
  <c r="G340" i="9"/>
  <c r="F340" i="9"/>
  <c r="E340" i="9"/>
  <c r="D340" i="9"/>
  <c r="G339" i="9"/>
  <c r="F339" i="9"/>
  <c r="E339" i="9"/>
  <c r="D339" i="9"/>
  <c r="G338" i="9"/>
  <c r="F338" i="9"/>
  <c r="E338" i="9"/>
  <c r="D338" i="9"/>
  <c r="G337" i="9"/>
  <c r="F337" i="9"/>
  <c r="E337" i="9"/>
  <c r="D337" i="9"/>
  <c r="G336" i="9"/>
  <c r="F336" i="9"/>
  <c r="E336" i="9"/>
  <c r="D336" i="9"/>
  <c r="G335" i="9"/>
  <c r="F335" i="9"/>
  <c r="E335" i="9"/>
  <c r="D335" i="9"/>
  <c r="G334" i="9"/>
  <c r="F334" i="9"/>
  <c r="E334" i="9"/>
  <c r="D334" i="9"/>
  <c r="G333" i="9"/>
  <c r="F333" i="9"/>
  <c r="E333" i="9"/>
  <c r="D333" i="9"/>
  <c r="G332" i="9"/>
  <c r="F332" i="9"/>
  <c r="E332" i="9"/>
  <c r="D332" i="9"/>
  <c r="L331" i="9"/>
  <c r="K331" i="9"/>
  <c r="J331" i="9"/>
  <c r="I331" i="9"/>
  <c r="H331" i="9"/>
  <c r="G331" i="9"/>
  <c r="F331" i="9"/>
  <c r="E331" i="9"/>
  <c r="D331" i="9"/>
  <c r="L330" i="9"/>
  <c r="K330" i="9"/>
  <c r="J330" i="9"/>
  <c r="I330" i="9"/>
  <c r="H330" i="9"/>
  <c r="G330" i="9"/>
  <c r="F330" i="9"/>
  <c r="E330" i="9"/>
  <c r="D330" i="9"/>
  <c r="G329" i="9"/>
  <c r="F329" i="9"/>
  <c r="E329" i="9"/>
  <c r="D329" i="9"/>
  <c r="G328" i="9"/>
  <c r="F328" i="9"/>
  <c r="E328" i="9"/>
  <c r="D328" i="9"/>
  <c r="G327" i="9"/>
  <c r="F327" i="9"/>
  <c r="E327" i="9"/>
  <c r="D327" i="9"/>
  <c r="L326" i="9"/>
  <c r="K326" i="9"/>
  <c r="J326" i="9"/>
  <c r="I326" i="9"/>
  <c r="H326" i="9"/>
  <c r="G326" i="9"/>
  <c r="F326" i="9"/>
  <c r="E326" i="9"/>
  <c r="D326" i="9"/>
  <c r="L325" i="9"/>
  <c r="K325" i="9"/>
  <c r="J325" i="9"/>
  <c r="I325" i="9"/>
  <c r="H325" i="9"/>
  <c r="G325" i="9"/>
  <c r="F325" i="9"/>
  <c r="E325" i="9"/>
  <c r="D325" i="9"/>
  <c r="L324" i="9"/>
  <c r="K324" i="9"/>
  <c r="J324" i="9"/>
  <c r="I324" i="9"/>
  <c r="H324" i="9"/>
  <c r="G324" i="9"/>
  <c r="F324" i="9"/>
  <c r="E324" i="9"/>
  <c r="D324" i="9"/>
  <c r="L323" i="9"/>
  <c r="K323" i="9"/>
  <c r="J323" i="9"/>
  <c r="I323" i="9"/>
  <c r="H323" i="9"/>
  <c r="G323" i="9"/>
  <c r="F323" i="9"/>
  <c r="E323" i="9"/>
  <c r="D323" i="9"/>
  <c r="L322" i="9"/>
  <c r="K322" i="9"/>
  <c r="J322" i="9"/>
  <c r="I322" i="9"/>
  <c r="H322" i="9"/>
  <c r="G322" i="9"/>
  <c r="F322" i="9"/>
  <c r="E322" i="9"/>
  <c r="D322" i="9"/>
  <c r="L321" i="9"/>
  <c r="K321" i="9"/>
  <c r="J321" i="9"/>
  <c r="I321" i="9"/>
  <c r="H321" i="9"/>
  <c r="G321" i="9"/>
  <c r="F321" i="9"/>
  <c r="E321" i="9"/>
  <c r="D321" i="9"/>
  <c r="G320" i="9"/>
  <c r="F320" i="9"/>
  <c r="E320" i="9"/>
  <c r="D320" i="9"/>
  <c r="L319" i="9"/>
  <c r="K319" i="9"/>
  <c r="J319" i="9"/>
  <c r="I319" i="9"/>
  <c r="H319" i="9"/>
  <c r="G319" i="9"/>
  <c r="F319" i="9"/>
  <c r="E319" i="9"/>
  <c r="D319" i="9"/>
  <c r="G318" i="9"/>
  <c r="F318" i="9"/>
  <c r="E318" i="9"/>
  <c r="D318" i="9"/>
  <c r="L317" i="9"/>
  <c r="K317" i="9"/>
  <c r="J317" i="9"/>
  <c r="I317" i="9"/>
  <c r="H317" i="9"/>
  <c r="G317" i="9"/>
  <c r="F317" i="9"/>
  <c r="E317" i="9"/>
  <c r="D317" i="9"/>
  <c r="L316" i="9"/>
  <c r="K316" i="9"/>
  <c r="J316" i="9"/>
  <c r="I316" i="9"/>
  <c r="H316" i="9"/>
  <c r="G316" i="9"/>
  <c r="F316" i="9"/>
  <c r="E316" i="9"/>
  <c r="D316" i="9"/>
  <c r="L315" i="9"/>
  <c r="K315" i="9"/>
  <c r="J315" i="9"/>
  <c r="I315" i="9"/>
  <c r="H315" i="9"/>
  <c r="G315" i="9"/>
  <c r="F315" i="9"/>
  <c r="E315" i="9"/>
  <c r="D315" i="9"/>
  <c r="G314" i="9"/>
  <c r="F314" i="9"/>
  <c r="E314" i="9"/>
  <c r="D314" i="9"/>
  <c r="G313" i="9"/>
  <c r="F313" i="9"/>
  <c r="E313" i="9"/>
  <c r="D313" i="9"/>
  <c r="G312" i="9"/>
  <c r="F312" i="9"/>
  <c r="E312" i="9"/>
  <c r="D312" i="9"/>
  <c r="L311" i="9"/>
  <c r="K311" i="9"/>
  <c r="J311" i="9"/>
  <c r="I311" i="9"/>
  <c r="H311" i="9"/>
  <c r="G311" i="9"/>
  <c r="F311" i="9"/>
  <c r="E311" i="9"/>
  <c r="D311" i="9"/>
  <c r="L310" i="9"/>
  <c r="K310" i="9"/>
  <c r="J310" i="9"/>
  <c r="I310" i="9"/>
  <c r="H310" i="9"/>
  <c r="G310" i="9"/>
  <c r="F310" i="9"/>
  <c r="E310" i="9"/>
  <c r="D310" i="9"/>
  <c r="L309" i="9"/>
  <c r="K309" i="9"/>
  <c r="J309" i="9"/>
  <c r="I309" i="9"/>
  <c r="H309" i="9"/>
  <c r="G309" i="9"/>
  <c r="F309" i="9"/>
  <c r="E309" i="9"/>
  <c r="D309" i="9"/>
  <c r="G308" i="9"/>
  <c r="F308" i="9"/>
  <c r="E308" i="9"/>
  <c r="D308" i="9"/>
  <c r="G307" i="9"/>
  <c r="F307" i="9"/>
  <c r="E307" i="9"/>
  <c r="D307" i="9"/>
  <c r="G306" i="9"/>
  <c r="F306" i="9"/>
  <c r="E306" i="9"/>
  <c r="D306" i="9"/>
  <c r="G305" i="9"/>
  <c r="F305" i="9"/>
  <c r="E305" i="9"/>
  <c r="D305" i="9"/>
  <c r="L304" i="9"/>
  <c r="K304" i="9"/>
  <c r="J304" i="9"/>
  <c r="I304" i="9"/>
  <c r="H304" i="9"/>
  <c r="G304" i="9"/>
  <c r="F304" i="9"/>
  <c r="E304" i="9"/>
  <c r="D304" i="9"/>
  <c r="G303" i="9"/>
  <c r="F303" i="9"/>
  <c r="E303" i="9"/>
  <c r="D303" i="9"/>
  <c r="L302" i="9"/>
  <c r="K302" i="9"/>
  <c r="J302" i="9"/>
  <c r="I302" i="9"/>
  <c r="H302" i="9"/>
  <c r="G302" i="9"/>
  <c r="F302" i="9"/>
  <c r="E302" i="9"/>
  <c r="D302" i="9"/>
  <c r="L301" i="9"/>
  <c r="K301" i="9"/>
  <c r="J301" i="9"/>
  <c r="I301" i="9"/>
  <c r="H301" i="9"/>
  <c r="G301" i="9"/>
  <c r="F301" i="9"/>
  <c r="E301" i="9"/>
  <c r="D301" i="9"/>
  <c r="L300" i="9"/>
  <c r="K300" i="9"/>
  <c r="J300" i="9"/>
  <c r="I300" i="9"/>
  <c r="H300" i="9"/>
  <c r="G300" i="9"/>
  <c r="F300" i="9"/>
  <c r="E300" i="9"/>
  <c r="D300" i="9"/>
  <c r="L299" i="9"/>
  <c r="K299" i="9"/>
  <c r="J299" i="9"/>
  <c r="I299" i="9"/>
  <c r="H299" i="9"/>
  <c r="G299" i="9"/>
  <c r="F299" i="9"/>
  <c r="E299" i="9"/>
  <c r="D299" i="9"/>
  <c r="L298" i="9"/>
  <c r="K298" i="9"/>
  <c r="J298" i="9"/>
  <c r="I298" i="9"/>
  <c r="H298" i="9"/>
  <c r="G298" i="9"/>
  <c r="F298" i="9"/>
  <c r="E298" i="9"/>
  <c r="D298" i="9"/>
  <c r="G297" i="9"/>
  <c r="F297" i="9"/>
  <c r="E297" i="9"/>
  <c r="D297" i="9"/>
  <c r="G296" i="9"/>
  <c r="F296" i="9"/>
  <c r="E296" i="9"/>
  <c r="D296" i="9"/>
  <c r="L295" i="9"/>
  <c r="K295" i="9"/>
  <c r="J295" i="9"/>
  <c r="I295" i="9"/>
  <c r="H295" i="9"/>
  <c r="G295" i="9"/>
  <c r="F295" i="9"/>
  <c r="E295" i="9"/>
  <c r="D295" i="9"/>
  <c r="L294" i="9"/>
  <c r="K294" i="9"/>
  <c r="J294" i="9"/>
  <c r="I294" i="9"/>
  <c r="H294" i="9"/>
  <c r="G294" i="9"/>
  <c r="F294" i="9"/>
  <c r="E294" i="9"/>
  <c r="D294" i="9"/>
  <c r="G293" i="9"/>
  <c r="F293" i="9"/>
  <c r="E293" i="9"/>
  <c r="D293" i="9"/>
  <c r="G292" i="9"/>
  <c r="F292" i="9"/>
  <c r="E292" i="9"/>
  <c r="D292" i="9"/>
  <c r="G291" i="9"/>
  <c r="F291" i="9"/>
  <c r="E291" i="9"/>
  <c r="D291" i="9"/>
  <c r="G290" i="9"/>
  <c r="F290" i="9"/>
  <c r="E290" i="9"/>
  <c r="D290" i="9"/>
  <c r="G289" i="9"/>
  <c r="F289" i="9"/>
  <c r="E289" i="9"/>
  <c r="D289" i="9"/>
  <c r="G288" i="9"/>
  <c r="F288" i="9"/>
  <c r="E288" i="9"/>
  <c r="D288" i="9"/>
  <c r="G287" i="9"/>
  <c r="F287" i="9"/>
  <c r="E287" i="9"/>
  <c r="D287" i="9"/>
  <c r="L286" i="9"/>
  <c r="K286" i="9"/>
  <c r="J286" i="9"/>
  <c r="I286" i="9"/>
  <c r="H286" i="9"/>
  <c r="G286" i="9"/>
  <c r="F286" i="9"/>
  <c r="E286" i="9"/>
  <c r="D286" i="9"/>
  <c r="L285" i="9"/>
  <c r="K285" i="9"/>
  <c r="J285" i="9"/>
  <c r="I285" i="9"/>
  <c r="H285" i="9"/>
  <c r="G285" i="9"/>
  <c r="F285" i="9"/>
  <c r="E285" i="9"/>
  <c r="D285" i="9"/>
  <c r="G284" i="9"/>
  <c r="F284" i="9"/>
  <c r="E284" i="9"/>
  <c r="D284" i="9"/>
  <c r="G283" i="9"/>
  <c r="F283" i="9"/>
  <c r="E283" i="9"/>
  <c r="D283" i="9"/>
  <c r="L282" i="9"/>
  <c r="K282" i="9"/>
  <c r="J282" i="9"/>
  <c r="I282" i="9"/>
  <c r="H282" i="9"/>
  <c r="G282" i="9"/>
  <c r="F282" i="9"/>
  <c r="E282" i="9"/>
  <c r="D282" i="9"/>
  <c r="L281" i="9"/>
  <c r="K281" i="9"/>
  <c r="J281" i="9"/>
  <c r="I281" i="9"/>
  <c r="H281" i="9"/>
  <c r="G281" i="9"/>
  <c r="F281" i="9"/>
  <c r="E281" i="9"/>
  <c r="D281" i="9"/>
  <c r="G280" i="9"/>
  <c r="F280" i="9"/>
  <c r="E280" i="9"/>
  <c r="D280" i="9"/>
  <c r="G279" i="9"/>
  <c r="F279" i="9"/>
  <c r="E279" i="9"/>
  <c r="D279" i="9"/>
  <c r="G278" i="9"/>
  <c r="F278" i="9"/>
  <c r="E278" i="9"/>
  <c r="D278" i="9"/>
  <c r="G277" i="9"/>
  <c r="F277" i="9"/>
  <c r="E277" i="9"/>
  <c r="D277" i="9"/>
  <c r="L276" i="9"/>
  <c r="K276" i="9"/>
  <c r="J276" i="9"/>
  <c r="I276" i="9"/>
  <c r="H276" i="9"/>
  <c r="G276" i="9"/>
  <c r="F276" i="9"/>
  <c r="E276" i="9"/>
  <c r="D276" i="9"/>
  <c r="L275" i="9"/>
  <c r="K275" i="9"/>
  <c r="J275" i="9"/>
  <c r="I275" i="9"/>
  <c r="H275" i="9"/>
  <c r="G275" i="9"/>
  <c r="F275" i="9"/>
  <c r="E275" i="9"/>
  <c r="D275" i="9"/>
  <c r="G274" i="9"/>
  <c r="F274" i="9"/>
  <c r="E274" i="9"/>
  <c r="D274" i="9"/>
  <c r="G273" i="9"/>
  <c r="F273" i="9"/>
  <c r="E273" i="9"/>
  <c r="D273" i="9"/>
  <c r="G272" i="9"/>
  <c r="F272" i="9"/>
  <c r="E272" i="9"/>
  <c r="D272" i="9"/>
  <c r="G269" i="9"/>
  <c r="F269" i="9"/>
  <c r="E269" i="9"/>
  <c r="D269" i="9"/>
  <c r="C269" i="9"/>
  <c r="G268" i="9"/>
  <c r="F268" i="9"/>
  <c r="E268" i="9"/>
  <c r="D268" i="9"/>
  <c r="C268" i="9"/>
  <c r="G267" i="9"/>
  <c r="F267" i="9"/>
  <c r="E267" i="9"/>
  <c r="D267" i="9"/>
  <c r="C267" i="9"/>
  <c r="G266" i="9"/>
  <c r="F266" i="9"/>
  <c r="E266" i="9"/>
  <c r="D266" i="9"/>
  <c r="C266" i="9"/>
  <c r="G265" i="9"/>
  <c r="F265" i="9"/>
  <c r="E265" i="9"/>
  <c r="D265" i="9"/>
  <c r="C265" i="9"/>
  <c r="G264" i="9"/>
  <c r="F264" i="9"/>
  <c r="E264" i="9"/>
  <c r="D264" i="9"/>
  <c r="C264" i="9"/>
  <c r="G263" i="9"/>
  <c r="F263" i="9"/>
  <c r="E263" i="9"/>
  <c r="D263" i="9"/>
  <c r="C263" i="9"/>
  <c r="G262" i="9"/>
  <c r="F262" i="9"/>
  <c r="E262" i="9"/>
  <c r="D262" i="9"/>
  <c r="C262" i="9"/>
  <c r="G261" i="9"/>
  <c r="F261" i="9"/>
  <c r="E261" i="9"/>
  <c r="D261" i="9"/>
  <c r="C261" i="9"/>
  <c r="G260" i="9"/>
  <c r="F260" i="9"/>
  <c r="E260" i="9"/>
  <c r="D260" i="9"/>
  <c r="C260" i="9"/>
  <c r="G259" i="9"/>
  <c r="F259" i="9"/>
  <c r="E259" i="9"/>
  <c r="D259" i="9"/>
  <c r="C259" i="9"/>
  <c r="G258" i="9"/>
  <c r="F258" i="9"/>
  <c r="E258" i="9"/>
  <c r="D258" i="9"/>
  <c r="C258" i="9"/>
  <c r="G257" i="9"/>
  <c r="F257" i="9"/>
  <c r="E257" i="9"/>
  <c r="D257" i="9"/>
  <c r="C257" i="9"/>
  <c r="G256" i="9"/>
  <c r="F256" i="9"/>
  <c r="E256" i="9"/>
  <c r="D256" i="9"/>
  <c r="C256" i="9"/>
  <c r="G255" i="9"/>
  <c r="F255" i="9"/>
  <c r="E255" i="9"/>
  <c r="D255" i="9"/>
  <c r="C255" i="9"/>
  <c r="G254" i="9"/>
  <c r="F254" i="9"/>
  <c r="E254" i="9"/>
  <c r="D254" i="9"/>
  <c r="C254" i="9"/>
  <c r="G253" i="9"/>
  <c r="F253" i="9"/>
  <c r="E253" i="9"/>
  <c r="D253" i="9"/>
  <c r="C253" i="9"/>
  <c r="G252" i="9"/>
  <c r="F252" i="9"/>
  <c r="E252" i="9"/>
  <c r="D252" i="9"/>
  <c r="C252" i="9"/>
  <c r="G251" i="9"/>
  <c r="F251" i="9"/>
  <c r="E251" i="9"/>
  <c r="D251" i="9"/>
  <c r="C251" i="9"/>
  <c r="G250" i="9"/>
  <c r="F250" i="9"/>
  <c r="E250" i="9"/>
  <c r="D250" i="9"/>
  <c r="C250" i="9"/>
  <c r="G249" i="9"/>
  <c r="F249" i="9"/>
  <c r="E249" i="9"/>
  <c r="D249" i="9"/>
  <c r="C249" i="9"/>
  <c r="G248" i="9"/>
  <c r="F248" i="9"/>
  <c r="E248" i="9"/>
  <c r="D248" i="9"/>
  <c r="C248" i="9"/>
  <c r="G247" i="9"/>
  <c r="F247" i="9"/>
  <c r="E247" i="9"/>
  <c r="D247" i="9"/>
  <c r="C247" i="9"/>
  <c r="G246" i="9"/>
  <c r="F246" i="9"/>
  <c r="E246" i="9"/>
  <c r="D246" i="9"/>
  <c r="C246" i="9"/>
  <c r="G245" i="9"/>
  <c r="F245" i="9"/>
  <c r="E245" i="9"/>
  <c r="D245" i="9"/>
  <c r="C245" i="9"/>
  <c r="G244" i="9"/>
  <c r="F244" i="9"/>
  <c r="E244" i="9"/>
  <c r="D244" i="9"/>
  <c r="C244" i="9"/>
  <c r="G243" i="9"/>
  <c r="F243" i="9"/>
  <c r="E243" i="9"/>
  <c r="D243" i="9"/>
  <c r="C243" i="9"/>
  <c r="G242" i="9"/>
  <c r="F242" i="9"/>
  <c r="E242" i="9"/>
  <c r="D242" i="9"/>
  <c r="C242" i="9"/>
  <c r="G241" i="9"/>
  <c r="F241" i="9"/>
  <c r="E241" i="9"/>
  <c r="D241" i="9"/>
  <c r="C241" i="9"/>
  <c r="G240" i="9"/>
  <c r="F240" i="9"/>
  <c r="E240" i="9"/>
  <c r="D240" i="9"/>
  <c r="C240" i="9"/>
  <c r="G239" i="9"/>
  <c r="F239" i="9"/>
  <c r="E239" i="9"/>
  <c r="D239" i="9"/>
  <c r="C239" i="9"/>
  <c r="G238" i="9"/>
  <c r="F238" i="9"/>
  <c r="E238" i="9"/>
  <c r="D238" i="9"/>
  <c r="C238" i="9"/>
  <c r="G237" i="9"/>
  <c r="F237" i="9"/>
  <c r="E237" i="9"/>
  <c r="D237" i="9"/>
  <c r="C237" i="9"/>
  <c r="G236" i="9"/>
  <c r="F236" i="9"/>
  <c r="E236" i="9"/>
  <c r="D236" i="9"/>
  <c r="C236" i="9"/>
  <c r="G235" i="9"/>
  <c r="F235" i="9"/>
  <c r="E235" i="9"/>
  <c r="D235" i="9"/>
  <c r="C235" i="9"/>
  <c r="G234" i="9"/>
  <c r="F234" i="9"/>
  <c r="E234" i="9"/>
  <c r="D234" i="9"/>
  <c r="C234" i="9"/>
  <c r="G233" i="9"/>
  <c r="F233" i="9"/>
  <c r="E233" i="9"/>
  <c r="D233" i="9"/>
  <c r="C233" i="9"/>
  <c r="G232" i="9"/>
  <c r="F232" i="9"/>
  <c r="E232" i="9"/>
  <c r="D232" i="9"/>
  <c r="C232" i="9"/>
  <c r="G231" i="9"/>
  <c r="F231" i="9"/>
  <c r="E231" i="9"/>
  <c r="D231" i="9"/>
  <c r="C231" i="9"/>
  <c r="G230" i="9"/>
  <c r="F230" i="9"/>
  <c r="E230" i="9"/>
  <c r="D230" i="9"/>
  <c r="C230" i="9"/>
  <c r="G229" i="9"/>
  <c r="F229" i="9"/>
  <c r="E229" i="9"/>
  <c r="D229" i="9"/>
  <c r="C229" i="9"/>
  <c r="G228" i="9"/>
  <c r="F228" i="9"/>
  <c r="E228" i="9"/>
  <c r="D228" i="9"/>
  <c r="C228" i="9"/>
  <c r="G227" i="9"/>
  <c r="F227" i="9"/>
  <c r="E227" i="9"/>
  <c r="D227" i="9"/>
  <c r="C227" i="9"/>
  <c r="G226" i="9"/>
  <c r="F226" i="9"/>
  <c r="E226" i="9"/>
  <c r="D226" i="9"/>
  <c r="C226" i="9"/>
  <c r="G225" i="9"/>
  <c r="F225" i="9"/>
  <c r="E225" i="9"/>
  <c r="D225" i="9"/>
  <c r="C225" i="9"/>
  <c r="G224" i="9"/>
  <c r="F224" i="9"/>
  <c r="E224" i="9"/>
  <c r="D224" i="9"/>
  <c r="C224" i="9"/>
  <c r="G223" i="9"/>
  <c r="F223" i="9"/>
  <c r="E223" i="9"/>
  <c r="D223" i="9"/>
  <c r="C223" i="9"/>
  <c r="G222" i="9"/>
  <c r="F222" i="9"/>
  <c r="E222" i="9"/>
  <c r="D222" i="9"/>
  <c r="C222" i="9"/>
  <c r="G221" i="9"/>
  <c r="F221" i="9"/>
  <c r="E221" i="9"/>
  <c r="D221" i="9"/>
  <c r="C221" i="9"/>
  <c r="G220" i="9"/>
  <c r="F220" i="9"/>
  <c r="E220" i="9"/>
  <c r="D220" i="9"/>
  <c r="C220" i="9"/>
  <c r="G219" i="9"/>
  <c r="F219" i="9"/>
  <c r="E219" i="9"/>
  <c r="D219" i="9"/>
  <c r="C219" i="9"/>
  <c r="G218" i="9"/>
  <c r="F218" i="9"/>
  <c r="E218" i="9"/>
  <c r="D218" i="9"/>
  <c r="C218" i="9"/>
  <c r="G217" i="9"/>
  <c r="F217" i="9"/>
  <c r="E217" i="9"/>
  <c r="D217" i="9"/>
  <c r="C217" i="9"/>
  <c r="G216" i="9"/>
  <c r="F216" i="9"/>
  <c r="E216" i="9"/>
  <c r="D216" i="9"/>
  <c r="C216" i="9"/>
  <c r="G215" i="9"/>
  <c r="F215" i="9"/>
  <c r="E215" i="9"/>
  <c r="D215" i="9"/>
  <c r="C215" i="9"/>
  <c r="G214" i="9"/>
  <c r="F214" i="9"/>
  <c r="E214" i="9"/>
  <c r="D214" i="9"/>
  <c r="C214" i="9"/>
  <c r="G213" i="9"/>
  <c r="F213" i="9"/>
  <c r="E213" i="9"/>
  <c r="D213" i="9"/>
  <c r="C213" i="9"/>
  <c r="G212" i="9"/>
  <c r="F212" i="9"/>
  <c r="E212" i="9"/>
  <c r="D212" i="9"/>
  <c r="C212" i="9"/>
  <c r="G211" i="9"/>
  <c r="F211" i="9"/>
  <c r="E211" i="9"/>
  <c r="D211" i="9"/>
  <c r="C211" i="9"/>
  <c r="G210" i="9"/>
  <c r="F210" i="9"/>
  <c r="E210" i="9"/>
  <c r="D210" i="9"/>
  <c r="C210" i="9"/>
  <c r="G209" i="9"/>
  <c r="F209" i="9"/>
  <c r="E209" i="9"/>
  <c r="D209" i="9"/>
  <c r="C209" i="9"/>
  <c r="G208" i="9"/>
  <c r="F208" i="9"/>
  <c r="E208" i="9"/>
  <c r="D208" i="9"/>
  <c r="C208" i="9"/>
  <c r="G207" i="9"/>
  <c r="F207" i="9"/>
  <c r="E207" i="9"/>
  <c r="D207" i="9"/>
  <c r="C207" i="9"/>
  <c r="G206" i="9"/>
  <c r="F206" i="9"/>
  <c r="E206" i="9"/>
  <c r="D206" i="9"/>
  <c r="C206" i="9"/>
  <c r="G205" i="9"/>
  <c r="F205" i="9"/>
  <c r="E205" i="9"/>
  <c r="D205" i="9"/>
  <c r="C205" i="9"/>
  <c r="G204" i="9"/>
  <c r="F204" i="9"/>
  <c r="E204" i="9"/>
  <c r="D204" i="9"/>
  <c r="C204" i="9"/>
  <c r="G203" i="9"/>
  <c r="F203" i="9"/>
  <c r="E203" i="9"/>
  <c r="D203" i="9"/>
  <c r="C203" i="9"/>
  <c r="G202" i="9"/>
  <c r="F202" i="9"/>
  <c r="E202" i="9"/>
  <c r="D202" i="9"/>
  <c r="C202" i="9"/>
  <c r="G201" i="9"/>
  <c r="F201" i="9"/>
  <c r="E201" i="9"/>
  <c r="D201" i="9"/>
  <c r="C201" i="9"/>
  <c r="G200" i="9"/>
  <c r="F200" i="9"/>
  <c r="E200" i="9"/>
  <c r="D200" i="9"/>
  <c r="C200" i="9"/>
  <c r="G199" i="9"/>
  <c r="F199" i="9"/>
  <c r="E199" i="9"/>
  <c r="D199" i="9"/>
  <c r="C199" i="9"/>
  <c r="G198" i="9"/>
  <c r="F198" i="9"/>
  <c r="E198" i="9"/>
  <c r="D198" i="9"/>
  <c r="C198" i="9"/>
  <c r="G197" i="9"/>
  <c r="F197" i="9"/>
  <c r="E197" i="9"/>
  <c r="D197" i="9"/>
  <c r="C197" i="9"/>
  <c r="G196" i="9"/>
  <c r="F196" i="9"/>
  <c r="E196" i="9"/>
  <c r="D196" i="9"/>
  <c r="C196" i="9"/>
  <c r="G195" i="9"/>
  <c r="F195" i="9"/>
  <c r="E195" i="9"/>
  <c r="D195" i="9"/>
  <c r="C195" i="9"/>
  <c r="G194" i="9"/>
  <c r="F194" i="9"/>
  <c r="E194" i="9"/>
  <c r="D194" i="9"/>
  <c r="C194" i="9"/>
  <c r="G193" i="9"/>
  <c r="F193" i="9"/>
  <c r="E193" i="9"/>
  <c r="D193" i="9"/>
  <c r="C193" i="9"/>
  <c r="G192" i="9"/>
  <c r="F192" i="9"/>
  <c r="E192" i="9"/>
  <c r="D192" i="9"/>
  <c r="C192" i="9"/>
  <c r="G191" i="9"/>
  <c r="F191" i="9"/>
  <c r="E191" i="9"/>
  <c r="D191" i="9"/>
  <c r="C191" i="9"/>
  <c r="G190" i="9"/>
  <c r="F190" i="9"/>
  <c r="E190" i="9"/>
  <c r="D190" i="9"/>
  <c r="C190" i="9"/>
  <c r="G189" i="9"/>
  <c r="F189" i="9"/>
  <c r="E189" i="9"/>
  <c r="D189" i="9"/>
  <c r="C189" i="9"/>
  <c r="G188" i="9"/>
  <c r="F188" i="9"/>
  <c r="E188" i="9"/>
  <c r="D188" i="9"/>
  <c r="C188" i="9"/>
  <c r="G187" i="9"/>
  <c r="F187" i="9"/>
  <c r="E187" i="9"/>
  <c r="D187" i="9"/>
  <c r="C187" i="9"/>
  <c r="G186" i="9"/>
  <c r="F186" i="9"/>
  <c r="E186" i="9"/>
  <c r="D186" i="9"/>
  <c r="C186" i="9"/>
  <c r="G185" i="9"/>
  <c r="F185" i="9"/>
  <c r="E185" i="9"/>
  <c r="D185" i="9"/>
  <c r="C185" i="9"/>
  <c r="G184" i="9"/>
  <c r="F184" i="9"/>
  <c r="E184" i="9"/>
  <c r="D184" i="9"/>
  <c r="C184" i="9"/>
  <c r="G183" i="9"/>
  <c r="F183" i="9"/>
  <c r="E183" i="9"/>
  <c r="D183" i="9"/>
  <c r="C183" i="9"/>
  <c r="G182" i="9"/>
  <c r="F182" i="9"/>
  <c r="E182" i="9"/>
  <c r="D182" i="9"/>
  <c r="C182" i="9"/>
  <c r="G181" i="9"/>
  <c r="F181" i="9"/>
  <c r="E181" i="9"/>
  <c r="D181" i="9"/>
  <c r="C181" i="9"/>
  <c r="G180" i="9"/>
  <c r="F180" i="9"/>
  <c r="E180" i="9"/>
  <c r="D180" i="9"/>
  <c r="C180" i="9"/>
  <c r="G179" i="9"/>
  <c r="F179" i="9"/>
  <c r="E179" i="9"/>
  <c r="D179" i="9"/>
  <c r="C179" i="9"/>
  <c r="G178" i="9"/>
  <c r="F178" i="9"/>
  <c r="E178" i="9"/>
  <c r="D178" i="9"/>
  <c r="C178" i="9"/>
  <c r="G177" i="9"/>
  <c r="F177" i="9"/>
  <c r="E177" i="9"/>
  <c r="D177" i="9"/>
  <c r="C177" i="9"/>
  <c r="G176" i="9"/>
  <c r="F176" i="9"/>
  <c r="E176" i="9"/>
  <c r="D176" i="9"/>
  <c r="C176" i="9"/>
  <c r="G175" i="9"/>
  <c r="F175" i="9"/>
  <c r="E175" i="9"/>
  <c r="D175" i="9"/>
  <c r="C175" i="9"/>
  <c r="G174" i="9"/>
  <c r="F174" i="9"/>
  <c r="E174" i="9"/>
  <c r="D174" i="9"/>
  <c r="C174" i="9"/>
  <c r="G173" i="9"/>
  <c r="F173" i="9"/>
  <c r="E173" i="9"/>
  <c r="D173" i="9"/>
  <c r="C173" i="9"/>
  <c r="G172" i="9"/>
  <c r="F172" i="9"/>
  <c r="E172" i="9"/>
  <c r="D172" i="9"/>
  <c r="C172" i="9"/>
  <c r="G171" i="9"/>
  <c r="F171" i="9"/>
  <c r="E171" i="9"/>
  <c r="D171" i="9"/>
  <c r="C171" i="9"/>
  <c r="G170" i="9"/>
  <c r="F170" i="9"/>
  <c r="E170" i="9"/>
  <c r="D170" i="9"/>
  <c r="C170" i="9"/>
  <c r="G169" i="9"/>
  <c r="F169" i="9"/>
  <c r="E169" i="9"/>
  <c r="D169" i="9"/>
  <c r="C169" i="9"/>
  <c r="G168" i="9"/>
  <c r="F168" i="9"/>
  <c r="E168" i="9"/>
  <c r="D168" i="9"/>
  <c r="C168" i="9"/>
  <c r="G167" i="9"/>
  <c r="F167" i="9"/>
  <c r="E167" i="9"/>
  <c r="D167" i="9"/>
  <c r="C167" i="9"/>
  <c r="G166" i="9"/>
  <c r="F166" i="9"/>
  <c r="E166" i="9"/>
  <c r="D166" i="9"/>
  <c r="C166" i="9"/>
  <c r="G165" i="9"/>
  <c r="F165" i="9"/>
  <c r="E165" i="9"/>
  <c r="D165" i="9"/>
  <c r="C165" i="9"/>
  <c r="G164" i="9"/>
  <c r="F164" i="9"/>
  <c r="E164" i="9"/>
  <c r="D164" i="9"/>
  <c r="C164" i="9"/>
  <c r="G163" i="9"/>
  <c r="F163" i="9"/>
  <c r="E163" i="9"/>
  <c r="D163" i="9"/>
  <c r="C163" i="9"/>
  <c r="G162" i="9"/>
  <c r="F162" i="9"/>
  <c r="E162" i="9"/>
  <c r="D162" i="9"/>
  <c r="C162" i="9"/>
  <c r="G161" i="9"/>
  <c r="F161" i="9"/>
  <c r="E161" i="9"/>
  <c r="D161" i="9"/>
  <c r="C161" i="9"/>
  <c r="G160" i="9"/>
  <c r="F160" i="9"/>
  <c r="E160" i="9"/>
  <c r="D160" i="9"/>
  <c r="C160" i="9"/>
  <c r="G159" i="9"/>
  <c r="F159" i="9"/>
  <c r="E159" i="9"/>
  <c r="D159" i="9"/>
  <c r="C159" i="9"/>
  <c r="G158" i="9"/>
  <c r="F158" i="9"/>
  <c r="E158" i="9"/>
  <c r="D158" i="9"/>
  <c r="C158" i="9"/>
  <c r="G157" i="9"/>
  <c r="F157" i="9"/>
  <c r="E157" i="9"/>
  <c r="D157" i="9"/>
  <c r="C157" i="9"/>
  <c r="G150" i="9"/>
  <c r="F150" i="9"/>
  <c r="F151" i="9" s="1"/>
  <c r="E150" i="9"/>
  <c r="D150" i="9"/>
  <c r="C150" i="9"/>
  <c r="G149" i="9"/>
  <c r="F149" i="9"/>
  <c r="E149" i="9"/>
  <c r="D149" i="9"/>
  <c r="D151" i="9" s="1"/>
  <c r="C149" i="9"/>
  <c r="C151" i="9" s="1"/>
  <c r="G147" i="9"/>
  <c r="F147" i="9"/>
  <c r="E147" i="9"/>
  <c r="D147" i="9"/>
  <c r="C147" i="9"/>
  <c r="G146" i="9"/>
  <c r="F146" i="9"/>
  <c r="E146" i="9"/>
  <c r="D146" i="9"/>
  <c r="C146" i="9"/>
  <c r="G145" i="9"/>
  <c r="F145" i="9"/>
  <c r="E145" i="9"/>
  <c r="D145" i="9"/>
  <c r="D148" i="9" s="1"/>
  <c r="C145" i="9"/>
  <c r="C148" i="9" s="1"/>
  <c r="C152" i="9" s="1"/>
  <c r="D137" i="9"/>
  <c r="E135" i="9" s="1"/>
  <c r="E137" i="9" s="1"/>
  <c r="F135" i="9" s="1"/>
  <c r="F137" i="9" s="1"/>
  <c r="G135" i="9" s="1"/>
  <c r="G137" i="9" s="1"/>
  <c r="H135" i="9" s="1"/>
  <c r="H137" i="9" s="1"/>
  <c r="I135" i="9" s="1"/>
  <c r="I137" i="9" s="1"/>
  <c r="J135" i="9" s="1"/>
  <c r="J137" i="9" s="1"/>
  <c r="K135" i="9" s="1"/>
  <c r="K137" i="9" s="1"/>
  <c r="L135" i="9" s="1"/>
  <c r="L137" i="9" s="1"/>
  <c r="D133" i="9"/>
  <c r="G127" i="9"/>
  <c r="F127" i="9"/>
  <c r="E127" i="9"/>
  <c r="D127" i="9"/>
  <c r="C127" i="9"/>
  <c r="H125" i="9"/>
  <c r="G125" i="9"/>
  <c r="G126" i="9" s="1"/>
  <c r="D125" i="9"/>
  <c r="G122" i="9"/>
  <c r="H120" i="9" s="1"/>
  <c r="F122" i="9"/>
  <c r="E122" i="9"/>
  <c r="D122" i="9"/>
  <c r="C122" i="9"/>
  <c r="E120" i="9"/>
  <c r="D120" i="9"/>
  <c r="D121" i="9" s="1"/>
  <c r="H77" i="9"/>
  <c r="I77" i="9" s="1"/>
  <c r="H33" i="9"/>
  <c r="I33" i="9" s="1"/>
  <c r="J33" i="9" s="1"/>
  <c r="H7" i="9"/>
  <c r="I7" i="9" s="1"/>
  <c r="I4" i="9"/>
  <c r="H4" i="9"/>
  <c r="F59" i="8"/>
  <c r="F60" i="8" s="1"/>
  <c r="E59" i="8"/>
  <c r="E60" i="8" s="1"/>
  <c r="D59" i="8"/>
  <c r="D60" i="8" s="1"/>
  <c r="C59" i="8"/>
  <c r="C60" i="8" s="1"/>
  <c r="B59" i="8"/>
  <c r="B60" i="8" s="1"/>
  <c r="F45" i="8"/>
  <c r="E45" i="8"/>
  <c r="D45" i="8"/>
  <c r="C45" i="8"/>
  <c r="B45" i="8"/>
  <c r="F44" i="8"/>
  <c r="E44" i="8"/>
  <c r="G44" i="8" s="1"/>
  <c r="D44" i="8"/>
  <c r="C44" i="8"/>
  <c r="B44" i="8"/>
  <c r="F43" i="8"/>
  <c r="E43" i="8"/>
  <c r="D43" i="8"/>
  <c r="C43" i="8"/>
  <c r="B43" i="8"/>
  <c r="F42" i="8"/>
  <c r="E42" i="8"/>
  <c r="D42" i="8"/>
  <c r="C42" i="8"/>
  <c r="B42" i="8"/>
  <c r="F41" i="8"/>
  <c r="E41" i="8"/>
  <c r="D41" i="8"/>
  <c r="C41" i="8"/>
  <c r="B41" i="8"/>
  <c r="F40" i="8"/>
  <c r="E40" i="8"/>
  <c r="D40" i="8"/>
  <c r="C40" i="8"/>
  <c r="B40" i="8"/>
  <c r="F39" i="8"/>
  <c r="E39" i="8"/>
  <c r="D39" i="8"/>
  <c r="C39" i="8"/>
  <c r="B39" i="8"/>
  <c r="F38" i="8"/>
  <c r="E38" i="8"/>
  <c r="G38" i="8" s="1"/>
  <c r="D38" i="8"/>
  <c r="C38" i="8"/>
  <c r="B38" i="8"/>
  <c r="F37" i="8"/>
  <c r="E37" i="8"/>
  <c r="G37" i="8" s="1"/>
  <c r="D37" i="8"/>
  <c r="C37" i="8"/>
  <c r="B37" i="8"/>
  <c r="F36" i="8"/>
  <c r="E36" i="8"/>
  <c r="D36" i="8"/>
  <c r="C36" i="8"/>
  <c r="B36" i="8"/>
  <c r="F35" i="8"/>
  <c r="G35" i="8" s="1"/>
  <c r="H35" i="8" s="1"/>
  <c r="I35" i="8" s="1"/>
  <c r="J35" i="8" s="1"/>
  <c r="K35" i="8" s="1"/>
  <c r="E35" i="8"/>
  <c r="D35" i="8"/>
  <c r="C35" i="8"/>
  <c r="B35" i="8"/>
  <c r="H34" i="8"/>
  <c r="I34" i="8" s="1"/>
  <c r="J34" i="8" s="1"/>
  <c r="K34" i="8" s="1"/>
  <c r="F34" i="8"/>
  <c r="E34" i="8"/>
  <c r="D34" i="8"/>
  <c r="C34" i="8"/>
  <c r="B34" i="8"/>
  <c r="F33" i="8"/>
  <c r="E33" i="8"/>
  <c r="D33" i="8"/>
  <c r="C33" i="8"/>
  <c r="B33" i="8"/>
  <c r="F32" i="8"/>
  <c r="E32" i="8"/>
  <c r="D32" i="8"/>
  <c r="C32" i="8"/>
  <c r="B32" i="8"/>
  <c r="F31" i="8"/>
  <c r="E31" i="8"/>
  <c r="D31" i="8"/>
  <c r="C31" i="8"/>
  <c r="B31" i="8"/>
  <c r="F30" i="8"/>
  <c r="E30" i="8"/>
  <c r="D30" i="8"/>
  <c r="C30" i="8"/>
  <c r="B30" i="8"/>
  <c r="F29" i="8"/>
  <c r="E29" i="8"/>
  <c r="D29" i="8"/>
  <c r="C29" i="8"/>
  <c r="B29" i="8"/>
  <c r="F28" i="8"/>
  <c r="E28" i="8"/>
  <c r="D28" i="8"/>
  <c r="C28" i="8"/>
  <c r="B28" i="8"/>
  <c r="F27" i="8"/>
  <c r="E27" i="8"/>
  <c r="D27" i="8"/>
  <c r="C27" i="8"/>
  <c r="B27" i="8"/>
  <c r="F26" i="8"/>
  <c r="E26" i="8"/>
  <c r="D26" i="8"/>
  <c r="C26" i="8"/>
  <c r="B26" i="8"/>
  <c r="F23" i="8"/>
  <c r="F34" i="4" s="1"/>
  <c r="G22" i="8"/>
  <c r="H22" i="8" s="1"/>
  <c r="I22" i="8" s="1"/>
  <c r="J22" i="8" s="1"/>
  <c r="K22" i="8" s="1"/>
  <c r="F22" i="8"/>
  <c r="E22" i="8"/>
  <c r="E23" i="8" s="1"/>
  <c r="E34" i="4" s="1"/>
  <c r="G5" i="8"/>
  <c r="B38" i="7"/>
  <c r="B37" i="7"/>
  <c r="C17" i="7"/>
  <c r="C12" i="7"/>
  <c r="B4" i="7"/>
  <c r="C30" i="7" s="1"/>
  <c r="D30" i="7" s="1"/>
  <c r="E30" i="7" s="1"/>
  <c r="F30" i="7" s="1"/>
  <c r="G30" i="7" s="1"/>
  <c r="F52" i="6"/>
  <c r="F11" i="6" s="1"/>
  <c r="F16" i="6" s="1"/>
  <c r="G16" i="6" s="1"/>
  <c r="E52" i="6"/>
  <c r="E3" i="6" s="1"/>
  <c r="D52" i="6"/>
  <c r="D11" i="6" s="1"/>
  <c r="D16" i="6" s="1"/>
  <c r="C52" i="6"/>
  <c r="B52" i="6"/>
  <c r="B36" i="6" s="1"/>
  <c r="B41" i="6" s="1"/>
  <c r="H50" i="6"/>
  <c r="I50" i="6" s="1"/>
  <c r="J50" i="6" s="1"/>
  <c r="K50" i="6" s="1"/>
  <c r="C48" i="6"/>
  <c r="G47" i="6"/>
  <c r="G49" i="6" s="1"/>
  <c r="H47" i="6" s="1"/>
  <c r="H49" i="6" s="1"/>
  <c r="F47" i="6"/>
  <c r="F48" i="6" s="1"/>
  <c r="E47" i="6"/>
  <c r="E48" i="6" s="1"/>
  <c r="D47" i="6"/>
  <c r="D48" i="6" s="1"/>
  <c r="G38" i="6"/>
  <c r="G40" i="6" s="1"/>
  <c r="H38" i="6" s="1"/>
  <c r="H40" i="6" s="1"/>
  <c r="I38" i="6" s="1"/>
  <c r="I40" i="6" s="1"/>
  <c r="J38" i="6" s="1"/>
  <c r="J40" i="6" s="1"/>
  <c r="K38" i="6" s="1"/>
  <c r="K40" i="6" s="1"/>
  <c r="F38" i="6"/>
  <c r="F39" i="6" s="1"/>
  <c r="E38" i="6"/>
  <c r="E39" i="6" s="1"/>
  <c r="D38" i="6"/>
  <c r="D39" i="6" s="1"/>
  <c r="C38" i="6"/>
  <c r="C39" i="6" s="1"/>
  <c r="B38" i="6"/>
  <c r="G32" i="6"/>
  <c r="H32" i="6" s="1"/>
  <c r="G29" i="6"/>
  <c r="G31" i="6" s="1"/>
  <c r="C22" i="6"/>
  <c r="G21" i="6"/>
  <c r="G23" i="6" s="1"/>
  <c r="H21" i="6" s="1"/>
  <c r="H23" i="6" s="1"/>
  <c r="I21" i="6" s="1"/>
  <c r="I23" i="6" s="1"/>
  <c r="J21" i="6" s="1"/>
  <c r="J23" i="6" s="1"/>
  <c r="F21" i="6"/>
  <c r="F22" i="6" s="1"/>
  <c r="E21" i="6"/>
  <c r="E22" i="6" s="1"/>
  <c r="D21" i="6"/>
  <c r="D22" i="6" s="1"/>
  <c r="F19" i="6"/>
  <c r="F24" i="6" s="1"/>
  <c r="G24" i="6" s="1"/>
  <c r="G19" i="6" s="1"/>
  <c r="G20" i="6" s="1"/>
  <c r="H17" i="6"/>
  <c r="B16" i="6"/>
  <c r="G13" i="6"/>
  <c r="G15" i="6" s="1"/>
  <c r="H13" i="6" s="1"/>
  <c r="H15" i="6" s="1"/>
  <c r="I13" i="6" s="1"/>
  <c r="I15" i="6" s="1"/>
  <c r="J13" i="6" s="1"/>
  <c r="J15" i="6" s="1"/>
  <c r="K13" i="6" s="1"/>
  <c r="K15" i="6" s="1"/>
  <c r="F13" i="6"/>
  <c r="F14" i="6" s="1"/>
  <c r="E13" i="6"/>
  <c r="E14" i="6" s="1"/>
  <c r="D13" i="6"/>
  <c r="D14" i="6" s="1"/>
  <c r="C13" i="6"/>
  <c r="C14" i="6" s="1"/>
  <c r="B13" i="6"/>
  <c r="B6" i="6"/>
  <c r="B7" i="6" s="1"/>
  <c r="G5" i="6"/>
  <c r="G7" i="6" s="1"/>
  <c r="H5" i="6" s="1"/>
  <c r="H7" i="6" s="1"/>
  <c r="F5" i="6"/>
  <c r="F6" i="6" s="1"/>
  <c r="E5" i="6"/>
  <c r="E6" i="6" s="1"/>
  <c r="D5" i="6"/>
  <c r="D6" i="6" s="1"/>
  <c r="G37" i="5"/>
  <c r="F37" i="5"/>
  <c r="E37" i="5"/>
  <c r="D37" i="5"/>
  <c r="C37" i="5"/>
  <c r="G36" i="5"/>
  <c r="F36" i="5"/>
  <c r="E36" i="5"/>
  <c r="D36" i="5"/>
  <c r="C36" i="5"/>
  <c r="G35" i="5"/>
  <c r="F35" i="5"/>
  <c r="E35" i="5"/>
  <c r="D35" i="5"/>
  <c r="C35" i="5"/>
  <c r="G34" i="5"/>
  <c r="F34" i="5"/>
  <c r="E34" i="5"/>
  <c r="D34" i="5"/>
  <c r="C34" i="5"/>
  <c r="G33" i="5"/>
  <c r="F33" i="5"/>
  <c r="E33" i="5"/>
  <c r="D33" i="5"/>
  <c r="C33" i="5"/>
  <c r="G32" i="5"/>
  <c r="F32" i="5"/>
  <c r="E32" i="5"/>
  <c r="D32" i="5"/>
  <c r="C32" i="5"/>
  <c r="G31" i="5"/>
  <c r="F31" i="5"/>
  <c r="E31" i="5"/>
  <c r="D31" i="5"/>
  <c r="C31" i="5"/>
  <c r="G30" i="5"/>
  <c r="F30" i="5"/>
  <c r="E30" i="5"/>
  <c r="D30" i="5"/>
  <c r="C30" i="5"/>
  <c r="G29" i="5"/>
  <c r="F29" i="5"/>
  <c r="E29" i="5"/>
  <c r="D29" i="5"/>
  <c r="C29" i="5"/>
  <c r="G28" i="5"/>
  <c r="F28" i="5"/>
  <c r="E28" i="5"/>
  <c r="D28" i="5"/>
  <c r="C28" i="5"/>
  <c r="G27" i="5"/>
  <c r="F27" i="5"/>
  <c r="E27" i="5"/>
  <c r="D27" i="5"/>
  <c r="C27" i="5"/>
  <c r="G26" i="5"/>
  <c r="F26" i="5"/>
  <c r="E26" i="5"/>
  <c r="D26" i="5"/>
  <c r="C26" i="5"/>
  <c r="D61" i="4"/>
  <c r="F53" i="4"/>
  <c r="E53" i="4"/>
  <c r="D53" i="4"/>
  <c r="C53" i="4"/>
  <c r="B53" i="4"/>
  <c r="F52" i="4"/>
  <c r="E52" i="4"/>
  <c r="D52" i="4"/>
  <c r="C52" i="4"/>
  <c r="B52" i="4"/>
  <c r="F51" i="4"/>
  <c r="E51" i="4"/>
  <c r="D51" i="4"/>
  <c r="C51" i="4"/>
  <c r="B51" i="4"/>
  <c r="F50" i="4"/>
  <c r="E50" i="4"/>
  <c r="D50" i="4"/>
  <c r="C50" i="4"/>
  <c r="B50" i="4"/>
  <c r="F49" i="4"/>
  <c r="E49" i="4"/>
  <c r="D49" i="4"/>
  <c r="C49" i="4"/>
  <c r="B49" i="4"/>
  <c r="F48" i="4"/>
  <c r="E48" i="4"/>
  <c r="D48" i="4"/>
  <c r="C48" i="4"/>
  <c r="B48" i="4"/>
  <c r="F47" i="4"/>
  <c r="E47" i="4"/>
  <c r="D47" i="4"/>
  <c r="C47" i="4"/>
  <c r="B47" i="4"/>
  <c r="F44" i="4"/>
  <c r="E44" i="4"/>
  <c r="D44" i="4"/>
  <c r="C44" i="4"/>
  <c r="F43" i="4"/>
  <c r="E43" i="4"/>
  <c r="D43" i="4"/>
  <c r="C43" i="4"/>
  <c r="F42" i="4"/>
  <c r="E42" i="4"/>
  <c r="D42" i="4"/>
  <c r="C42" i="4"/>
  <c r="F41" i="4"/>
  <c r="E41" i="4"/>
  <c r="D41" i="4"/>
  <c r="C41" i="4"/>
  <c r="F40" i="4"/>
  <c r="E40" i="4"/>
  <c r="D40" i="4"/>
  <c r="C40" i="4"/>
  <c r="F39" i="4"/>
  <c r="E39" i="4"/>
  <c r="D39" i="4"/>
  <c r="C39" i="4"/>
  <c r="F38" i="4"/>
  <c r="E38" i="4"/>
  <c r="D38" i="4"/>
  <c r="C38" i="4"/>
  <c r="F31" i="4"/>
  <c r="E31" i="4"/>
  <c r="D31" i="4"/>
  <c r="C31" i="4"/>
  <c r="B31" i="4"/>
  <c r="F30" i="4"/>
  <c r="E30" i="4"/>
  <c r="D30" i="4"/>
  <c r="C30" i="4"/>
  <c r="F29" i="4"/>
  <c r="E29" i="4"/>
  <c r="D29" i="4"/>
  <c r="C29" i="4"/>
  <c r="F28" i="4"/>
  <c r="E28" i="4"/>
  <c r="D28" i="4"/>
  <c r="C28" i="4"/>
  <c r="B28" i="4"/>
  <c r="F27" i="4"/>
  <c r="E27" i="4"/>
  <c r="D27" i="4"/>
  <c r="C27" i="4"/>
  <c r="B27" i="4"/>
  <c r="F25" i="4"/>
  <c r="E25" i="4"/>
  <c r="D25" i="4"/>
  <c r="C25" i="4"/>
  <c r="B25" i="4"/>
  <c r="F24" i="4"/>
  <c r="E24" i="4"/>
  <c r="D24" i="4"/>
  <c r="C24" i="4"/>
  <c r="B24" i="4"/>
  <c r="F23" i="4"/>
  <c r="E23" i="4"/>
  <c r="D23" i="4"/>
  <c r="C23" i="4"/>
  <c r="B23" i="4"/>
  <c r="F22" i="4"/>
  <c r="E22" i="4"/>
  <c r="D22" i="4"/>
  <c r="C22" i="4"/>
  <c r="B22" i="4"/>
  <c r="F19" i="4"/>
  <c r="E19" i="4"/>
  <c r="D19" i="4"/>
  <c r="C19" i="4"/>
  <c r="F17" i="4"/>
  <c r="F18" i="4" s="1"/>
  <c r="E17" i="4"/>
  <c r="E18" i="4" s="1"/>
  <c r="D17" i="4"/>
  <c r="D18" i="4" s="1"/>
  <c r="C17" i="4"/>
  <c r="C18" i="4" s="1"/>
  <c r="F15" i="4"/>
  <c r="F16" i="4" s="1"/>
  <c r="E15" i="4"/>
  <c r="E16" i="4" s="1"/>
  <c r="D15" i="4"/>
  <c r="D16" i="4" s="1"/>
  <c r="C15" i="4"/>
  <c r="C16" i="4" s="1"/>
  <c r="F13" i="4"/>
  <c r="F14" i="4" s="1"/>
  <c r="E13" i="4"/>
  <c r="E14" i="4" s="1"/>
  <c r="D13" i="4"/>
  <c r="D14" i="4" s="1"/>
  <c r="C13" i="4"/>
  <c r="C14" i="4" s="1"/>
  <c r="F9" i="4"/>
  <c r="E9" i="4"/>
  <c r="D9" i="4"/>
  <c r="C9" i="4"/>
  <c r="B9" i="4"/>
  <c r="F8" i="4"/>
  <c r="E8" i="4"/>
  <c r="D8" i="4"/>
  <c r="C8" i="4"/>
  <c r="B8" i="4"/>
  <c r="F5" i="4"/>
  <c r="E5" i="4"/>
  <c r="D5" i="4"/>
  <c r="C5" i="4"/>
  <c r="B5" i="4"/>
  <c r="F4" i="4"/>
  <c r="E4" i="4"/>
  <c r="D4" i="4"/>
  <c r="C4" i="4"/>
  <c r="B4" i="4"/>
  <c r="F3" i="4"/>
  <c r="E3" i="4"/>
  <c r="D3" i="4"/>
  <c r="C3" i="4"/>
  <c r="B3" i="4"/>
  <c r="J17" i="2"/>
  <c r="G41" i="8" l="1"/>
  <c r="G31" i="8"/>
  <c r="C20" i="13"/>
  <c r="C14" i="11"/>
  <c r="D30" i="13"/>
  <c r="C59" i="4"/>
  <c r="H38" i="8"/>
  <c r="I38" i="8" s="1"/>
  <c r="H27" i="9"/>
  <c r="I297" i="9" s="1"/>
  <c r="G66" i="12"/>
  <c r="G68" i="12" s="1"/>
  <c r="G86" i="12" s="1"/>
  <c r="H85" i="12" s="1"/>
  <c r="G73" i="12"/>
  <c r="H71" i="12" s="1"/>
  <c r="G76" i="12"/>
  <c r="H31" i="8"/>
  <c r="I31" i="8" s="1"/>
  <c r="J31" i="8" s="1"/>
  <c r="K31" i="8" s="1"/>
  <c r="G42" i="8"/>
  <c r="E151" i="9"/>
  <c r="J80" i="12"/>
  <c r="J82" i="12" s="1"/>
  <c r="J72" i="12" s="1"/>
  <c r="C16" i="11"/>
  <c r="G148" i="9"/>
  <c r="G151" i="9"/>
  <c r="B62" i="12"/>
  <c r="C61" i="12" s="1"/>
  <c r="R32" i="15"/>
  <c r="D3" i="6"/>
  <c r="D8" i="6" s="1"/>
  <c r="G45" i="6"/>
  <c r="G57" i="8" s="1"/>
  <c r="E11" i="6"/>
  <c r="F12" i="6" s="1"/>
  <c r="C5" i="6"/>
  <c r="C6" i="6" s="1"/>
  <c r="B8" i="6"/>
  <c r="G27" i="6"/>
  <c r="G53" i="8" s="1"/>
  <c r="H29" i="6"/>
  <c r="H31" i="6" s="1"/>
  <c r="I29" i="6" s="1"/>
  <c r="I31" i="6" s="1"/>
  <c r="J29" i="6" s="1"/>
  <c r="J31" i="6" s="1"/>
  <c r="K29" i="6" s="1"/>
  <c r="K31" i="6" s="1"/>
  <c r="F53" i="6"/>
  <c r="F37" i="4" s="1"/>
  <c r="F3" i="6"/>
  <c r="F4" i="6" s="1"/>
  <c r="E53" i="6"/>
  <c r="E37" i="4" s="1"/>
  <c r="D59" i="4"/>
  <c r="D56" i="4"/>
  <c r="D57" i="4"/>
  <c r="C53" i="14"/>
  <c r="D44" i="14" s="1"/>
  <c r="D9" i="5"/>
  <c r="C56" i="4"/>
  <c r="G12" i="5"/>
  <c r="B10" i="4"/>
  <c r="C60" i="4"/>
  <c r="F10" i="4"/>
  <c r="C57" i="4"/>
  <c r="D10" i="4"/>
  <c r="E10" i="4"/>
  <c r="C5" i="13"/>
  <c r="E53" i="14"/>
  <c r="F44" i="14" s="1"/>
  <c r="F53" i="14" s="1"/>
  <c r="G44" i="14" s="1"/>
  <c r="D12" i="5"/>
  <c r="E15" i="5"/>
  <c r="C26" i="4"/>
  <c r="E12" i="5"/>
  <c r="F13" i="5"/>
  <c r="E13" i="5"/>
  <c r="E16" i="5"/>
  <c r="D15" i="5"/>
  <c r="B8" i="10"/>
  <c r="F8" i="10"/>
  <c r="E28" i="10"/>
  <c r="E5" i="13"/>
  <c r="E7" i="13"/>
  <c r="E8" i="13" s="1"/>
  <c r="B10" i="13"/>
  <c r="F10" i="13"/>
  <c r="D10" i="5"/>
  <c r="G10" i="5"/>
  <c r="D11" i="5"/>
  <c r="G13" i="5"/>
  <c r="E14" i="5"/>
  <c r="E59" i="4"/>
  <c r="F20" i="13"/>
  <c r="E56" i="4"/>
  <c r="B59" i="4"/>
  <c r="F59" i="4"/>
  <c r="E60" i="4"/>
  <c r="C8" i="10"/>
  <c r="B20" i="10"/>
  <c r="F20" i="10"/>
  <c r="B28" i="10"/>
  <c r="F28" i="10"/>
  <c r="B56" i="4"/>
  <c r="F56" i="4"/>
  <c r="E57" i="4"/>
  <c r="B60" i="4"/>
  <c r="F60" i="4"/>
  <c r="D8" i="10"/>
  <c r="E20" i="10"/>
  <c r="C20" i="10"/>
  <c r="C28" i="10"/>
  <c r="D5" i="13"/>
  <c r="C7" i="13"/>
  <c r="C8" i="13" s="1"/>
  <c r="F7" i="13"/>
  <c r="F8" i="13" s="1"/>
  <c r="D10" i="13"/>
  <c r="B57" i="4"/>
  <c r="F57" i="4"/>
  <c r="B61" i="4"/>
  <c r="F61" i="4"/>
  <c r="E9" i="5"/>
  <c r="F9" i="5"/>
  <c r="E11" i="5"/>
  <c r="D13" i="5"/>
  <c r="D16" i="5"/>
  <c r="G16" i="5"/>
  <c r="E8" i="10"/>
  <c r="D20" i="10"/>
  <c r="D28" i="10"/>
  <c r="D7" i="13"/>
  <c r="D8" i="13" s="1"/>
  <c r="G14" i="13"/>
  <c r="H14" i="13" s="1"/>
  <c r="G11" i="6"/>
  <c r="H16" i="6"/>
  <c r="I5" i="6"/>
  <c r="I7" i="6" s="1"/>
  <c r="K21" i="6"/>
  <c r="K23" i="6" s="1"/>
  <c r="I32" i="6"/>
  <c r="K33" i="9"/>
  <c r="G6" i="11"/>
  <c r="H41" i="12"/>
  <c r="E10" i="5"/>
  <c r="D14" i="5"/>
  <c r="F16" i="5"/>
  <c r="H24" i="6"/>
  <c r="I47" i="6"/>
  <c r="I49" i="6" s="1"/>
  <c r="H45" i="6"/>
  <c r="J27" i="9"/>
  <c r="J77" i="9"/>
  <c r="J347" i="9" s="1"/>
  <c r="G120" i="9"/>
  <c r="G121" i="9" s="1"/>
  <c r="F125" i="9"/>
  <c r="F126" i="9" s="1"/>
  <c r="D152" i="9"/>
  <c r="D153" i="9" s="1"/>
  <c r="C11" i="6"/>
  <c r="D12" i="6" s="1"/>
  <c r="C3" i="6"/>
  <c r="C53" i="6"/>
  <c r="H5" i="8"/>
  <c r="H33" i="8"/>
  <c r="H37" i="8"/>
  <c r="I7" i="16"/>
  <c r="I8" i="16" s="1"/>
  <c r="C11" i="7" s="1"/>
  <c r="H41" i="8"/>
  <c r="I41" i="8" s="1"/>
  <c r="C13" i="7"/>
  <c r="F15" i="5"/>
  <c r="E8" i="6"/>
  <c r="F12" i="5"/>
  <c r="F10" i="5"/>
  <c r="G9" i="5"/>
  <c r="F11" i="5"/>
  <c r="G11" i="5"/>
  <c r="G14" i="5"/>
  <c r="F14" i="5"/>
  <c r="G15" i="5"/>
  <c r="E93" i="12"/>
  <c r="G33" i="8"/>
  <c r="H44" i="8"/>
  <c r="J7" i="9"/>
  <c r="D53" i="6"/>
  <c r="J4" i="9"/>
  <c r="H313" i="9"/>
  <c r="H347" i="9"/>
  <c r="I347" i="9"/>
  <c r="D140" i="9"/>
  <c r="E139" i="9" s="1"/>
  <c r="E131" i="9"/>
  <c r="E133" i="9" s="1"/>
  <c r="F148" i="9"/>
  <c r="F152" i="9" s="1"/>
  <c r="G10" i="15"/>
  <c r="G9" i="15" s="1"/>
  <c r="I277" i="9"/>
  <c r="H277" i="9"/>
  <c r="J303" i="9"/>
  <c r="I27" i="9"/>
  <c r="E121" i="9"/>
  <c r="F120" i="9"/>
  <c r="F121" i="9" s="1"/>
  <c r="D126" i="9"/>
  <c r="E125" i="9"/>
  <c r="E126" i="9" s="1"/>
  <c r="I274" i="9"/>
  <c r="H274" i="9"/>
  <c r="H303" i="9"/>
  <c r="I303" i="9"/>
  <c r="E148" i="9"/>
  <c r="F11" i="11"/>
  <c r="C34" i="12"/>
  <c r="D33" i="12" s="1"/>
  <c r="D7" i="12"/>
  <c r="D13" i="12" s="1"/>
  <c r="D14" i="11"/>
  <c r="D16" i="11" s="1"/>
  <c r="H32" i="14"/>
  <c r="H36" i="14" s="1"/>
  <c r="G6" i="14"/>
  <c r="H100" i="9" s="1"/>
  <c r="E14" i="11"/>
  <c r="E16" i="11" s="1"/>
  <c r="H66" i="12"/>
  <c r="H68" i="12" s="1"/>
  <c r="F14" i="11"/>
  <c r="F16" i="11" s="1"/>
  <c r="J53" i="12"/>
  <c r="I53" i="12"/>
  <c r="H53" i="12"/>
  <c r="G53" i="12"/>
  <c r="G58" i="12" s="1"/>
  <c r="G47" i="12" s="1"/>
  <c r="G48" i="12" s="1"/>
  <c r="H42" i="12"/>
  <c r="I42" i="12" s="1"/>
  <c r="J42" i="12" s="1"/>
  <c r="K42" i="12" s="1"/>
  <c r="K57" i="12" s="1"/>
  <c r="G38" i="14"/>
  <c r="G40" i="14"/>
  <c r="H12" i="13"/>
  <c r="H16" i="13"/>
  <c r="H22" i="13"/>
  <c r="G18" i="14"/>
  <c r="G20" i="14" s="1"/>
  <c r="G19" i="14" s="1"/>
  <c r="H26" i="14"/>
  <c r="H28" i="14" s="1"/>
  <c r="G4" i="14"/>
  <c r="H97" i="9" s="1"/>
  <c r="E57" i="14"/>
  <c r="E58" i="14" s="1"/>
  <c r="F56" i="14" s="1"/>
  <c r="F58" i="14" s="1"/>
  <c r="F5" i="13"/>
  <c r="E20" i="13"/>
  <c r="C36" i="13"/>
  <c r="D35" i="13"/>
  <c r="D36" i="13" s="1"/>
  <c r="D38" i="15"/>
  <c r="J41" i="15" s="1"/>
  <c r="O42" i="15" s="1"/>
  <c r="K42" i="15"/>
  <c r="C10" i="13"/>
  <c r="G28" i="13"/>
  <c r="G90" i="12"/>
  <c r="G9" i="12" s="1"/>
  <c r="G32" i="13"/>
  <c r="K8" i="15"/>
  <c r="K11" i="15" s="1"/>
  <c r="H78" i="12"/>
  <c r="H82" i="12" s="1"/>
  <c r="H72" i="12" s="1"/>
  <c r="H73" i="12" s="1"/>
  <c r="I71" i="12" s="1"/>
  <c r="I73" i="12" s="1"/>
  <c r="J71" i="12" s="1"/>
  <c r="C30" i="13"/>
  <c r="D20" i="13"/>
  <c r="H26" i="13"/>
  <c r="B30" i="13"/>
  <c r="F30" i="13"/>
  <c r="G22" i="15"/>
  <c r="J21" i="15"/>
  <c r="E30" i="13"/>
  <c r="E35" i="13"/>
  <c r="E36" i="13" s="1"/>
  <c r="D36" i="6" l="1"/>
  <c r="H27" i="6"/>
  <c r="I42" i="8"/>
  <c r="H37" i="12"/>
  <c r="E152" i="9"/>
  <c r="E153" i="9" s="1"/>
  <c r="H54" i="12"/>
  <c r="H58" i="12" s="1"/>
  <c r="H47" i="12" s="1"/>
  <c r="I55" i="12"/>
  <c r="J55" i="12" s="1"/>
  <c r="K55" i="12" s="1"/>
  <c r="L42" i="15"/>
  <c r="K54" i="12"/>
  <c r="K58" i="12" s="1"/>
  <c r="K47" i="12" s="1"/>
  <c r="H297" i="9"/>
  <c r="E36" i="6"/>
  <c r="E41" i="6" s="1"/>
  <c r="G152" i="9"/>
  <c r="H42" i="8"/>
  <c r="J73" i="12"/>
  <c r="K71" i="12" s="1"/>
  <c r="K73" i="12" s="1"/>
  <c r="I54" i="12"/>
  <c r="I58" i="12" s="1"/>
  <c r="I47" i="12" s="1"/>
  <c r="E4" i="6"/>
  <c r="J54" i="12"/>
  <c r="J58" i="12" s="1"/>
  <c r="J47" i="12" s="1"/>
  <c r="J38" i="8"/>
  <c r="K38" i="8" s="1"/>
  <c r="J56" i="12"/>
  <c r="K56" i="12" s="1"/>
  <c r="C14" i="7"/>
  <c r="C16" i="7" s="1"/>
  <c r="C36" i="6"/>
  <c r="D37" i="6" s="1"/>
  <c r="E12" i="6"/>
  <c r="G123" i="9"/>
  <c r="G128" i="9" s="1"/>
  <c r="E16" i="6"/>
  <c r="F93" i="12"/>
  <c r="E10" i="15"/>
  <c r="E9" i="15" s="1"/>
  <c r="D9" i="15" s="1"/>
  <c r="J12" i="15" s="1"/>
  <c r="F123" i="9"/>
  <c r="F128" i="9" s="1"/>
  <c r="F8" i="6"/>
  <c r="G8" i="6" s="1"/>
  <c r="F36" i="6"/>
  <c r="F41" i="6" s="1"/>
  <c r="G41" i="6" s="1"/>
  <c r="G36" i="6" s="1"/>
  <c r="G5" i="13"/>
  <c r="H5" i="13" s="1"/>
  <c r="I5" i="13" s="1"/>
  <c r="H20" i="13"/>
  <c r="I20" i="13" s="1"/>
  <c r="F17" i="5"/>
  <c r="E17" i="5"/>
  <c r="G49" i="14"/>
  <c r="G27" i="10" s="1"/>
  <c r="G22" i="14"/>
  <c r="G38" i="12"/>
  <c r="H44" i="9" s="1"/>
  <c r="H46" i="12"/>
  <c r="G62" i="12"/>
  <c r="H61" i="12" s="1"/>
  <c r="H86" i="12"/>
  <c r="I85" i="12" s="1"/>
  <c r="I66" i="12"/>
  <c r="I68" i="12" s="1"/>
  <c r="H370" i="9"/>
  <c r="D34" i="12"/>
  <c r="E33" i="12" s="1"/>
  <c r="E7" i="12"/>
  <c r="E13" i="12" s="1"/>
  <c r="I37" i="12"/>
  <c r="I43" i="9"/>
  <c r="K274" i="9"/>
  <c r="K4" i="9"/>
  <c r="J274" i="9"/>
  <c r="L33" i="9"/>
  <c r="L303" i="9" s="1"/>
  <c r="K27" i="9"/>
  <c r="K297" i="9" s="1"/>
  <c r="J5" i="6"/>
  <c r="J7" i="6" s="1"/>
  <c r="I45" i="6"/>
  <c r="J47" i="6"/>
  <c r="J49" i="6" s="1"/>
  <c r="M42" i="15"/>
  <c r="R34" i="15" s="1"/>
  <c r="R35" i="15" s="1"/>
  <c r="H367" i="9"/>
  <c r="I16" i="13"/>
  <c r="I12" i="13"/>
  <c r="K7" i="9"/>
  <c r="K277" i="9" s="1"/>
  <c r="J33" i="8"/>
  <c r="G17" i="5"/>
  <c r="C8" i="6"/>
  <c r="D4" i="6"/>
  <c r="C4" i="6"/>
  <c r="K77" i="9"/>
  <c r="I24" i="6"/>
  <c r="H19" i="6"/>
  <c r="H20" i="6" s="1"/>
  <c r="K303" i="9"/>
  <c r="I16" i="6"/>
  <c r="H11" i="6"/>
  <c r="I26" i="13"/>
  <c r="H28" i="13"/>
  <c r="I28" i="13" s="1"/>
  <c r="D41" i="6"/>
  <c r="I44" i="8"/>
  <c r="H46" i="6"/>
  <c r="H57" i="8"/>
  <c r="J32" i="6"/>
  <c r="I27" i="6"/>
  <c r="G7" i="14"/>
  <c r="H102" i="9" s="1"/>
  <c r="H40" i="14"/>
  <c r="H38" i="14"/>
  <c r="I32" i="14"/>
  <c r="I36" i="14" s="1"/>
  <c r="H6" i="14"/>
  <c r="I100" i="9" s="1"/>
  <c r="D93" i="12"/>
  <c r="D37" i="4"/>
  <c r="E123" i="9"/>
  <c r="E128" i="9" s="1"/>
  <c r="C93" i="12"/>
  <c r="C37" i="4"/>
  <c r="D123" i="9"/>
  <c r="D128" i="9" s="1"/>
  <c r="N42" i="15"/>
  <c r="G30" i="13"/>
  <c r="H30" i="13" s="1"/>
  <c r="I26" i="14"/>
  <c r="I28" i="14" s="1"/>
  <c r="H4" i="14"/>
  <c r="I97" i="9" s="1"/>
  <c r="I367" i="9" s="1"/>
  <c r="H32" i="13"/>
  <c r="I32" i="13" s="1"/>
  <c r="I22" i="13"/>
  <c r="I14" i="13"/>
  <c r="J297" i="9"/>
  <c r="E140" i="9"/>
  <c r="F139" i="9" s="1"/>
  <c r="F131" i="9"/>
  <c r="F133" i="9" s="1"/>
  <c r="J277" i="9"/>
  <c r="I33" i="8"/>
  <c r="J41" i="8"/>
  <c r="K41" i="8" s="1"/>
  <c r="G153" i="9"/>
  <c r="I37" i="8"/>
  <c r="J37" i="8" s="1"/>
  <c r="I5" i="8"/>
  <c r="C16" i="6"/>
  <c r="C12" i="6"/>
  <c r="H43" i="12"/>
  <c r="H53" i="8"/>
  <c r="H28" i="6"/>
  <c r="G51" i="8"/>
  <c r="G12" i="6"/>
  <c r="C41" i="6" l="1"/>
  <c r="C37" i="6"/>
  <c r="E37" i="6"/>
  <c r="H48" i="12"/>
  <c r="K33" i="8"/>
  <c r="F153" i="9"/>
  <c r="J42" i="8"/>
  <c r="K42" i="8" s="1"/>
  <c r="H41" i="6"/>
  <c r="H36" i="6" s="1"/>
  <c r="H8" i="6"/>
  <c r="G3" i="6"/>
  <c r="G52" i="6" s="1"/>
  <c r="F37" i="6"/>
  <c r="E23" i="15"/>
  <c r="E22" i="15" s="1"/>
  <c r="D22" i="15" s="1"/>
  <c r="J25" i="15" s="1"/>
  <c r="J20" i="13"/>
  <c r="K20" i="13" s="1"/>
  <c r="J5" i="8"/>
  <c r="J32" i="14"/>
  <c r="J36" i="14" s="1"/>
  <c r="I6" i="14"/>
  <c r="J100" i="9" s="1"/>
  <c r="J370" i="9" s="1"/>
  <c r="L77" i="9"/>
  <c r="I57" i="8"/>
  <c r="I46" i="6"/>
  <c r="I86" i="12"/>
  <c r="J85" i="12" s="1"/>
  <c r="J66" i="12"/>
  <c r="J68" i="12" s="1"/>
  <c r="I46" i="12"/>
  <c r="I48" i="12" s="1"/>
  <c r="H38" i="12"/>
  <c r="I44" i="9" s="1"/>
  <c r="I42" i="9" s="1"/>
  <c r="R23" i="15"/>
  <c r="R26" i="15" s="1"/>
  <c r="G55" i="8"/>
  <c r="G37" i="6"/>
  <c r="J14" i="13"/>
  <c r="I28" i="6"/>
  <c r="I53" i="8"/>
  <c r="H51" i="8"/>
  <c r="H12" i="6"/>
  <c r="K347" i="9"/>
  <c r="K5" i="6"/>
  <c r="K7" i="6" s="1"/>
  <c r="L274" i="9"/>
  <c r="L4" i="9"/>
  <c r="I313" i="9"/>
  <c r="H314" i="9"/>
  <c r="H42" i="9"/>
  <c r="K37" i="8"/>
  <c r="I4" i="14"/>
  <c r="J97" i="9" s="1"/>
  <c r="J367" i="9" s="1"/>
  <c r="J26" i="14"/>
  <c r="J28" i="14" s="1"/>
  <c r="I40" i="14"/>
  <c r="I38" i="14"/>
  <c r="H7" i="14"/>
  <c r="I102" i="9" s="1"/>
  <c r="I372" i="9" s="1"/>
  <c r="J27" i="6"/>
  <c r="K32" i="6"/>
  <c r="K27" i="6" s="1"/>
  <c r="J16" i="6"/>
  <c r="I11" i="6"/>
  <c r="J24" i="6"/>
  <c r="I19" i="6"/>
  <c r="I20" i="6" s="1"/>
  <c r="J12" i="13"/>
  <c r="P13" i="15"/>
  <c r="M13" i="15"/>
  <c r="O13" i="15"/>
  <c r="L13" i="15"/>
  <c r="N13" i="15"/>
  <c r="J37" i="12"/>
  <c r="J43" i="9"/>
  <c r="G3" i="14"/>
  <c r="H94" i="9" s="1"/>
  <c r="H15" i="14"/>
  <c r="H22" i="14" s="1"/>
  <c r="J32" i="13"/>
  <c r="K32" i="13" s="1"/>
  <c r="J28" i="13"/>
  <c r="J26" i="13"/>
  <c r="J16" i="13"/>
  <c r="L7" i="9"/>
  <c r="H62" i="12"/>
  <c r="I61" i="12" s="1"/>
  <c r="I41" i="12"/>
  <c r="I43" i="12" s="1"/>
  <c r="F140" i="9"/>
  <c r="G139" i="9" s="1"/>
  <c r="G131" i="9"/>
  <c r="G133" i="9" s="1"/>
  <c r="J22" i="13"/>
  <c r="J5" i="13"/>
  <c r="K5" i="13" s="1"/>
  <c r="I30" i="13"/>
  <c r="J30" i="13" s="1"/>
  <c r="H372" i="9"/>
  <c r="K13" i="15"/>
  <c r="K47" i="6"/>
  <c r="K49" i="6" s="1"/>
  <c r="K45" i="6" s="1"/>
  <c r="J45" i="6"/>
  <c r="L27" i="9"/>
  <c r="L297" i="9" s="1"/>
  <c r="J44" i="8"/>
  <c r="K44" i="8" s="1"/>
  <c r="F7" i="12"/>
  <c r="F13" i="12" s="1"/>
  <c r="E34" i="12"/>
  <c r="F33" i="12" s="1"/>
  <c r="I370" i="9"/>
  <c r="I41" i="6" l="1"/>
  <c r="I314" i="9"/>
  <c r="N26" i="15"/>
  <c r="L26" i="15"/>
  <c r="K26" i="15"/>
  <c r="O26" i="15"/>
  <c r="M26" i="15"/>
  <c r="G49" i="8"/>
  <c r="G59" i="8" s="1"/>
  <c r="G4" i="6"/>
  <c r="I8" i="6"/>
  <c r="H3" i="6"/>
  <c r="H52" i="6" s="1"/>
  <c r="R3" i="15"/>
  <c r="R11" i="15" s="1"/>
  <c r="G7" i="12"/>
  <c r="F34" i="12"/>
  <c r="F21" i="12"/>
  <c r="I62" i="12"/>
  <c r="J61" i="12" s="1"/>
  <c r="J41" i="12"/>
  <c r="J43" i="12" s="1"/>
  <c r="I15" i="14"/>
  <c r="I22" i="14" s="1"/>
  <c r="H49" i="14"/>
  <c r="H27" i="10" s="1"/>
  <c r="H3" i="14"/>
  <c r="I94" i="9" s="1"/>
  <c r="I364" i="9" s="1"/>
  <c r="H23" i="10" s="1"/>
  <c r="J57" i="8"/>
  <c r="J46" i="6"/>
  <c r="K22" i="13"/>
  <c r="K26" i="13"/>
  <c r="H364" i="9"/>
  <c r="G23" i="10" s="1"/>
  <c r="H95" i="9"/>
  <c r="K12" i="13"/>
  <c r="I51" i="8"/>
  <c r="I12" i="6"/>
  <c r="J46" i="12"/>
  <c r="J48" i="12" s="1"/>
  <c r="I38" i="12"/>
  <c r="J44" i="9" s="1"/>
  <c r="J314" i="9" s="1"/>
  <c r="K32" i="14"/>
  <c r="K36" i="14" s="1"/>
  <c r="K6" i="14" s="1"/>
  <c r="L100" i="9" s="1"/>
  <c r="J6" i="14"/>
  <c r="K100" i="9" s="1"/>
  <c r="K28" i="13"/>
  <c r="H55" i="8"/>
  <c r="H37" i="6"/>
  <c r="K53" i="8"/>
  <c r="K28" i="6"/>
  <c r="J38" i="14"/>
  <c r="I7" i="14"/>
  <c r="J102" i="9" s="1"/>
  <c r="J40" i="14"/>
  <c r="J313" i="9"/>
  <c r="K5" i="8"/>
  <c r="K14" i="13"/>
  <c r="L277" i="9"/>
  <c r="K37" i="12"/>
  <c r="L43" i="9" s="1"/>
  <c r="K43" i="9"/>
  <c r="K313" i="9" s="1"/>
  <c r="K24" i="6"/>
  <c r="K19" i="6" s="1"/>
  <c r="J19" i="6"/>
  <c r="J20" i="6" s="1"/>
  <c r="J53" i="8"/>
  <c r="J28" i="6"/>
  <c r="J4" i="14"/>
  <c r="K97" i="9" s="1"/>
  <c r="K367" i="9" s="1"/>
  <c r="K26" i="14"/>
  <c r="K28" i="14" s="1"/>
  <c r="K4" i="14" s="1"/>
  <c r="L97" i="9" s="1"/>
  <c r="I312" i="9"/>
  <c r="H312" i="9"/>
  <c r="R31" i="15"/>
  <c r="R33" i="15" s="1"/>
  <c r="R36" i="15" s="1"/>
  <c r="G2" i="8"/>
  <c r="G53" i="6"/>
  <c r="K370" i="9"/>
  <c r="K30" i="13"/>
  <c r="K57" i="8"/>
  <c r="K46" i="6"/>
  <c r="H131" i="9"/>
  <c r="H133" i="9" s="1"/>
  <c r="G140" i="9"/>
  <c r="H139" i="9" s="1"/>
  <c r="K16" i="13"/>
  <c r="J41" i="6"/>
  <c r="I36" i="6"/>
  <c r="J11" i="6"/>
  <c r="K16" i="6"/>
  <c r="K11" i="6" s="1"/>
  <c r="G3" i="8"/>
  <c r="J86" i="12"/>
  <c r="K85" i="12" s="1"/>
  <c r="K66" i="12"/>
  <c r="K68" i="12" s="1"/>
  <c r="K86" i="12" s="1"/>
  <c r="L347" i="9"/>
  <c r="J42" i="9" l="1"/>
  <c r="R25" i="15"/>
  <c r="H4" i="6"/>
  <c r="H49" i="8"/>
  <c r="H59" i="8" s="1"/>
  <c r="H3" i="8" s="1"/>
  <c r="J8" i="6"/>
  <c r="I3" i="6"/>
  <c r="J36" i="6"/>
  <c r="K41" i="6"/>
  <c r="K36" i="6" s="1"/>
  <c r="G19" i="13"/>
  <c r="G4" i="13"/>
  <c r="H9" i="9" s="1"/>
  <c r="G23" i="13"/>
  <c r="H68" i="9" s="1"/>
  <c r="G26" i="8"/>
  <c r="G16" i="8"/>
  <c r="G12" i="8"/>
  <c r="G8" i="8"/>
  <c r="G4" i="8"/>
  <c r="G19" i="8"/>
  <c r="G61" i="14" s="1"/>
  <c r="G62" i="14" s="1"/>
  <c r="G10" i="8"/>
  <c r="G9" i="8"/>
  <c r="G13" i="8"/>
  <c r="G17" i="8"/>
  <c r="G15" i="13"/>
  <c r="H13" i="9" s="1"/>
  <c r="G29" i="8"/>
  <c r="G21" i="13"/>
  <c r="H67" i="9" s="1"/>
  <c r="G11" i="13"/>
  <c r="H10" i="9" s="1"/>
  <c r="G13" i="13"/>
  <c r="H14" i="9" s="1"/>
  <c r="G31" i="13"/>
  <c r="H74" i="9" s="1"/>
  <c r="J372" i="9"/>
  <c r="J62" i="12"/>
  <c r="K61" i="12" s="1"/>
  <c r="K41" i="12"/>
  <c r="K43" i="12" s="1"/>
  <c r="G60" i="8"/>
  <c r="I95" i="9"/>
  <c r="I365" i="9" s="1"/>
  <c r="G38" i="13"/>
  <c r="G37" i="13" s="1"/>
  <c r="G13" i="11"/>
  <c r="G7" i="11" s="1"/>
  <c r="G8" i="11"/>
  <c r="G27" i="8"/>
  <c r="G25" i="13"/>
  <c r="H69" i="9" s="1"/>
  <c r="G6" i="13"/>
  <c r="G27" i="13"/>
  <c r="H70" i="9" s="1"/>
  <c r="L367" i="9"/>
  <c r="K20" i="6"/>
  <c r="J38" i="12"/>
  <c r="K44" i="9" s="1"/>
  <c r="K46" i="12"/>
  <c r="K48" i="12" s="1"/>
  <c r="K38" i="12" s="1"/>
  <c r="L44" i="9" s="1"/>
  <c r="L42" i="9" s="1"/>
  <c r="J12" i="6"/>
  <c r="J51" i="8"/>
  <c r="H140" i="9"/>
  <c r="I131" i="9"/>
  <c r="I133" i="9" s="1"/>
  <c r="K314" i="9"/>
  <c r="H365" i="9"/>
  <c r="K51" i="8"/>
  <c r="K12" i="6"/>
  <c r="I55" i="8"/>
  <c r="I37" i="6"/>
  <c r="I52" i="6"/>
  <c r="G93" i="12"/>
  <c r="G8" i="12" s="1"/>
  <c r="H123" i="9"/>
  <c r="G37" i="4"/>
  <c r="L313" i="9"/>
  <c r="K38" i="14"/>
  <c r="J7" i="14"/>
  <c r="K102" i="9" s="1"/>
  <c r="K372" i="9" s="1"/>
  <c r="K40" i="14"/>
  <c r="K7" i="14" s="1"/>
  <c r="L102" i="9" s="1"/>
  <c r="H2" i="8"/>
  <c r="H53" i="6"/>
  <c r="L370" i="9"/>
  <c r="J15" i="14"/>
  <c r="J22" i="14" s="1"/>
  <c r="I49" i="14"/>
  <c r="I27" i="10" s="1"/>
  <c r="I3" i="14"/>
  <c r="J94" i="9" s="1"/>
  <c r="J364" i="9" s="1"/>
  <c r="I23" i="10" s="1"/>
  <c r="K24" i="12"/>
  <c r="G24" i="12"/>
  <c r="J24" i="12"/>
  <c r="I24" i="12"/>
  <c r="G33" i="12"/>
  <c r="H24" i="12"/>
  <c r="J312" i="9"/>
  <c r="G14" i="8" l="1"/>
  <c r="G39" i="8" s="1"/>
  <c r="I49" i="8"/>
  <c r="I59" i="8" s="1"/>
  <c r="I3" i="8" s="1"/>
  <c r="I4" i="6"/>
  <c r="K8" i="6"/>
  <c r="K3" i="6" s="1"/>
  <c r="J3" i="6"/>
  <c r="J52" i="6" s="1"/>
  <c r="R28" i="15"/>
  <c r="R38" i="15" s="1"/>
  <c r="R27" i="15"/>
  <c r="H279" i="9"/>
  <c r="H8" i="9"/>
  <c r="J95" i="9"/>
  <c r="J365" i="9" s="1"/>
  <c r="G9" i="13"/>
  <c r="H19" i="9" s="1"/>
  <c r="H18" i="9"/>
  <c r="H283" i="9"/>
  <c r="H66" i="9"/>
  <c r="G29" i="13"/>
  <c r="H76" i="9" s="1"/>
  <c r="L372" i="9"/>
  <c r="G91" i="12"/>
  <c r="G92" i="12" s="1"/>
  <c r="J25" i="12"/>
  <c r="G25" i="12"/>
  <c r="G30" i="12" s="1"/>
  <c r="G16" i="12" s="1"/>
  <c r="G20" i="12" s="1"/>
  <c r="I25" i="12"/>
  <c r="K25" i="12"/>
  <c r="H25" i="12"/>
  <c r="H38" i="13"/>
  <c r="H6" i="13"/>
  <c r="H13" i="11"/>
  <c r="H7" i="11" s="1"/>
  <c r="H25" i="10" s="1"/>
  <c r="H8" i="11"/>
  <c r="H27" i="8"/>
  <c r="H25" i="13"/>
  <c r="I69" i="9" s="1"/>
  <c r="H27" i="13"/>
  <c r="I70" i="9" s="1"/>
  <c r="I340" i="9" s="1"/>
  <c r="I140" i="9"/>
  <c r="J131" i="9"/>
  <c r="J133" i="9" s="1"/>
  <c r="H339" i="9"/>
  <c r="G15" i="11"/>
  <c r="G16" i="11" s="1"/>
  <c r="G26" i="10"/>
  <c r="H280" i="9"/>
  <c r="G28" i="8"/>
  <c r="G38" i="4"/>
  <c r="G22" i="4"/>
  <c r="K55" i="8"/>
  <c r="K37" i="6"/>
  <c r="H4" i="13"/>
  <c r="I9" i="9" s="1"/>
  <c r="H23" i="13"/>
  <c r="I68" i="9" s="1"/>
  <c r="I338" i="9" s="1"/>
  <c r="H19" i="13"/>
  <c r="H19" i="8"/>
  <c r="H61" i="14" s="1"/>
  <c r="H17" i="8"/>
  <c r="H9" i="8"/>
  <c r="H10" i="8"/>
  <c r="H13" i="8"/>
  <c r="H12" i="8"/>
  <c r="H26" i="8"/>
  <c r="H8" i="8"/>
  <c r="H4" i="8"/>
  <c r="H16" i="8"/>
  <c r="H15" i="13"/>
  <c r="I13" i="9" s="1"/>
  <c r="I283" i="9" s="1"/>
  <c r="H11" i="13"/>
  <c r="I10" i="9" s="1"/>
  <c r="H29" i="8"/>
  <c r="H13" i="13"/>
  <c r="I14" i="9" s="1"/>
  <c r="I284" i="9" s="1"/>
  <c r="H21" i="13"/>
  <c r="I67" i="9" s="1"/>
  <c r="H31" i="13"/>
  <c r="I74" i="9" s="1"/>
  <c r="I344" i="9" s="1"/>
  <c r="L314" i="9"/>
  <c r="H340" i="9"/>
  <c r="G36" i="13"/>
  <c r="H35" i="13"/>
  <c r="H20" i="9"/>
  <c r="H344" i="9"/>
  <c r="K42" i="9"/>
  <c r="H128" i="9"/>
  <c r="H127" i="9" s="1"/>
  <c r="H122" i="9"/>
  <c r="H60" i="8"/>
  <c r="H284" i="9"/>
  <c r="G9" i="14"/>
  <c r="H110" i="9" s="1"/>
  <c r="H60" i="14"/>
  <c r="J49" i="14"/>
  <c r="J27" i="10" s="1"/>
  <c r="J3" i="14"/>
  <c r="K94" i="9" s="1"/>
  <c r="K364" i="9" s="1"/>
  <c r="J23" i="10" s="1"/>
  <c r="K15" i="14"/>
  <c r="K22" i="14" s="1"/>
  <c r="H93" i="12"/>
  <c r="H8" i="12" s="1"/>
  <c r="I123" i="9"/>
  <c r="I128" i="9" s="1"/>
  <c r="H37" i="4"/>
  <c r="I2" i="8"/>
  <c r="I53" i="6"/>
  <c r="G13" i="12"/>
  <c r="I139" i="9"/>
  <c r="H62" i="9"/>
  <c r="G25" i="10"/>
  <c r="G10" i="11"/>
  <c r="K62" i="12"/>
  <c r="H337" i="9"/>
  <c r="H150" i="9"/>
  <c r="H338" i="9"/>
  <c r="J55" i="8"/>
  <c r="J37" i="6"/>
  <c r="H37" i="13" l="1"/>
  <c r="H62" i="14"/>
  <c r="H9" i="14" s="1"/>
  <c r="I110" i="9" s="1"/>
  <c r="K49" i="8"/>
  <c r="K59" i="8" s="1"/>
  <c r="K3" i="8" s="1"/>
  <c r="K4" i="6"/>
  <c r="K52" i="6"/>
  <c r="K53" i="6" s="1"/>
  <c r="I60" i="8"/>
  <c r="J49" i="8"/>
  <c r="J59" i="8" s="1"/>
  <c r="J3" i="8" s="1"/>
  <c r="J4" i="6"/>
  <c r="K3" i="14"/>
  <c r="L94" i="9" s="1"/>
  <c r="K49" i="14"/>
  <c r="K27" i="10" s="1"/>
  <c r="H36" i="13"/>
  <c r="I35" i="13"/>
  <c r="I20" i="9"/>
  <c r="I150" i="9"/>
  <c r="H22" i="4"/>
  <c r="H38" i="4"/>
  <c r="H28" i="8"/>
  <c r="I8" i="9"/>
  <c r="I278" i="9" s="1"/>
  <c r="H15" i="11"/>
  <c r="H16" i="11" s="1"/>
  <c r="H26" i="10"/>
  <c r="H28" i="10" s="1"/>
  <c r="H91" i="12"/>
  <c r="H6" i="11"/>
  <c r="H10" i="11" s="1"/>
  <c r="H2" i="11" s="1"/>
  <c r="H7" i="8" s="1"/>
  <c r="H75" i="9"/>
  <c r="G2" i="11"/>
  <c r="G7" i="8" s="1"/>
  <c r="K95" i="9"/>
  <c r="K365" i="9" s="1"/>
  <c r="H278" i="9"/>
  <c r="H145" i="9"/>
  <c r="G15" i="4"/>
  <c r="G16" i="4" s="1"/>
  <c r="J2" i="8"/>
  <c r="J53" i="6"/>
  <c r="I337" i="9"/>
  <c r="G28" i="10"/>
  <c r="G34" i="12"/>
  <c r="H33" i="12" s="1"/>
  <c r="H7" i="12"/>
  <c r="G3" i="12"/>
  <c r="H37" i="9" s="1"/>
  <c r="H380" i="9"/>
  <c r="I66" i="9"/>
  <c r="I336" i="9" s="1"/>
  <c r="H29" i="13"/>
  <c r="I76" i="9" s="1"/>
  <c r="I346" i="9" s="1"/>
  <c r="J139" i="9"/>
  <c r="I62" i="9"/>
  <c r="H9" i="13"/>
  <c r="I19" i="9" s="1"/>
  <c r="I289" i="9" s="1"/>
  <c r="I18" i="9"/>
  <c r="I288" i="9" s="1"/>
  <c r="H89" i="12"/>
  <c r="H50" i="9"/>
  <c r="H346" i="9"/>
  <c r="H289" i="9"/>
  <c r="I279" i="9"/>
  <c r="I332" i="9"/>
  <c r="H332" i="9"/>
  <c r="I19" i="13"/>
  <c r="I4" i="13"/>
  <c r="J9" i="9" s="1"/>
  <c r="I23" i="13"/>
  <c r="J68" i="9" s="1"/>
  <c r="I10" i="8"/>
  <c r="I26" i="8"/>
  <c r="I16" i="8"/>
  <c r="I12" i="8"/>
  <c r="I8" i="8"/>
  <c r="I17" i="8"/>
  <c r="I13" i="8"/>
  <c r="I9" i="8"/>
  <c r="I4" i="8"/>
  <c r="I19" i="8"/>
  <c r="I61" i="14" s="1"/>
  <c r="I31" i="13"/>
  <c r="J74" i="9" s="1"/>
  <c r="J344" i="9" s="1"/>
  <c r="I13" i="13"/>
  <c r="J14" i="9" s="1"/>
  <c r="I11" i="13"/>
  <c r="J10" i="9" s="1"/>
  <c r="J280" i="9" s="1"/>
  <c r="I21" i="13"/>
  <c r="J67" i="9" s="1"/>
  <c r="I15" i="13"/>
  <c r="J13" i="9" s="1"/>
  <c r="J283" i="9" s="1"/>
  <c r="I29" i="8"/>
  <c r="H59" i="9"/>
  <c r="H126" i="9"/>
  <c r="I125" i="9"/>
  <c r="I127" i="9" s="1"/>
  <c r="I60" i="14"/>
  <c r="L312" i="9"/>
  <c r="K312" i="9"/>
  <c r="K131" i="9"/>
  <c r="K133" i="9" s="1"/>
  <c r="J140" i="9"/>
  <c r="H288" i="9"/>
  <c r="H17" i="9"/>
  <c r="I93" i="12"/>
  <c r="I8" i="12" s="1"/>
  <c r="J123" i="9"/>
  <c r="J128" i="9" s="1"/>
  <c r="I37" i="4"/>
  <c r="G4" i="12"/>
  <c r="H38" i="9" s="1"/>
  <c r="H15" i="12"/>
  <c r="H58" i="9"/>
  <c r="H121" i="9"/>
  <c r="I120" i="9"/>
  <c r="I122" i="9" s="1"/>
  <c r="I290" i="9"/>
  <c r="H290" i="9"/>
  <c r="H22" i="9"/>
  <c r="H21" i="9"/>
  <c r="H147" i="9"/>
  <c r="H23" i="9"/>
  <c r="H14" i="8"/>
  <c r="H39" i="8" s="1"/>
  <c r="J338" i="9"/>
  <c r="I280" i="9"/>
  <c r="I339" i="9"/>
  <c r="H336" i="9"/>
  <c r="H149" i="9"/>
  <c r="H151" i="9" s="1"/>
  <c r="I38" i="13"/>
  <c r="I6" i="13"/>
  <c r="I13" i="11"/>
  <c r="I7" i="11" s="1"/>
  <c r="I25" i="10" s="1"/>
  <c r="I8" i="11"/>
  <c r="I27" i="8"/>
  <c r="I25" i="13"/>
  <c r="J69" i="9" s="1"/>
  <c r="J339" i="9" s="1"/>
  <c r="I27" i="13"/>
  <c r="J70" i="9" s="1"/>
  <c r="J340" i="9" s="1"/>
  <c r="K2" i="8" l="1"/>
  <c r="K60" i="8" s="1"/>
  <c r="I62" i="14"/>
  <c r="I9" i="14" s="1"/>
  <c r="J110" i="9" s="1"/>
  <c r="I14" i="8"/>
  <c r="I39" i="8" s="1"/>
  <c r="H15" i="4"/>
  <c r="H16" i="4" s="1"/>
  <c r="H6" i="10"/>
  <c r="G7" i="10"/>
  <c r="I91" i="12"/>
  <c r="J8" i="9"/>
  <c r="J278" i="9" s="1"/>
  <c r="H345" i="9"/>
  <c r="J279" i="9"/>
  <c r="I147" i="9"/>
  <c r="H308" i="9"/>
  <c r="G5" i="10" s="1"/>
  <c r="C25" i="7" s="1"/>
  <c r="J62" i="9"/>
  <c r="K139" i="9"/>
  <c r="I126" i="9"/>
  <c r="J125" i="9"/>
  <c r="J127" i="9" s="1"/>
  <c r="I59" i="9"/>
  <c r="H7" i="10"/>
  <c r="J93" i="12"/>
  <c r="J8" i="12" s="1"/>
  <c r="K123" i="9"/>
  <c r="K128" i="9" s="1"/>
  <c r="J37" i="4"/>
  <c r="D26" i="7"/>
  <c r="H32" i="8"/>
  <c r="H6" i="8"/>
  <c r="I37" i="13"/>
  <c r="J38" i="13"/>
  <c r="J6" i="13"/>
  <c r="J13" i="11"/>
  <c r="J7" i="11" s="1"/>
  <c r="J25" i="10" s="1"/>
  <c r="J8" i="11"/>
  <c r="J27" i="8"/>
  <c r="J25" i="13"/>
  <c r="K69" i="9" s="1"/>
  <c r="K339" i="9" s="1"/>
  <c r="J27" i="13"/>
  <c r="K70" i="9" s="1"/>
  <c r="I15" i="11"/>
  <c r="I16" i="11" s="1"/>
  <c r="I26" i="10"/>
  <c r="I28" i="10" s="1"/>
  <c r="H293" i="9"/>
  <c r="I23" i="9"/>
  <c r="L131" i="9"/>
  <c r="L133" i="9" s="1"/>
  <c r="L140" i="9" s="1"/>
  <c r="L62" i="9" s="1"/>
  <c r="K140" i="9"/>
  <c r="J150" i="9"/>
  <c r="G6" i="10"/>
  <c r="H320" i="9"/>
  <c r="H48" i="9"/>
  <c r="J332" i="9"/>
  <c r="I380" i="9"/>
  <c r="J19" i="13"/>
  <c r="K19" i="13" s="1"/>
  <c r="J4" i="13"/>
  <c r="K9" i="9" s="1"/>
  <c r="J17" i="8"/>
  <c r="J13" i="8"/>
  <c r="J9" i="8"/>
  <c r="J26" i="8"/>
  <c r="J16" i="8"/>
  <c r="J12" i="8"/>
  <c r="J8" i="8"/>
  <c r="J4" i="8"/>
  <c r="J19" i="8"/>
  <c r="J61" i="14" s="1"/>
  <c r="J10" i="8"/>
  <c r="J23" i="13"/>
  <c r="K68" i="9" s="1"/>
  <c r="K338" i="9" s="1"/>
  <c r="J21" i="13"/>
  <c r="K67" i="9" s="1"/>
  <c r="K337" i="9" s="1"/>
  <c r="J11" i="13"/>
  <c r="K10" i="9" s="1"/>
  <c r="K280" i="9" s="1"/>
  <c r="J29" i="8"/>
  <c r="J13" i="13"/>
  <c r="K14" i="9" s="1"/>
  <c r="J31" i="13"/>
  <c r="K74" i="9" s="1"/>
  <c r="K344" i="9" s="1"/>
  <c r="J15" i="13"/>
  <c r="K13" i="9" s="1"/>
  <c r="K283" i="9" s="1"/>
  <c r="J284" i="9"/>
  <c r="I6" i="11"/>
  <c r="I10" i="11" s="1"/>
  <c r="I75" i="9"/>
  <c r="I65" i="9" s="1"/>
  <c r="I145" i="9"/>
  <c r="J60" i="8"/>
  <c r="I9" i="13"/>
  <c r="J19" i="9" s="1"/>
  <c r="J18" i="9"/>
  <c r="H291" i="9"/>
  <c r="I21" i="9"/>
  <c r="I291" i="9" s="1"/>
  <c r="I17" i="9"/>
  <c r="I287" i="9" s="1"/>
  <c r="K26" i="8"/>
  <c r="K16" i="8"/>
  <c r="K12" i="8"/>
  <c r="K8" i="8"/>
  <c r="K4" i="8"/>
  <c r="K10" i="8"/>
  <c r="K19" i="8"/>
  <c r="K61" i="14" s="1"/>
  <c r="K17" i="8"/>
  <c r="K13" i="8"/>
  <c r="K9" i="8"/>
  <c r="K23" i="13"/>
  <c r="L68" i="9" s="1"/>
  <c r="K31" i="13"/>
  <c r="L74" i="9" s="1"/>
  <c r="K15" i="13"/>
  <c r="L13" i="9" s="1"/>
  <c r="K29" i="8"/>
  <c r="K11" i="13"/>
  <c r="L10" i="9" s="1"/>
  <c r="K13" i="13"/>
  <c r="L14" i="9" s="1"/>
  <c r="K21" i="13"/>
  <c r="L67" i="9" s="1"/>
  <c r="H307" i="9"/>
  <c r="C27" i="7"/>
  <c r="H36" i="9"/>
  <c r="L95" i="9"/>
  <c r="I292" i="9"/>
  <c r="H292" i="9"/>
  <c r="I22" i="9"/>
  <c r="I58" i="9"/>
  <c r="I328" i="9" s="1"/>
  <c r="I121" i="9"/>
  <c r="J120" i="9"/>
  <c r="J122" i="9" s="1"/>
  <c r="H287" i="9"/>
  <c r="H146" i="9"/>
  <c r="H148" i="9" s="1"/>
  <c r="H152" i="9" s="1"/>
  <c r="H153" i="9" s="1"/>
  <c r="C28" i="7" s="1"/>
  <c r="G13" i="4"/>
  <c r="G14" i="4" s="1"/>
  <c r="G17" i="4"/>
  <c r="G18" i="4" s="1"/>
  <c r="K38" i="13"/>
  <c r="K13" i="11"/>
  <c r="K7" i="11" s="1"/>
  <c r="K25" i="10" s="1"/>
  <c r="K8" i="11"/>
  <c r="K27" i="8"/>
  <c r="K27" i="13"/>
  <c r="L70" i="9" s="1"/>
  <c r="K25" i="13"/>
  <c r="L69" i="9" s="1"/>
  <c r="J66" i="9"/>
  <c r="J336" i="9" s="1"/>
  <c r="I29" i="13"/>
  <c r="J76" i="9" s="1"/>
  <c r="K93" i="12"/>
  <c r="K37" i="4"/>
  <c r="L123" i="9"/>
  <c r="L128" i="9" s="1"/>
  <c r="L364" i="9"/>
  <c r="K23" i="10" s="1"/>
  <c r="H65" i="9"/>
  <c r="H328" i="9"/>
  <c r="H57" i="9"/>
  <c r="J60" i="14"/>
  <c r="J62" i="14" s="1"/>
  <c r="H329" i="9"/>
  <c r="I28" i="8"/>
  <c r="I38" i="4"/>
  <c r="I22" i="4"/>
  <c r="H90" i="12"/>
  <c r="H9" i="12" s="1"/>
  <c r="H13" i="12" s="1"/>
  <c r="I149" i="9"/>
  <c r="I151" i="9" s="1"/>
  <c r="G32" i="8"/>
  <c r="C26" i="7"/>
  <c r="G6" i="8"/>
  <c r="J337" i="9"/>
  <c r="K14" i="8" l="1"/>
  <c r="K39" i="8" s="1"/>
  <c r="G8" i="10"/>
  <c r="H92" i="12"/>
  <c r="I89" i="12" s="1"/>
  <c r="H13" i="4"/>
  <c r="H14" i="4" s="1"/>
  <c r="K4" i="13"/>
  <c r="L9" i="9" s="1"/>
  <c r="L8" i="9" s="1"/>
  <c r="G12" i="10"/>
  <c r="G20" i="10" s="1"/>
  <c r="J91" i="12"/>
  <c r="K8" i="12"/>
  <c r="I64" i="9"/>
  <c r="H42" i="4"/>
  <c r="L66" i="9"/>
  <c r="K29" i="13"/>
  <c r="L76" i="9" s="1"/>
  <c r="J17" i="9"/>
  <c r="J287" i="9" s="1"/>
  <c r="L284" i="9"/>
  <c r="J28" i="8"/>
  <c r="J38" i="4"/>
  <c r="J22" i="4"/>
  <c r="K60" i="14"/>
  <c r="K62" i="14" s="1"/>
  <c r="K9" i="14" s="1"/>
  <c r="L110" i="9" s="1"/>
  <c r="J9" i="14"/>
  <c r="K110" i="9" s="1"/>
  <c r="K380" i="9" s="1"/>
  <c r="K15" i="11"/>
  <c r="K16" i="11" s="1"/>
  <c r="K26" i="10"/>
  <c r="H306" i="9"/>
  <c r="H35" i="9"/>
  <c r="H318" i="9"/>
  <c r="L340" i="9"/>
  <c r="K284" i="9"/>
  <c r="I329" i="9"/>
  <c r="H8" i="10" s="1"/>
  <c r="H327" i="9"/>
  <c r="I57" i="9"/>
  <c r="K28" i="8"/>
  <c r="K38" i="4"/>
  <c r="K22" i="4"/>
  <c r="I146" i="9"/>
  <c r="I148" i="9" s="1"/>
  <c r="I152" i="9" s="1"/>
  <c r="I153" i="9" s="1"/>
  <c r="D28" i="7" s="1"/>
  <c r="H17" i="4"/>
  <c r="H18" i="4" s="1"/>
  <c r="L283" i="9"/>
  <c r="L280" i="9"/>
  <c r="J14" i="8"/>
  <c r="J39" i="8" s="1"/>
  <c r="K8" i="9"/>
  <c r="K278" i="9" s="1"/>
  <c r="J346" i="9"/>
  <c r="J380" i="9"/>
  <c r="L339" i="9"/>
  <c r="J15" i="11"/>
  <c r="J16" i="11" s="1"/>
  <c r="J26" i="10"/>
  <c r="J28" i="10" s="1"/>
  <c r="I36" i="13"/>
  <c r="J35" i="13"/>
  <c r="J37" i="13" s="1"/>
  <c r="J20" i="9"/>
  <c r="J23" i="9" s="1"/>
  <c r="J289" i="9"/>
  <c r="I6" i="10" s="1"/>
  <c r="I345" i="9"/>
  <c r="J121" i="9"/>
  <c r="K120" i="9"/>
  <c r="K122" i="9" s="1"/>
  <c r="J58" i="9"/>
  <c r="J328" i="9" s="1"/>
  <c r="J6" i="11"/>
  <c r="J10" i="11" s="1"/>
  <c r="J2" i="11" s="1"/>
  <c r="J7" i="8" s="1"/>
  <c r="J75" i="9"/>
  <c r="J345" i="9" s="1"/>
  <c r="L338" i="9"/>
  <c r="J9" i="13"/>
  <c r="K19" i="9" s="1"/>
  <c r="K289" i="9" s="1"/>
  <c r="K18" i="9"/>
  <c r="K288" i="9" s="1"/>
  <c r="K28" i="10"/>
  <c r="J59" i="9"/>
  <c r="J126" i="9"/>
  <c r="K125" i="9"/>
  <c r="K127" i="9" s="1"/>
  <c r="K340" i="9"/>
  <c r="J145" i="9"/>
  <c r="I15" i="4"/>
  <c r="I16" i="4" s="1"/>
  <c r="I7" i="12"/>
  <c r="H3" i="12"/>
  <c r="I37" i="9" s="1"/>
  <c r="G30" i="8"/>
  <c r="G11" i="8"/>
  <c r="K26" i="12"/>
  <c r="H26" i="12"/>
  <c r="H30" i="12" s="1"/>
  <c r="H16" i="12" s="1"/>
  <c r="H20" i="12" s="1"/>
  <c r="H34" i="12" s="1"/>
  <c r="I33" i="12" s="1"/>
  <c r="I26" i="12"/>
  <c r="J26" i="12"/>
  <c r="H335" i="9"/>
  <c r="I335" i="9"/>
  <c r="H64" i="9"/>
  <c r="G42" i="4"/>
  <c r="J149" i="9"/>
  <c r="J151" i="9" s="1"/>
  <c r="J65" i="9"/>
  <c r="J335" i="9" s="1"/>
  <c r="K6" i="13"/>
  <c r="L365" i="9"/>
  <c r="L150" i="9"/>
  <c r="J288" i="9"/>
  <c r="I7" i="10" s="1"/>
  <c r="I2" i="11"/>
  <c r="I7" i="8" s="1"/>
  <c r="L344" i="9"/>
  <c r="L337" i="9"/>
  <c r="K150" i="9"/>
  <c r="K66" i="9"/>
  <c r="K336" i="9" s="1"/>
  <c r="J29" i="13"/>
  <c r="K76" i="9" s="1"/>
  <c r="K62" i="9"/>
  <c r="K332" i="9" s="1"/>
  <c r="L139" i="9"/>
  <c r="I293" i="9"/>
  <c r="H30" i="8"/>
  <c r="H11" i="8"/>
  <c r="K279" i="9"/>
  <c r="I50" i="9" l="1"/>
  <c r="I320" i="9" s="1"/>
  <c r="L279" i="9"/>
  <c r="I13" i="4"/>
  <c r="I14" i="4" s="1"/>
  <c r="J293" i="9"/>
  <c r="I32" i="8"/>
  <c r="E26" i="7"/>
  <c r="I6" i="8"/>
  <c r="H43" i="4"/>
  <c r="L346" i="9"/>
  <c r="I334" i="9"/>
  <c r="H334" i="9"/>
  <c r="G43" i="4"/>
  <c r="G48" i="4"/>
  <c r="G36" i="8"/>
  <c r="G15" i="8"/>
  <c r="G23" i="4"/>
  <c r="J7" i="10"/>
  <c r="L336" i="9"/>
  <c r="K149" i="9"/>
  <c r="K151" i="9" s="1"/>
  <c r="J22" i="9"/>
  <c r="J64" i="9"/>
  <c r="I48" i="4" s="1"/>
  <c r="I42" i="4"/>
  <c r="K17" i="9"/>
  <c r="J13" i="4" s="1"/>
  <c r="J14" i="4" s="1"/>
  <c r="J21" i="9"/>
  <c r="K35" i="13"/>
  <c r="K37" i="13" s="1"/>
  <c r="J36" i="13"/>
  <c r="K20" i="9"/>
  <c r="K23" i="9" s="1"/>
  <c r="K293" i="9" s="1"/>
  <c r="L278" i="9"/>
  <c r="K145" i="9"/>
  <c r="K15" i="4"/>
  <c r="K16" i="4" s="1"/>
  <c r="J15" i="4"/>
  <c r="J16" i="4" s="1"/>
  <c r="H48" i="4"/>
  <c r="L380" i="9"/>
  <c r="J146" i="9"/>
  <c r="I17" i="4"/>
  <c r="I18" i="4" s="1"/>
  <c r="L149" i="9"/>
  <c r="L151" i="9" s="1"/>
  <c r="I48" i="9"/>
  <c r="H47" i="4"/>
  <c r="H36" i="8"/>
  <c r="H15" i="8"/>
  <c r="H23" i="4"/>
  <c r="L145" i="9"/>
  <c r="G47" i="4"/>
  <c r="H4" i="12"/>
  <c r="I38" i="9" s="1"/>
  <c r="I36" i="9" s="1"/>
  <c r="I15" i="12"/>
  <c r="I307" i="9"/>
  <c r="K59" i="9"/>
  <c r="K126" i="9"/>
  <c r="L125" i="9"/>
  <c r="L127" i="9" s="1"/>
  <c r="J57" i="9"/>
  <c r="J327" i="9" s="1"/>
  <c r="K346" i="9"/>
  <c r="J6" i="10" s="1"/>
  <c r="H305" i="9"/>
  <c r="H26" i="9"/>
  <c r="J329" i="9"/>
  <c r="I90" i="12"/>
  <c r="I9" i="12" s="1"/>
  <c r="I13" i="12" s="1"/>
  <c r="K91" i="12"/>
  <c r="L332" i="9"/>
  <c r="J32" i="8"/>
  <c r="F26" i="7"/>
  <c r="J6" i="8"/>
  <c r="K121" i="9"/>
  <c r="L120" i="9"/>
  <c r="L122" i="9" s="1"/>
  <c r="K58" i="9"/>
  <c r="K9" i="13"/>
  <c r="L19" i="9" s="1"/>
  <c r="L289" i="9" s="1"/>
  <c r="L18" i="9"/>
  <c r="K6" i="11"/>
  <c r="K10" i="11" s="1"/>
  <c r="L75" i="9" s="1"/>
  <c r="L65" i="9" s="1"/>
  <c r="K75" i="9"/>
  <c r="K290" i="9"/>
  <c r="J147" i="9"/>
  <c r="J290" i="9"/>
  <c r="I8" i="10" s="1"/>
  <c r="I327" i="9"/>
  <c r="K6" i="10" l="1"/>
  <c r="D27" i="7"/>
  <c r="J148" i="9"/>
  <c r="J152" i="9" s="1"/>
  <c r="J153" i="9" s="1"/>
  <c r="E28" i="7" s="1"/>
  <c r="I92" i="12"/>
  <c r="J89" i="12" s="1"/>
  <c r="L64" i="9"/>
  <c r="K47" i="4" s="1"/>
  <c r="J7" i="12"/>
  <c r="I3" i="12"/>
  <c r="J37" i="9" s="1"/>
  <c r="L345" i="9"/>
  <c r="H296" i="9"/>
  <c r="K21" i="9"/>
  <c r="K291" i="9" s="1"/>
  <c r="J291" i="9"/>
  <c r="I43" i="4"/>
  <c r="K65" i="9"/>
  <c r="I30" i="8"/>
  <c r="I11" i="8"/>
  <c r="I35" i="9"/>
  <c r="I306" i="9"/>
  <c r="I308" i="9"/>
  <c r="H5" i="10" s="1"/>
  <c r="D25" i="7" s="1"/>
  <c r="K147" i="9"/>
  <c r="K146" i="9"/>
  <c r="J17" i="4"/>
  <c r="J18" i="4" s="1"/>
  <c r="G9" i="4"/>
  <c r="G40" i="8"/>
  <c r="G26" i="4"/>
  <c r="G18" i="8"/>
  <c r="G25" i="4"/>
  <c r="G10" i="4"/>
  <c r="G39" i="4"/>
  <c r="K2" i="11"/>
  <c r="K7" i="8" s="1"/>
  <c r="L59" i="9"/>
  <c r="L126" i="9"/>
  <c r="H40" i="8"/>
  <c r="H18" i="8"/>
  <c r="H25" i="4"/>
  <c r="H9" i="4"/>
  <c r="H39" i="4"/>
  <c r="K57" i="9"/>
  <c r="K327" i="9" s="1"/>
  <c r="J334" i="9"/>
  <c r="L17" i="9"/>
  <c r="L287" i="9" s="1"/>
  <c r="L58" i="9"/>
  <c r="L328" i="9" s="1"/>
  <c r="L121" i="9"/>
  <c r="K27" i="12"/>
  <c r="J27" i="12"/>
  <c r="I27" i="12" s="1"/>
  <c r="I30" i="12" s="1"/>
  <c r="I16" i="12" s="1"/>
  <c r="I20" i="12" s="1"/>
  <c r="J30" i="8"/>
  <c r="J11" i="8"/>
  <c r="K328" i="9"/>
  <c r="J8" i="10" s="1"/>
  <c r="K345" i="9"/>
  <c r="H12" i="10"/>
  <c r="H20" i="10" s="1"/>
  <c r="I318" i="9"/>
  <c r="K287" i="9"/>
  <c r="K36" i="13"/>
  <c r="L20" i="9"/>
  <c r="L288" i="9"/>
  <c r="K7" i="10" s="1"/>
  <c r="I47" i="4"/>
  <c r="K22" i="9"/>
  <c r="K292" i="9" s="1"/>
  <c r="J292" i="9"/>
  <c r="K329" i="9"/>
  <c r="K148" i="9" l="1"/>
  <c r="K152" i="9" s="1"/>
  <c r="K153" i="9" s="1"/>
  <c r="F28" i="7" s="1"/>
  <c r="J50" i="9"/>
  <c r="J320" i="9" s="1"/>
  <c r="K48" i="4"/>
  <c r="H10" i="4"/>
  <c r="J15" i="12"/>
  <c r="I4" i="12"/>
  <c r="J38" i="9" s="1"/>
  <c r="J36" i="9" s="1"/>
  <c r="I34" i="12"/>
  <c r="J33" i="12" s="1"/>
  <c r="L147" i="9"/>
  <c r="G3" i="10"/>
  <c r="G10" i="10" s="1"/>
  <c r="G20" i="8"/>
  <c r="G24" i="4"/>
  <c r="C24" i="7"/>
  <c r="C29" i="7" s="1"/>
  <c r="G40" i="4"/>
  <c r="G43" i="8"/>
  <c r="L290" i="9"/>
  <c r="L23" i="9"/>
  <c r="H3" i="10"/>
  <c r="H10" i="10" s="1"/>
  <c r="H29" i="10" s="1"/>
  <c r="H24" i="4"/>
  <c r="H43" i="8"/>
  <c r="H40" i="4"/>
  <c r="D24" i="7"/>
  <c r="D29" i="7" s="1"/>
  <c r="H20" i="8"/>
  <c r="I26" i="9"/>
  <c r="I305" i="9"/>
  <c r="L21" i="9"/>
  <c r="L291" i="9" s="1"/>
  <c r="L146" i="9"/>
  <c r="K17" i="4"/>
  <c r="K18" i="4" s="1"/>
  <c r="K32" i="8"/>
  <c r="G26" i="7"/>
  <c r="K6" i="8"/>
  <c r="I23" i="4"/>
  <c r="I15" i="8"/>
  <c r="I36" i="8"/>
  <c r="J307" i="9"/>
  <c r="J90" i="12"/>
  <c r="J9" i="12" s="1"/>
  <c r="K28" i="12" s="1"/>
  <c r="J28" i="12" s="1"/>
  <c r="J30" i="12" s="1"/>
  <c r="J16" i="12" s="1"/>
  <c r="L22" i="9"/>
  <c r="J23" i="4"/>
  <c r="J36" i="8"/>
  <c r="J15" i="8"/>
  <c r="L57" i="9"/>
  <c r="L327" i="9"/>
  <c r="H26" i="4"/>
  <c r="K13" i="4"/>
  <c r="K14" i="4" s="1"/>
  <c r="L335" i="9"/>
  <c r="K64" i="9"/>
  <c r="K43" i="4" s="1"/>
  <c r="J42" i="4"/>
  <c r="K335" i="9"/>
  <c r="L329" i="9"/>
  <c r="K42" i="4"/>
  <c r="L148" i="9" l="1"/>
  <c r="L152" i="9" s="1"/>
  <c r="L153" i="9" s="1"/>
  <c r="G28" i="7" s="1"/>
  <c r="E27" i="7"/>
  <c r="J48" i="9"/>
  <c r="J318" i="9" s="1"/>
  <c r="I12" i="10"/>
  <c r="I20" i="10" s="1"/>
  <c r="J13" i="12"/>
  <c r="J3" i="12" s="1"/>
  <c r="K37" i="9" s="1"/>
  <c r="J92" i="12"/>
  <c r="K50" i="9" s="1"/>
  <c r="K7" i="12"/>
  <c r="K30" i="8"/>
  <c r="K11" i="8"/>
  <c r="I296" i="9"/>
  <c r="H60" i="4"/>
  <c r="H56" i="4"/>
  <c r="H57" i="4"/>
  <c r="H61" i="4"/>
  <c r="G61" i="4"/>
  <c r="G57" i="4"/>
  <c r="G56" i="4"/>
  <c r="G60" i="4"/>
  <c r="G29" i="10"/>
  <c r="G45" i="14"/>
  <c r="G53" i="14" s="1"/>
  <c r="G45" i="8"/>
  <c r="G23" i="8"/>
  <c r="G34" i="4" s="1"/>
  <c r="L292" i="9"/>
  <c r="L293" i="9"/>
  <c r="J308" i="9"/>
  <c r="I5" i="10" s="1"/>
  <c r="E25" i="7" s="1"/>
  <c r="J39" i="4"/>
  <c r="J25" i="4"/>
  <c r="J40" i="8"/>
  <c r="J9" i="4"/>
  <c r="J18" i="8"/>
  <c r="H45" i="14"/>
  <c r="H45" i="8"/>
  <c r="H23" i="8"/>
  <c r="H34" i="4" s="1"/>
  <c r="J43" i="4"/>
  <c r="L334" i="9"/>
  <c r="J48" i="4"/>
  <c r="K334" i="9"/>
  <c r="J47" i="4"/>
  <c r="J35" i="9"/>
  <c r="J306" i="9"/>
  <c r="I18" i="8"/>
  <c r="I39" i="4"/>
  <c r="I25" i="4"/>
  <c r="I40" i="8"/>
  <c r="I9" i="4"/>
  <c r="H58" i="4"/>
  <c r="K8" i="10"/>
  <c r="J20" i="12"/>
  <c r="J34" i="12" s="1"/>
  <c r="K33" i="12" s="1"/>
  <c r="K89" i="12" l="1"/>
  <c r="I10" i="4"/>
  <c r="H44" i="14"/>
  <c r="H53" i="14" s="1"/>
  <c r="G8" i="14"/>
  <c r="H106" i="9" s="1"/>
  <c r="I26" i="4"/>
  <c r="J4" i="12"/>
  <c r="K38" i="9" s="1"/>
  <c r="K15" i="12"/>
  <c r="I3" i="10"/>
  <c r="I10" i="10" s="1"/>
  <c r="I40" i="4"/>
  <c r="I20" i="8"/>
  <c r="I43" i="8"/>
  <c r="E24" i="7"/>
  <c r="E29" i="7" s="1"/>
  <c r="I24" i="4"/>
  <c r="K48" i="9"/>
  <c r="K320" i="9"/>
  <c r="J3" i="10"/>
  <c r="J43" i="8"/>
  <c r="F24" i="7"/>
  <c r="J20" i="8"/>
  <c r="J24" i="4"/>
  <c r="J40" i="4"/>
  <c r="G31" i="10"/>
  <c r="G58" i="4"/>
  <c r="K36" i="8"/>
  <c r="K15" i="8"/>
  <c r="K23" i="4"/>
  <c r="F27" i="7"/>
  <c r="K307" i="9"/>
  <c r="J12" i="10" s="1"/>
  <c r="J20" i="10" s="1"/>
  <c r="J26" i="9"/>
  <c r="J305" i="9"/>
  <c r="K90" i="12"/>
  <c r="K9" i="12" s="1"/>
  <c r="K29" i="12" s="1"/>
  <c r="K30" i="12" s="1"/>
  <c r="K16" i="12" s="1"/>
  <c r="K13" i="12" l="1"/>
  <c r="K3" i="12" s="1"/>
  <c r="L37" i="9" s="1"/>
  <c r="K308" i="9"/>
  <c r="J5" i="10" s="1"/>
  <c r="J10" i="10" s="1"/>
  <c r="J29" i="10" s="1"/>
  <c r="K36" i="9"/>
  <c r="H30" i="10"/>
  <c r="H31" i="10" s="1"/>
  <c r="H3" i="9"/>
  <c r="K318" i="9"/>
  <c r="I60" i="4"/>
  <c r="I56" i="4"/>
  <c r="I57" i="4"/>
  <c r="I61" i="4"/>
  <c r="I29" i="10"/>
  <c r="H376" i="9"/>
  <c r="H93" i="9"/>
  <c r="I45" i="14"/>
  <c r="I23" i="8"/>
  <c r="I34" i="4" s="1"/>
  <c r="I45" i="8"/>
  <c r="J296" i="9"/>
  <c r="K92" i="12"/>
  <c r="L50" i="9" s="1"/>
  <c r="K9" i="4"/>
  <c r="K18" i="8"/>
  <c r="K40" i="8"/>
  <c r="K39" i="4"/>
  <c r="K25" i="4"/>
  <c r="J45" i="14"/>
  <c r="J45" i="8"/>
  <c r="J23" i="8"/>
  <c r="J34" i="4" s="1"/>
  <c r="K20" i="12"/>
  <c r="K4" i="12" s="1"/>
  <c r="L38" i="9" s="1"/>
  <c r="H8" i="14"/>
  <c r="I106" i="9" s="1"/>
  <c r="I44" i="14"/>
  <c r="I53" i="14" l="1"/>
  <c r="J58" i="4"/>
  <c r="I30" i="10"/>
  <c r="I31" i="10" s="1"/>
  <c r="I3" i="9"/>
  <c r="I273" i="9" s="1"/>
  <c r="L308" i="9"/>
  <c r="K5" i="10" s="1"/>
  <c r="H363" i="9"/>
  <c r="H92" i="9"/>
  <c r="I58" i="4"/>
  <c r="K35" i="9"/>
  <c r="K306" i="9"/>
  <c r="J61" i="4"/>
  <c r="J57" i="4"/>
  <c r="J56" i="4"/>
  <c r="J60" i="4"/>
  <c r="F25" i="7"/>
  <c r="F29" i="7" s="1"/>
  <c r="J10" i="4"/>
  <c r="J26" i="4"/>
  <c r="L36" i="9"/>
  <c r="G27" i="7"/>
  <c r="L307" i="9"/>
  <c r="L48" i="9"/>
  <c r="L320" i="9"/>
  <c r="I8" i="14"/>
  <c r="J106" i="9" s="1"/>
  <c r="J376" i="9" s="1"/>
  <c r="J44" i="14"/>
  <c r="J53" i="14" s="1"/>
  <c r="K3" i="10"/>
  <c r="K20" i="8"/>
  <c r="K24" i="4"/>
  <c r="K40" i="4"/>
  <c r="K43" i="8"/>
  <c r="G24" i="7"/>
  <c r="I93" i="9"/>
  <c r="I363" i="9" s="1"/>
  <c r="I376" i="9"/>
  <c r="H273" i="9"/>
  <c r="H2" i="9"/>
  <c r="G5" i="4"/>
  <c r="K34" i="12"/>
  <c r="K12" i="10" l="1"/>
  <c r="K20" i="10" s="1"/>
  <c r="J30" i="10"/>
  <c r="J31" i="10" s="1"/>
  <c r="J3" i="9"/>
  <c r="J273" i="9" s="1"/>
  <c r="H272" i="9"/>
  <c r="G3" i="4"/>
  <c r="G4" i="4"/>
  <c r="H63" i="9"/>
  <c r="H157" i="9" s="1"/>
  <c r="K45" i="14"/>
  <c r="K45" i="8"/>
  <c r="K23" i="8"/>
  <c r="K34" i="4" s="1"/>
  <c r="J93" i="9"/>
  <c r="G25" i="7"/>
  <c r="G29" i="7" s="1"/>
  <c r="K26" i="4"/>
  <c r="K10" i="4"/>
  <c r="I92" i="9"/>
  <c r="H30" i="4" s="1"/>
  <c r="K10" i="10"/>
  <c r="L318" i="9"/>
  <c r="L35" i="9"/>
  <c r="L305" i="9" s="1"/>
  <c r="K26" i="9"/>
  <c r="K305" i="9"/>
  <c r="H362" i="9"/>
  <c r="H114" i="9"/>
  <c r="G44" i="4"/>
  <c r="G52" i="4"/>
  <c r="C18" i="7"/>
  <c r="C19" i="7" s="1"/>
  <c r="B5" i="7" s="1"/>
  <c r="G51" i="4"/>
  <c r="G53" i="4"/>
  <c r="G28" i="4"/>
  <c r="G31" i="4"/>
  <c r="G30" i="4"/>
  <c r="K44" i="14"/>
  <c r="J8" i="14"/>
  <c r="K106" i="9" s="1"/>
  <c r="L306" i="9"/>
  <c r="I2" i="9"/>
  <c r="H5" i="4"/>
  <c r="K53" i="14" l="1"/>
  <c r="K8" i="14" s="1"/>
  <c r="L106" i="9" s="1"/>
  <c r="L93" i="9" s="1"/>
  <c r="I362" i="9"/>
  <c r="G50" i="4"/>
  <c r="G31" i="7"/>
  <c r="G32" i="7" s="1"/>
  <c r="B34" i="7" s="1"/>
  <c r="B35" i="7" s="1"/>
  <c r="C31" i="7"/>
  <c r="C32" i="7" s="1"/>
  <c r="F31" i="7"/>
  <c r="F32" i="7" s="1"/>
  <c r="E31" i="7"/>
  <c r="E32" i="7" s="1"/>
  <c r="D31" i="7"/>
  <c r="D32" i="7" s="1"/>
  <c r="H269" i="9"/>
  <c r="H267" i="9"/>
  <c r="H263" i="9"/>
  <c r="H259" i="9"/>
  <c r="H253" i="9"/>
  <c r="H251" i="9"/>
  <c r="H384" i="9"/>
  <c r="H266" i="9"/>
  <c r="H258" i="9"/>
  <c r="H264" i="9"/>
  <c r="H256" i="9"/>
  <c r="H246" i="9"/>
  <c r="H244" i="9"/>
  <c r="H242" i="9"/>
  <c r="H240" i="9"/>
  <c r="H238" i="9"/>
  <c r="H236" i="9"/>
  <c r="H234" i="9"/>
  <c r="H260" i="9"/>
  <c r="H241" i="9"/>
  <c r="H233" i="9"/>
  <c r="H227" i="9"/>
  <c r="H268" i="9"/>
  <c r="H245" i="9"/>
  <c r="H237" i="9"/>
  <c r="H228" i="9"/>
  <c r="H226" i="9"/>
  <c r="H235" i="9"/>
  <c r="H115" i="9"/>
  <c r="H239" i="9"/>
  <c r="H262" i="9"/>
  <c r="H254" i="9"/>
  <c r="G8" i="4"/>
  <c r="H243" i="9"/>
  <c r="H232" i="9"/>
  <c r="H252" i="9"/>
  <c r="H255" i="9"/>
  <c r="H257" i="9"/>
  <c r="H249" i="9"/>
  <c r="H250" i="9"/>
  <c r="H222" i="9"/>
  <c r="H229" i="9"/>
  <c r="H224" i="9"/>
  <c r="H225" i="9"/>
  <c r="H223" i="9"/>
  <c r="H265" i="9"/>
  <c r="H231" i="9"/>
  <c r="H221" i="9"/>
  <c r="H230" i="9"/>
  <c r="H220" i="9"/>
  <c r="H219" i="9"/>
  <c r="G59" i="4"/>
  <c r="H261" i="9"/>
  <c r="H248" i="9"/>
  <c r="L26" i="9"/>
  <c r="L296" i="9" s="1"/>
  <c r="K61" i="4"/>
  <c r="K57" i="4"/>
  <c r="K60" i="4"/>
  <c r="K56" i="4"/>
  <c r="K29" i="10"/>
  <c r="J92" i="9"/>
  <c r="L376" i="9"/>
  <c r="K93" i="9"/>
  <c r="H4" i="4"/>
  <c r="H3" i="4"/>
  <c r="I63" i="9"/>
  <c r="I157" i="9" s="1"/>
  <c r="H247" i="9"/>
  <c r="K296" i="9"/>
  <c r="I114" i="9"/>
  <c r="I247" i="9" s="1"/>
  <c r="H44" i="4"/>
  <c r="H52" i="4"/>
  <c r="H51" i="4"/>
  <c r="H53" i="4"/>
  <c r="H31" i="4"/>
  <c r="H28" i="4"/>
  <c r="K376" i="9"/>
  <c r="J2" i="9"/>
  <c r="J272" i="9" s="1"/>
  <c r="I5" i="4"/>
  <c r="J363" i="9"/>
  <c r="H333" i="9"/>
  <c r="H215" i="9"/>
  <c r="H211" i="9"/>
  <c r="H209" i="9"/>
  <c r="H207" i="9"/>
  <c r="H201" i="9"/>
  <c r="H195" i="9"/>
  <c r="H189" i="9"/>
  <c r="H187" i="9"/>
  <c r="H185" i="9"/>
  <c r="H183" i="9"/>
  <c r="H179" i="9"/>
  <c r="H171" i="9"/>
  <c r="H167" i="9"/>
  <c r="H161" i="9"/>
  <c r="H218" i="9"/>
  <c r="H216" i="9"/>
  <c r="H210" i="9"/>
  <c r="H208" i="9"/>
  <c r="H206" i="9"/>
  <c r="H204" i="9"/>
  <c r="H202" i="9"/>
  <c r="H200" i="9"/>
  <c r="H196" i="9"/>
  <c r="H194" i="9"/>
  <c r="H186" i="9"/>
  <c r="H184" i="9"/>
  <c r="H180" i="9"/>
  <c r="H170" i="9"/>
  <c r="H166" i="9"/>
  <c r="H160" i="9"/>
  <c r="G41" i="4"/>
  <c r="H159" i="9"/>
  <c r="H162" i="9"/>
  <c r="H188" i="9"/>
  <c r="H182" i="9"/>
  <c r="H198" i="9"/>
  <c r="H199" i="9"/>
  <c r="H197" i="9"/>
  <c r="G19" i="4"/>
  <c r="H164" i="9"/>
  <c r="H19" i="4"/>
  <c r="H169" i="9"/>
  <c r="H165" i="9"/>
  <c r="H168" i="9"/>
  <c r="H174" i="9"/>
  <c r="H217" i="9"/>
  <c r="H173" i="9"/>
  <c r="H175" i="9"/>
  <c r="H163" i="9"/>
  <c r="H213" i="9"/>
  <c r="H193" i="9"/>
  <c r="H192" i="9"/>
  <c r="H172" i="9"/>
  <c r="H177" i="9"/>
  <c r="H178" i="9"/>
  <c r="H205" i="9"/>
  <c r="H176" i="9"/>
  <c r="H214" i="9"/>
  <c r="H191" i="9"/>
  <c r="H203" i="9"/>
  <c r="H212" i="9"/>
  <c r="H190" i="9"/>
  <c r="G49" i="4"/>
  <c r="H181" i="9"/>
  <c r="G29" i="4"/>
  <c r="G27" i="4"/>
  <c r="H158" i="9"/>
  <c r="I272" i="9"/>
  <c r="K30" i="10"/>
  <c r="K3" i="9"/>
  <c r="K273" i="9" s="1"/>
  <c r="H29" i="4" l="1"/>
  <c r="I333" i="9"/>
  <c r="H50" i="4"/>
  <c r="I215" i="9"/>
  <c r="I211" i="9"/>
  <c r="I207" i="9"/>
  <c r="I195" i="9"/>
  <c r="I187" i="9"/>
  <c r="I183" i="9"/>
  <c r="I179" i="9"/>
  <c r="I171" i="9"/>
  <c r="I167" i="9"/>
  <c r="I216" i="9"/>
  <c r="I208" i="9"/>
  <c r="I204" i="9"/>
  <c r="I200" i="9"/>
  <c r="I196" i="9"/>
  <c r="I184" i="9"/>
  <c r="I180" i="9"/>
  <c r="I160" i="9"/>
  <c r="I218" i="9"/>
  <c r="I210" i="9"/>
  <c r="I206" i="9"/>
  <c r="I202" i="9"/>
  <c r="I194" i="9"/>
  <c r="I186" i="9"/>
  <c r="I170" i="9"/>
  <c r="I166" i="9"/>
  <c r="H41" i="4"/>
  <c r="I201" i="9"/>
  <c r="I185" i="9"/>
  <c r="I161" i="9"/>
  <c r="I209" i="9"/>
  <c r="I189" i="9"/>
  <c r="I159" i="9"/>
  <c r="I188" i="9"/>
  <c r="I162" i="9"/>
  <c r="I182" i="9"/>
  <c r="I198" i="9"/>
  <c r="I197" i="9"/>
  <c r="I199" i="9"/>
  <c r="I164" i="9"/>
  <c r="I168" i="9"/>
  <c r="I165" i="9"/>
  <c r="I169" i="9"/>
  <c r="I175" i="9"/>
  <c r="I217" i="9"/>
  <c r="I174" i="9"/>
  <c r="I173" i="9"/>
  <c r="I163" i="9"/>
  <c r="I213" i="9"/>
  <c r="I176" i="9"/>
  <c r="I177" i="9"/>
  <c r="I214" i="9"/>
  <c r="I178" i="9"/>
  <c r="I172" i="9"/>
  <c r="I205" i="9"/>
  <c r="I192" i="9"/>
  <c r="I212" i="9"/>
  <c r="H49" i="4"/>
  <c r="I191" i="9"/>
  <c r="I193" i="9"/>
  <c r="I203" i="9"/>
  <c r="I190" i="9"/>
  <c r="H27" i="4"/>
  <c r="I181" i="9"/>
  <c r="I158" i="9"/>
  <c r="K31" i="10"/>
  <c r="L3" i="9" s="1"/>
  <c r="K58" i="4"/>
  <c r="L363" i="9"/>
  <c r="K92" i="9"/>
  <c r="J114" i="9"/>
  <c r="J247" i="9" s="1"/>
  <c r="I44" i="4"/>
  <c r="I52" i="4"/>
  <c r="I51" i="4"/>
  <c r="I53" i="4"/>
  <c r="I31" i="4"/>
  <c r="I28" i="4"/>
  <c r="B33" i="7"/>
  <c r="B36" i="7" s="1"/>
  <c r="B39" i="7" s="1"/>
  <c r="B41" i="7" s="1"/>
  <c r="D10" i="1" s="1"/>
  <c r="D12" i="1" s="1"/>
  <c r="J5" i="4"/>
  <c r="K2" i="9"/>
  <c r="K272" i="9" s="1"/>
  <c r="I4" i="4"/>
  <c r="I3" i="4"/>
  <c r="J63" i="9"/>
  <c r="I19" i="4" s="1"/>
  <c r="I264" i="9"/>
  <c r="I256" i="9"/>
  <c r="I246" i="9"/>
  <c r="I244" i="9"/>
  <c r="I242" i="9"/>
  <c r="I240" i="9"/>
  <c r="I238" i="9"/>
  <c r="I236" i="9"/>
  <c r="I234" i="9"/>
  <c r="I263" i="9"/>
  <c r="I262" i="9"/>
  <c r="I254" i="9"/>
  <c r="I266" i="9"/>
  <c r="I243" i="9"/>
  <c r="I235" i="9"/>
  <c r="I258" i="9"/>
  <c r="I239" i="9"/>
  <c r="I268" i="9"/>
  <c r="I253" i="9"/>
  <c r="I251" i="9"/>
  <c r="I233" i="9"/>
  <c r="I227" i="9"/>
  <c r="I259" i="9"/>
  <c r="I245" i="9"/>
  <c r="I228" i="9"/>
  <c r="I269" i="9"/>
  <c r="I226" i="9"/>
  <c r="I241" i="9"/>
  <c r="I115" i="9"/>
  <c r="I260" i="9"/>
  <c r="I237" i="9"/>
  <c r="H8" i="4"/>
  <c r="I267" i="9"/>
  <c r="I232" i="9"/>
  <c r="I252" i="9"/>
  <c r="I255" i="9"/>
  <c r="I257" i="9"/>
  <c r="I249" i="9"/>
  <c r="I250" i="9"/>
  <c r="I223" i="9"/>
  <c r="I225" i="9"/>
  <c r="I224" i="9"/>
  <c r="I229" i="9"/>
  <c r="I222" i="9"/>
  <c r="I221" i="9"/>
  <c r="I265" i="9"/>
  <c r="I231" i="9"/>
  <c r="I220" i="9"/>
  <c r="I230" i="9"/>
  <c r="I219" i="9"/>
  <c r="H59" i="4"/>
  <c r="I261" i="9"/>
  <c r="I248" i="9"/>
  <c r="I384" i="9"/>
  <c r="I30" i="4"/>
  <c r="J362" i="9"/>
  <c r="L92" i="9"/>
  <c r="K363" i="9"/>
  <c r="J384" i="9" l="1"/>
  <c r="J157" i="9"/>
  <c r="I50" i="4"/>
  <c r="K5" i="4"/>
  <c r="L2" i="9"/>
  <c r="L272" i="9" s="1"/>
  <c r="L273" i="9"/>
  <c r="I29" i="4"/>
  <c r="L362" i="9"/>
  <c r="J44" i="4"/>
  <c r="K114" i="9"/>
  <c r="K247" i="9" s="1"/>
  <c r="J52" i="4"/>
  <c r="J51" i="4"/>
  <c r="J31" i="4"/>
  <c r="J53" i="4"/>
  <c r="J28" i="4"/>
  <c r="K30" i="4"/>
  <c r="J218" i="9"/>
  <c r="J216" i="9"/>
  <c r="J210" i="9"/>
  <c r="J208" i="9"/>
  <c r="J206" i="9"/>
  <c r="J204" i="9"/>
  <c r="J202" i="9"/>
  <c r="J200" i="9"/>
  <c r="J196" i="9"/>
  <c r="J194" i="9"/>
  <c r="J186" i="9"/>
  <c r="J184" i="9"/>
  <c r="J180" i="9"/>
  <c r="J170" i="9"/>
  <c r="J166" i="9"/>
  <c r="J160" i="9"/>
  <c r="J215" i="9"/>
  <c r="J211" i="9"/>
  <c r="J209" i="9"/>
  <c r="J207" i="9"/>
  <c r="J201" i="9"/>
  <c r="J195" i="9"/>
  <c r="J189" i="9"/>
  <c r="J187" i="9"/>
  <c r="J185" i="9"/>
  <c r="J183" i="9"/>
  <c r="J179" i="9"/>
  <c r="J171" i="9"/>
  <c r="J167" i="9"/>
  <c r="J161" i="9"/>
  <c r="I41" i="4"/>
  <c r="J188" i="9"/>
  <c r="J159" i="9"/>
  <c r="J162" i="9"/>
  <c r="J182" i="9"/>
  <c r="J198" i="9"/>
  <c r="J199" i="9"/>
  <c r="J197" i="9"/>
  <c r="J165" i="9"/>
  <c r="J168" i="9"/>
  <c r="J164" i="9"/>
  <c r="J169" i="9"/>
  <c r="J163" i="9"/>
  <c r="J173" i="9"/>
  <c r="J174" i="9"/>
  <c r="J217" i="9"/>
  <c r="J214" i="9"/>
  <c r="J213" i="9"/>
  <c r="J175" i="9"/>
  <c r="J178" i="9"/>
  <c r="J172" i="9"/>
  <c r="J176" i="9"/>
  <c r="J212" i="9"/>
  <c r="I49" i="4"/>
  <c r="J177" i="9"/>
  <c r="J192" i="9"/>
  <c r="J205" i="9"/>
  <c r="J203" i="9"/>
  <c r="J193" i="9"/>
  <c r="J191" i="9"/>
  <c r="I27" i="4"/>
  <c r="J190" i="9"/>
  <c r="J181" i="9"/>
  <c r="J158" i="9"/>
  <c r="J30" i="4"/>
  <c r="K384" i="9"/>
  <c r="J268" i="9"/>
  <c r="J266" i="9"/>
  <c r="J264" i="9"/>
  <c r="J262" i="9"/>
  <c r="J260" i="9"/>
  <c r="J258" i="9"/>
  <c r="J256" i="9"/>
  <c r="J254" i="9"/>
  <c r="J263" i="9"/>
  <c r="J269" i="9"/>
  <c r="J253" i="9"/>
  <c r="J245" i="9"/>
  <c r="J243" i="9"/>
  <c r="J241" i="9"/>
  <c r="J239" i="9"/>
  <c r="J237" i="9"/>
  <c r="J235" i="9"/>
  <c r="J233" i="9"/>
  <c r="J267" i="9"/>
  <c r="J251" i="9"/>
  <c r="J242" i="9"/>
  <c r="J234" i="9"/>
  <c r="J228" i="9"/>
  <c r="J226" i="9"/>
  <c r="J259" i="9"/>
  <c r="J246" i="9"/>
  <c r="J238" i="9"/>
  <c r="J227" i="9"/>
  <c r="J240" i="9"/>
  <c r="J236" i="9"/>
  <c r="I8" i="4"/>
  <c r="J244" i="9"/>
  <c r="J115" i="9"/>
  <c r="J232" i="9"/>
  <c r="J255" i="9"/>
  <c r="J252" i="9"/>
  <c r="J257" i="9"/>
  <c r="J249" i="9"/>
  <c r="J250" i="9"/>
  <c r="J224" i="9"/>
  <c r="J222" i="9"/>
  <c r="J223" i="9"/>
  <c r="J225" i="9"/>
  <c r="J229" i="9"/>
  <c r="J265" i="9"/>
  <c r="J221" i="9"/>
  <c r="J231" i="9"/>
  <c r="J230" i="9"/>
  <c r="J220" i="9"/>
  <c r="J219" i="9"/>
  <c r="I59" i="4"/>
  <c r="J261" i="9"/>
  <c r="J248" i="9"/>
  <c r="L114" i="9"/>
  <c r="L247" i="9" s="1"/>
  <c r="K44" i="4"/>
  <c r="K52" i="4"/>
  <c r="K51" i="4"/>
  <c r="K53" i="4"/>
  <c r="K31" i="4"/>
  <c r="K28" i="4"/>
  <c r="J3" i="4"/>
  <c r="J4" i="4"/>
  <c r="K63" i="9"/>
  <c r="J50" i="4" s="1"/>
  <c r="K362" i="9"/>
  <c r="J333" i="9"/>
  <c r="K216" i="9" l="1"/>
  <c r="K208" i="9"/>
  <c r="K204" i="9"/>
  <c r="K200" i="9"/>
  <c r="K196" i="9"/>
  <c r="K184" i="9"/>
  <c r="K180" i="9"/>
  <c r="K160" i="9"/>
  <c r="K209" i="9"/>
  <c r="K201" i="9"/>
  <c r="K189" i="9"/>
  <c r="K185" i="9"/>
  <c r="K161" i="9"/>
  <c r="K215" i="9"/>
  <c r="K211" i="9"/>
  <c r="K207" i="9"/>
  <c r="K195" i="9"/>
  <c r="K187" i="9"/>
  <c r="K183" i="9"/>
  <c r="K179" i="9"/>
  <c r="K171" i="9"/>
  <c r="K167" i="9"/>
  <c r="K206" i="9"/>
  <c r="K218" i="9"/>
  <c r="K202" i="9"/>
  <c r="K186" i="9"/>
  <c r="K170" i="9"/>
  <c r="J41" i="4"/>
  <c r="K166" i="9"/>
  <c r="K210" i="9"/>
  <c r="K194" i="9"/>
  <c r="K188" i="9"/>
  <c r="K162" i="9"/>
  <c r="K159" i="9"/>
  <c r="K182" i="9"/>
  <c r="K198" i="9"/>
  <c r="K199" i="9"/>
  <c r="K197" i="9"/>
  <c r="K165" i="9"/>
  <c r="K164" i="9"/>
  <c r="K169" i="9"/>
  <c r="K168" i="9"/>
  <c r="K174" i="9"/>
  <c r="K217" i="9"/>
  <c r="K173" i="9"/>
  <c r="K163" i="9"/>
  <c r="K172" i="9"/>
  <c r="K213" i="9"/>
  <c r="K214" i="9"/>
  <c r="K178" i="9"/>
  <c r="K175" i="9"/>
  <c r="K177" i="9"/>
  <c r="K176" i="9"/>
  <c r="K212" i="9"/>
  <c r="J49" i="4"/>
  <c r="K205" i="9"/>
  <c r="K192" i="9"/>
  <c r="J27" i="4"/>
  <c r="K193" i="9"/>
  <c r="K203" i="9"/>
  <c r="K191" i="9"/>
  <c r="K190" i="9"/>
  <c r="K181" i="9"/>
  <c r="K158" i="9"/>
  <c r="L269" i="9"/>
  <c r="L267" i="9"/>
  <c r="L263" i="9"/>
  <c r="L259" i="9"/>
  <c r="L253" i="9"/>
  <c r="L251" i="9"/>
  <c r="L268" i="9"/>
  <c r="L260" i="9"/>
  <c r="L266" i="9"/>
  <c r="L258" i="9"/>
  <c r="L246" i="9"/>
  <c r="L244" i="9"/>
  <c r="L242" i="9"/>
  <c r="L240" i="9"/>
  <c r="L238" i="9"/>
  <c r="L236" i="9"/>
  <c r="L234" i="9"/>
  <c r="L254" i="9"/>
  <c r="L245" i="9"/>
  <c r="L237" i="9"/>
  <c r="L227" i="9"/>
  <c r="L262" i="9"/>
  <c r="L241" i="9"/>
  <c r="L233" i="9"/>
  <c r="L228" i="9"/>
  <c r="L226" i="9"/>
  <c r="L264" i="9"/>
  <c r="L243" i="9"/>
  <c r="L235" i="9"/>
  <c r="L239" i="9"/>
  <c r="L256" i="9"/>
  <c r="K8" i="4"/>
  <c r="L232" i="9"/>
  <c r="L255" i="9"/>
  <c r="L252" i="9"/>
  <c r="L257" i="9"/>
  <c r="L249" i="9"/>
  <c r="L229" i="9"/>
  <c r="L222" i="9"/>
  <c r="L224" i="9"/>
  <c r="L225" i="9"/>
  <c r="L223" i="9"/>
  <c r="L250" i="9"/>
  <c r="L221" i="9"/>
  <c r="L265" i="9"/>
  <c r="L231" i="9"/>
  <c r="L220" i="9"/>
  <c r="L230" i="9"/>
  <c r="L219" i="9"/>
  <c r="K59" i="4"/>
  <c r="L261" i="9"/>
  <c r="L248" i="9"/>
  <c r="J29" i="4"/>
  <c r="J19" i="4"/>
  <c r="K3" i="4"/>
  <c r="K4" i="4"/>
  <c r="L63" i="9"/>
  <c r="K29" i="4" s="1"/>
  <c r="K157" i="9"/>
  <c r="K333" i="9"/>
  <c r="L384" i="9"/>
  <c r="K269" i="9"/>
  <c r="K262" i="9"/>
  <c r="K254" i="9"/>
  <c r="K253" i="9"/>
  <c r="K245" i="9"/>
  <c r="K243" i="9"/>
  <c r="K241" i="9"/>
  <c r="K239" i="9"/>
  <c r="K237" i="9"/>
  <c r="K235" i="9"/>
  <c r="K233" i="9"/>
  <c r="K268" i="9"/>
  <c r="K267" i="9"/>
  <c r="K260" i="9"/>
  <c r="K259" i="9"/>
  <c r="K251" i="9"/>
  <c r="K263" i="9"/>
  <c r="K256" i="9"/>
  <c r="K244" i="9"/>
  <c r="K236" i="9"/>
  <c r="K264" i="9"/>
  <c r="K240" i="9"/>
  <c r="K266" i="9"/>
  <c r="K242" i="9"/>
  <c r="K228" i="9"/>
  <c r="K238" i="9"/>
  <c r="K115" i="9"/>
  <c r="K258" i="9"/>
  <c r="K234" i="9"/>
  <c r="K227" i="9"/>
  <c r="K246" i="9"/>
  <c r="J8" i="4"/>
  <c r="K226" i="9"/>
  <c r="K232" i="9"/>
  <c r="K252" i="9"/>
  <c r="K255" i="9"/>
  <c r="K257" i="9"/>
  <c r="K249" i="9"/>
  <c r="K250" i="9"/>
  <c r="K222" i="9"/>
  <c r="K225" i="9"/>
  <c r="K224" i="9"/>
  <c r="K229" i="9"/>
  <c r="K223" i="9"/>
  <c r="K231" i="9"/>
  <c r="K265" i="9"/>
  <c r="K221" i="9"/>
  <c r="K230" i="9"/>
  <c r="K220" i="9"/>
  <c r="K219" i="9"/>
  <c r="J59" i="4"/>
  <c r="K261" i="9"/>
  <c r="K248" i="9"/>
  <c r="K19" i="4" l="1"/>
  <c r="L157" i="9"/>
  <c r="L115" i="9"/>
  <c r="L215" i="9"/>
  <c r="L211" i="9"/>
  <c r="L209" i="9"/>
  <c r="L207" i="9"/>
  <c r="L201" i="9"/>
  <c r="L195" i="9"/>
  <c r="L189" i="9"/>
  <c r="L187" i="9"/>
  <c r="L185" i="9"/>
  <c r="L183" i="9"/>
  <c r="L179" i="9"/>
  <c r="L171" i="9"/>
  <c r="L167" i="9"/>
  <c r="L161" i="9"/>
  <c r="L218" i="9"/>
  <c r="L216" i="9"/>
  <c r="L210" i="9"/>
  <c r="L208" i="9"/>
  <c r="L206" i="9"/>
  <c r="L204" i="9"/>
  <c r="L202" i="9"/>
  <c r="L200" i="9"/>
  <c r="L196" i="9"/>
  <c r="L194" i="9"/>
  <c r="L186" i="9"/>
  <c r="L184" i="9"/>
  <c r="L180" i="9"/>
  <c r="L170" i="9"/>
  <c r="L166" i="9"/>
  <c r="L160" i="9"/>
  <c r="K41" i="4"/>
  <c r="L188" i="9"/>
  <c r="L162" i="9"/>
  <c r="L182" i="9"/>
  <c r="L159" i="9"/>
  <c r="L198" i="9"/>
  <c r="L197" i="9"/>
  <c r="L199" i="9"/>
  <c r="L217" i="9"/>
  <c r="L164" i="9"/>
  <c r="L165" i="9"/>
  <c r="L169" i="9"/>
  <c r="L168" i="9"/>
  <c r="L163" i="9"/>
  <c r="L173" i="9"/>
  <c r="L174" i="9"/>
  <c r="L213" i="9"/>
  <c r="L175" i="9"/>
  <c r="L172" i="9"/>
  <c r="L214" i="9"/>
  <c r="K49" i="4"/>
  <c r="L178" i="9"/>
  <c r="L212" i="9"/>
  <c r="L176" i="9"/>
  <c r="L177" i="9"/>
  <c r="L192" i="9"/>
  <c r="L205" i="9"/>
  <c r="K27" i="4"/>
  <c r="L193" i="9"/>
  <c r="L191" i="9"/>
  <c r="L203" i="9"/>
  <c r="L190" i="9"/>
  <c r="L181" i="9"/>
  <c r="L158" i="9"/>
  <c r="K50" i="4"/>
  <c r="L333" i="9"/>
</calcChain>
</file>

<file path=xl/sharedStrings.xml><?xml version="1.0" encoding="utf-8"?>
<sst xmlns="http://schemas.openxmlformats.org/spreadsheetml/2006/main" count="1769" uniqueCount="900">
  <si>
    <t>FCFF</t>
  </si>
  <si>
    <t>Multiple</t>
  </si>
  <si>
    <t>MWG</t>
  </si>
  <si>
    <t>EY</t>
  </si>
  <si>
    <t>2022F</t>
  </si>
  <si>
    <t>2023F</t>
  </si>
  <si>
    <t>2024F</t>
  </si>
  <si>
    <t>2025F</t>
  </si>
  <si>
    <t>2026F</t>
  </si>
  <si>
    <t>Thegioididong.com</t>
  </si>
  <si>
    <t>Đienmayxanh</t>
  </si>
  <si>
    <t>BLUETRONICS</t>
  </si>
  <si>
    <t>TOPZONE</t>
  </si>
  <si>
    <t>An Khang</t>
  </si>
  <si>
    <t>WACC</t>
  </si>
  <si>
    <t>2017A</t>
  </si>
  <si>
    <t>2018A</t>
  </si>
  <si>
    <t>2019A</t>
  </si>
  <si>
    <t>2020A</t>
  </si>
  <si>
    <t>2021A</t>
  </si>
  <si>
    <t>ROA</t>
  </si>
  <si>
    <t>ROE</t>
  </si>
  <si>
    <t>ROAA</t>
  </si>
  <si>
    <t>ROEA</t>
  </si>
  <si>
    <t>ROIC (CFA)</t>
  </si>
  <si>
    <t>EPS</t>
  </si>
  <si>
    <t>Financial Ratio Indexes</t>
  </si>
  <si>
    <t>Days Sales Receivable Index (DSRI)</t>
  </si>
  <si>
    <t>Gross Margin Index (GMI)</t>
  </si>
  <si>
    <t>Asset Quality Index (AQI)</t>
  </si>
  <si>
    <t>Sales Growth Index (SGI)</t>
  </si>
  <si>
    <t>Depreciation Index (DEPI)</t>
  </si>
  <si>
    <t>Sales, General and Administration Expense Index (SGAI)</t>
  </si>
  <si>
    <t xml:space="preserve"> Leverage Index (LVGI)</t>
  </si>
  <si>
    <t>Total Accrual on Total Assets (TATA)</t>
  </si>
  <si>
    <t>Beneish M-Score (8 biến)</t>
  </si>
  <si>
    <t>KẾT LUẬN:</t>
  </si>
  <si>
    <t>PP&amp;E</t>
  </si>
  <si>
    <t>SGA Expense</t>
  </si>
  <si>
    <t>Thegioididong</t>
  </si>
  <si>
    <t>Growth</t>
  </si>
  <si>
    <t>Bluetronics</t>
  </si>
  <si>
    <t>n/a</t>
  </si>
  <si>
    <t>Topzone</t>
  </si>
  <si>
    <t>Bachhoaxanh</t>
  </si>
  <si>
    <t>Total revenue</t>
  </si>
  <si>
    <t>Thuế suất</t>
  </si>
  <si>
    <t>Giá cổ phiếu</t>
  </si>
  <si>
    <t>Gross margin</t>
  </si>
  <si>
    <t>Dienmayxanh.com &amp; Bluetronics</t>
  </si>
  <si>
    <t>Bachhoaxanh.com</t>
  </si>
  <si>
    <t>Total cost of sales</t>
  </si>
  <si>
    <t>Balance Check</t>
  </si>
  <si>
    <t>THAY ĐỔI VỐN LƯU ĐỘNG</t>
  </si>
  <si>
    <t>CF4</t>
  </si>
  <si>
    <t>CF5</t>
  </si>
  <si>
    <t>CF3</t>
  </si>
  <si>
    <t>CF6</t>
  </si>
  <si>
    <t>CF2</t>
  </si>
  <si>
    <t>CF11</t>
  </si>
  <si>
    <t>CF12</t>
  </si>
  <si>
    <t>CF9</t>
  </si>
  <si>
    <t>CF10</t>
  </si>
  <si>
    <t>CF1</t>
  </si>
  <si>
    <t>CF7</t>
  </si>
  <si>
    <t>CF8</t>
  </si>
  <si>
    <t>Mid. Year adj.</t>
  </si>
  <si>
    <t>WORKING CAPITAL</t>
  </si>
  <si>
    <t>(CAGR 2019-2021)</t>
  </si>
  <si>
    <t>(Average 2019-2021)</t>
  </si>
  <si>
    <t>Historical</t>
  </si>
  <si>
    <t>ICT&amp;CE</t>
  </si>
  <si>
    <t>Ticker</t>
  </si>
  <si>
    <t>Name</t>
  </si>
  <si>
    <t>Quốc gia</t>
  </si>
  <si>
    <t>Revenue growth</t>
  </si>
  <si>
    <t xml:space="preserve">GPM </t>
  </si>
  <si>
    <t xml:space="preserve">ROE </t>
  </si>
  <si>
    <t xml:space="preserve">Beta </t>
  </si>
  <si>
    <t xml:space="preserve">Market P/E </t>
  </si>
  <si>
    <t>P/E(LTM)</t>
  </si>
  <si>
    <t>P/E 2017</t>
  </si>
  <si>
    <t>P/E 2018</t>
  </si>
  <si>
    <t>P/E 2019</t>
  </si>
  <si>
    <t>P/E 2020</t>
  </si>
  <si>
    <t>P/E 2021</t>
  </si>
  <si>
    <t>DGW VN Equity</t>
  </si>
  <si>
    <t>Digiworld Corporation</t>
  </si>
  <si>
    <t>Vietnam</t>
  </si>
  <si>
    <t>Mean</t>
  </si>
  <si>
    <t>FRT VN Equity</t>
  </si>
  <si>
    <t>FPT DIGITAL RETAIL JSC</t>
  </si>
  <si>
    <t>COM7 TB Equity</t>
  </si>
  <si>
    <t>Com7 PCL</t>
  </si>
  <si>
    <t>Thailand</t>
  </si>
  <si>
    <t>ERAA IJ Equity</t>
  </si>
  <si>
    <t>Erajaya Swasembada Tbk (ERAA)</t>
  </si>
  <si>
    <t>Indonesia</t>
  </si>
  <si>
    <t>LNST MWG</t>
  </si>
  <si>
    <t>1373 HK Equity</t>
  </si>
  <si>
    <t>International Housewares Retail Co Ltd</t>
  </si>
  <si>
    <t>HongKong</t>
  </si>
  <si>
    <t>LNST BHX&amp;AK ước tính</t>
  </si>
  <si>
    <t>Trung bình so sánh</t>
  </si>
  <si>
    <t>LNST ICT&amp;CE</t>
  </si>
  <si>
    <t>Tương quan với cty cùng ngành</t>
  </si>
  <si>
    <t>P/E VN</t>
  </si>
  <si>
    <t>SL cổ phiếu lưu hành</t>
  </si>
  <si>
    <t>Beta Ngành</t>
  </si>
  <si>
    <t>EPS Forward</t>
  </si>
  <si>
    <t>Target P/E điều chỉnh từ thị trường</t>
  </si>
  <si>
    <t>Gía trị trên cổ phần</t>
  </si>
  <si>
    <t>Điều chỉnh tương quan</t>
  </si>
  <si>
    <t>Target P/E điều chỉnh từ thành quả HĐ</t>
  </si>
  <si>
    <t xml:space="preserve">FMCG </t>
  </si>
  <si>
    <t>GPM</t>
  </si>
  <si>
    <t>P/S(LTM)</t>
  </si>
  <si>
    <t>P/S 2017</t>
  </si>
  <si>
    <t>P/S 2018</t>
  </si>
  <si>
    <t>P/S 2019</t>
  </si>
  <si>
    <t>P/S 2020</t>
  </si>
  <si>
    <t>P/S 2021</t>
  </si>
  <si>
    <t>BETA (BHX)</t>
  </si>
  <si>
    <t>MSN VN Equity</t>
  </si>
  <si>
    <t>Masan Group Corporation</t>
  </si>
  <si>
    <t>VietNam</t>
  </si>
  <si>
    <t>Beta L</t>
  </si>
  <si>
    <t>VNM VN Equity</t>
  </si>
  <si>
    <t>Vietnam Dairy Products JSC</t>
  </si>
  <si>
    <t>D/E</t>
  </si>
  <si>
    <t>AMRT IJ</t>
  </si>
  <si>
    <t>Sumber Alfaria Trijaya Tbk PT</t>
  </si>
  <si>
    <t>5903 TT</t>
  </si>
  <si>
    <t>Taiwan FamilyMart Co Ltd</t>
  </si>
  <si>
    <t>Taiwan</t>
  </si>
  <si>
    <t>Beta U</t>
  </si>
  <si>
    <t>Adjusted Beta</t>
  </si>
  <si>
    <t>Bách Hóa Xanh</t>
  </si>
  <si>
    <t>Doanh thu 12m Forward</t>
  </si>
  <si>
    <t>Target P/S điều chỉnh từ thị trường</t>
  </si>
  <si>
    <t>SL CP LL</t>
  </si>
  <si>
    <t>Target P/S điều chỉnh từ thành quả HĐ</t>
  </si>
  <si>
    <t>Doanh thu / CP năm 2022</t>
  </si>
  <si>
    <t>P/S FW</t>
  </si>
  <si>
    <t>Gía cổ phiếu</t>
  </si>
  <si>
    <t>Pharaceutical  retail</t>
  </si>
  <si>
    <t>Relative P/S (LTM)</t>
  </si>
  <si>
    <t>KAEF IJ Equity</t>
  </si>
  <si>
    <t>Kimia Farma Persero Tbk</t>
  </si>
  <si>
    <t>RRHI:PM</t>
  </si>
  <si>
    <t>Robinsons Retail Holdings Inc</t>
  </si>
  <si>
    <t>Philippines</t>
  </si>
  <si>
    <t>KLBF:IJ</t>
  </si>
  <si>
    <t>Kalbe Farma Tbk PT</t>
  </si>
  <si>
    <t>Mean P/S</t>
  </si>
  <si>
    <t>600833 CH Equity</t>
  </si>
  <si>
    <t>Shanghai No1 Pharmacy Co Ltd</t>
  </si>
  <si>
    <t>China</t>
  </si>
  <si>
    <t>600713 CH Equity</t>
  </si>
  <si>
    <t>NanJing Pharmaceutical Co Ltd</t>
  </si>
  <si>
    <t>DD/MM/YYYY</t>
  </si>
  <si>
    <t>VN-Index</t>
  </si>
  <si>
    <t>Change in VN-Index</t>
  </si>
  <si>
    <t>Change in MWG</t>
  </si>
  <si>
    <t>31/05/2022</t>
  </si>
  <si>
    <t>30/05/2022</t>
  </si>
  <si>
    <t>27/05/2022</t>
  </si>
  <si>
    <t>26/05/2022</t>
  </si>
  <si>
    <t>25/05/2022</t>
  </si>
  <si>
    <t>24/05/2022</t>
  </si>
  <si>
    <t>23/05/2022</t>
  </si>
  <si>
    <t>20/05/2022</t>
  </si>
  <si>
    <t>19/05/2022</t>
  </si>
  <si>
    <t>18/05/2022</t>
  </si>
  <si>
    <t>17/05/2022</t>
  </si>
  <si>
    <t>16/05/2022</t>
  </si>
  <si>
    <t>13/05/2022</t>
  </si>
  <si>
    <t>29/04/2022</t>
  </si>
  <si>
    <t>28/04/2022</t>
  </si>
  <si>
    <t>27/04/2022</t>
  </si>
  <si>
    <t>26/04/2022</t>
  </si>
  <si>
    <t>25/04/2022</t>
  </si>
  <si>
    <t>22/04/2022</t>
  </si>
  <si>
    <t>21/04/2022</t>
  </si>
  <si>
    <t>20/04/2022</t>
  </si>
  <si>
    <t>19/04/2022</t>
  </si>
  <si>
    <t>18/04/2022</t>
  </si>
  <si>
    <t>15/04/2022</t>
  </si>
  <si>
    <t>14/04/2022</t>
  </si>
  <si>
    <t>13/04/2022</t>
  </si>
  <si>
    <t>31/03/2022</t>
  </si>
  <si>
    <t>30/03/2022</t>
  </si>
  <si>
    <t>29/03/2022</t>
  </si>
  <si>
    <t>28/03/2022</t>
  </si>
  <si>
    <t>25/03/2022</t>
  </si>
  <si>
    <t>24/03/2022</t>
  </si>
  <si>
    <t>23/03/2022</t>
  </si>
  <si>
    <t>22/03/2022</t>
  </si>
  <si>
    <t>21/03/2022</t>
  </si>
  <si>
    <t>18/03/2022</t>
  </si>
  <si>
    <t>17/03/2022</t>
  </si>
  <si>
    <t>16/03/2022</t>
  </si>
  <si>
    <t>15/03/2022</t>
  </si>
  <si>
    <t>14/03/2022</t>
  </si>
  <si>
    <t>28/02/2022</t>
  </si>
  <si>
    <t>25/02/2022</t>
  </si>
  <si>
    <t>24/02/2022</t>
  </si>
  <si>
    <t>23/02/2022</t>
  </si>
  <si>
    <t>22/02/2022</t>
  </si>
  <si>
    <t>21/02/2022</t>
  </si>
  <si>
    <t>18/02/2022</t>
  </si>
  <si>
    <t>17/02/2022</t>
  </si>
  <si>
    <t>16/02/2022</t>
  </si>
  <si>
    <t>15/02/2022</t>
  </si>
  <si>
    <t>14/02/2022</t>
  </si>
  <si>
    <t>28/01/2022</t>
  </si>
  <si>
    <t>27/01/2022</t>
  </si>
  <si>
    <t>26/01/2022</t>
  </si>
  <si>
    <t>25/01/2022</t>
  </si>
  <si>
    <t>24/01/2022</t>
  </si>
  <si>
    <t>21/01/2022</t>
  </si>
  <si>
    <t>20/01/2022</t>
  </si>
  <si>
    <t>19/01/2022</t>
  </si>
  <si>
    <t>18/01/2022</t>
  </si>
  <si>
    <t>17/01/2022</t>
  </si>
  <si>
    <t>14/01/2022</t>
  </si>
  <si>
    <t>13/01/2022</t>
  </si>
  <si>
    <t>31/12/2021</t>
  </si>
  <si>
    <t>30/12/2021</t>
  </si>
  <si>
    <t>29/12/2021</t>
  </si>
  <si>
    <t>28/12/2021</t>
  </si>
  <si>
    <t>27/12/2021</t>
  </si>
  <si>
    <t>24/12/2021</t>
  </si>
  <si>
    <t>23/12/2021</t>
  </si>
  <si>
    <t>22/12/2021</t>
  </si>
  <si>
    <t>21/12/2021</t>
  </si>
  <si>
    <t>20/12/2021</t>
  </si>
  <si>
    <t>17/12/2021</t>
  </si>
  <si>
    <t>16/12/2021</t>
  </si>
  <si>
    <t>15/12/2021</t>
  </si>
  <si>
    <t>14/12/2021</t>
  </si>
  <si>
    <t>13/12/2021</t>
  </si>
  <si>
    <t>30/11/2021</t>
  </si>
  <si>
    <t>29/11/2021</t>
  </si>
  <si>
    <t>26/11/2021</t>
  </si>
  <si>
    <t>25/11/2021</t>
  </si>
  <si>
    <t>24/11/2021</t>
  </si>
  <si>
    <t>23/11/2021</t>
  </si>
  <si>
    <t>22/11/2021</t>
  </si>
  <si>
    <t>19/11/2021</t>
  </si>
  <si>
    <t>18/11/2021</t>
  </si>
  <si>
    <t>17/11/2021</t>
  </si>
  <si>
    <t>16/11/2021</t>
  </si>
  <si>
    <t>15/11/2021</t>
  </si>
  <si>
    <t>29/10/2021</t>
  </si>
  <si>
    <t>28/10/2021</t>
  </si>
  <si>
    <t>27/10/2021</t>
  </si>
  <si>
    <t>26/10/2021</t>
  </si>
  <si>
    <t>25/10/2021</t>
  </si>
  <si>
    <t>22/10/2021</t>
  </si>
  <si>
    <t>21/10/2021</t>
  </si>
  <si>
    <t>20/10/2021</t>
  </si>
  <si>
    <t>19/10/2021</t>
  </si>
  <si>
    <t>18/10/2021</t>
  </si>
  <si>
    <t>15/10/2021</t>
  </si>
  <si>
    <t>14/10/2021</t>
  </si>
  <si>
    <t>13/10/2021</t>
  </si>
  <si>
    <t>30/09/2021</t>
  </si>
  <si>
    <t>29/09/2021</t>
  </si>
  <si>
    <t>28/09/2021</t>
  </si>
  <si>
    <t>27/09/2021</t>
  </si>
  <si>
    <t>24/09/2021</t>
  </si>
  <si>
    <t>23/09/2021</t>
  </si>
  <si>
    <t>22/09/2021</t>
  </si>
  <si>
    <t>21/09/2021</t>
  </si>
  <si>
    <t>20/09/2021</t>
  </si>
  <si>
    <t>17/09/2021</t>
  </si>
  <si>
    <t>16/09/2021</t>
  </si>
  <si>
    <t>15/09/2021</t>
  </si>
  <si>
    <t>14/09/2021</t>
  </si>
  <si>
    <t>13/09/2021</t>
  </si>
  <si>
    <t>31/08/2021</t>
  </si>
  <si>
    <t>30/08/2021</t>
  </si>
  <si>
    <t>27/08/2021</t>
  </si>
  <si>
    <t>26/08/2021</t>
  </si>
  <si>
    <t>25/08/2021</t>
  </si>
  <si>
    <t>24/08/2021</t>
  </si>
  <si>
    <t>23/08/2021</t>
  </si>
  <si>
    <t>20/08/2021</t>
  </si>
  <si>
    <t>19/08/2021</t>
  </si>
  <si>
    <t>18/08/2021</t>
  </si>
  <si>
    <t>17/08/2021</t>
  </si>
  <si>
    <t>16/08/2021</t>
  </si>
  <si>
    <t>13/08/2021</t>
  </si>
  <si>
    <t>30/07/2021</t>
  </si>
  <si>
    <t>29/07/2021</t>
  </si>
  <si>
    <t>28/07/2021</t>
  </si>
  <si>
    <t>27/07/2021</t>
  </si>
  <si>
    <t>26/07/2021</t>
  </si>
  <si>
    <t>23/07/2021</t>
  </si>
  <si>
    <t>22/07/2021</t>
  </si>
  <si>
    <t>21/07/2021</t>
  </si>
  <si>
    <t>20/07/2021</t>
  </si>
  <si>
    <t>19/07/2021</t>
  </si>
  <si>
    <t>16/07/2021</t>
  </si>
  <si>
    <t>15/07/2021</t>
  </si>
  <si>
    <t>14/07/2021</t>
  </si>
  <si>
    <t>13/07/2021</t>
  </si>
  <si>
    <t>30/06/2021</t>
  </si>
  <si>
    <t>29/06/2021</t>
  </si>
  <si>
    <t>28/06/2021</t>
  </si>
  <si>
    <t>25/06/2021</t>
  </si>
  <si>
    <t>24/06/2021</t>
  </si>
  <si>
    <t>23/06/2021</t>
  </si>
  <si>
    <t>22/06/2021</t>
  </si>
  <si>
    <t>21/06/2021</t>
  </si>
  <si>
    <t>18/06/2021</t>
  </si>
  <si>
    <t>17/06/2021</t>
  </si>
  <si>
    <t>16/06/2021</t>
  </si>
  <si>
    <t>15/06/2021</t>
  </si>
  <si>
    <t>14/06/2021</t>
  </si>
  <si>
    <t>Relative P/E (LTM)</t>
  </si>
  <si>
    <t>Giá Cổ phiếu MWG</t>
  </si>
  <si>
    <t>Valuation method</t>
  </si>
  <si>
    <t>BUY</t>
  </si>
  <si>
    <t>Recommendation</t>
  </si>
  <si>
    <t>Current price (06/06/2022)</t>
  </si>
  <si>
    <t>Target price</t>
  </si>
  <si>
    <t>Upside</t>
  </si>
  <si>
    <t>Unit: VND</t>
  </si>
  <si>
    <t>Audit Committee</t>
  </si>
  <si>
    <t>Audit Opinion</t>
  </si>
  <si>
    <t>BALANCE SHEET</t>
  </si>
  <si>
    <t>A. CURRENT ASSETS</t>
  </si>
  <si>
    <t>I. Cash and Cash Equivalents</t>
  </si>
  <si>
    <t>1. Cash</t>
  </si>
  <si>
    <t>2. Cash equivalents</t>
  </si>
  <si>
    <t>II. Short-term Financial Investment</t>
  </si>
  <si>
    <t>1. Securities available for sale</t>
  </si>
  <si>
    <t>2. Provision for decline in value of investments in securities</t>
  </si>
  <si>
    <t>3. Securities hold to maturity</t>
  </si>
  <si>
    <t>III. Short-term Receivables</t>
  </si>
  <si>
    <t>1. Short-term receivables from customers</t>
  </si>
  <si>
    <t>2. Prepaid for suppliers</t>
  </si>
  <si>
    <t>3. Internal short-term receivables</t>
  </si>
  <si>
    <t>4. Receivables according to construction contract progress</t>
  </si>
  <si>
    <t>5. Short-term loan receivable</t>
  </si>
  <si>
    <t>6. Other short-term receivables</t>
  </si>
  <si>
    <t>7. Provision for short-term doubtful receivables</t>
  </si>
  <si>
    <t>8. Assets missing pending for resolution</t>
  </si>
  <si>
    <t>IV. Inventory</t>
  </si>
  <si>
    <t>1. Inventory</t>
  </si>
  <si>
    <t>2. Provision for devaluation of inventory</t>
  </si>
  <si>
    <t>V. Other Current Asset</t>
  </si>
  <si>
    <t>1. Short-term prepaid expense</t>
  </si>
  <si>
    <t>2. Deductible input VAT</t>
  </si>
  <si>
    <t>3. Taxes and other receivables from the State budget</t>
  </si>
  <si>
    <t>4. Government bond repurchase transaction</t>
  </si>
  <si>
    <t>5. Other current asset</t>
  </si>
  <si>
    <t>B. NON-CURRENT ASSETS</t>
  </si>
  <si>
    <t>I. Long-term receivables</t>
  </si>
  <si>
    <t>1. Long term trade receivables</t>
  </si>
  <si>
    <t>2. Long term advance to suppliers</t>
  </si>
  <si>
    <t>3. Working capital from sub-units</t>
  </si>
  <si>
    <t>4. Internal receivables</t>
  </si>
  <si>
    <t>5. Long term loan receivables</t>
  </si>
  <si>
    <t xml:space="preserve">6. Long term other receivables </t>
  </si>
  <si>
    <t>7. Provision for long-term bad debts</t>
  </si>
  <si>
    <t>II. Fixed assets</t>
  </si>
  <si>
    <t>1. Tangible fixed assets</t>
  </si>
  <si>
    <t>- Cost</t>
  </si>
  <si>
    <t>- Accumulated depreciation</t>
  </si>
  <si>
    <t>2. Fixed assets of finance leasing</t>
  </si>
  <si>
    <t>3. Intangible fixed assets</t>
  </si>
  <si>
    <t>III. Investment properties</t>
  </si>
  <si>
    <t>1. Cost</t>
  </si>
  <si>
    <t>2. Accumulated depreciation</t>
  </si>
  <si>
    <t>IV. Long term assets in progress</t>
  </si>
  <si>
    <t>1. Long term work in progress</t>
  </si>
  <si>
    <t>2. Long term construction in progress</t>
  </si>
  <si>
    <t>V. Long-term investments</t>
  </si>
  <si>
    <t>1. Investments in subsidiary</t>
  </si>
  <si>
    <t>2. Investments in joint-venture, associates</t>
  </si>
  <si>
    <t>3. Other long-term investments</t>
  </si>
  <si>
    <t>4. Provision for long-term investments</t>
  </si>
  <si>
    <t>5. Held-to-maturity investments</t>
  </si>
  <si>
    <t>VI. Other long-term assets</t>
  </si>
  <si>
    <t>1. Long-term prepaid expenses</t>
  </si>
  <si>
    <t>2. Deferred tax assets</t>
  </si>
  <si>
    <t>3. Long-term equipment, materials and spare parts</t>
  </si>
  <si>
    <t>4. Other long-term assets</t>
  </si>
  <si>
    <t>5. Goodwill</t>
  </si>
  <si>
    <t>TOTAL ASSETS</t>
  </si>
  <si>
    <t>C. LIABILITIES</t>
  </si>
  <si>
    <t>I. Current liabilities</t>
  </si>
  <si>
    <t>1. Trade payables</t>
  </si>
  <si>
    <t>2. Advances from customers</t>
  </si>
  <si>
    <t>3. Statutory obligations</t>
  </si>
  <si>
    <t>4. Payables to employees</t>
  </si>
  <si>
    <t>5. Accrued expenses</t>
  </si>
  <si>
    <t>6. Payables to related parties</t>
  </si>
  <si>
    <t>7. Payables from construction contract</t>
  </si>
  <si>
    <t>8. Short-term deferred revenue</t>
  </si>
  <si>
    <t>9. Other short-term payables</t>
  </si>
  <si>
    <t>10. Short-term loan and payable for finance leasing</t>
  </si>
  <si>
    <t>11. Provision for short-term payable</t>
  </si>
  <si>
    <t>12. Reward and welfare funds</t>
  </si>
  <si>
    <t>13. Stabilization fund</t>
  </si>
  <si>
    <t>14. Trading Government bonds</t>
  </si>
  <si>
    <t>II. Non-current liabilities</t>
  </si>
  <si>
    <t>1. Long term trade payables</t>
  </si>
  <si>
    <t>2. Long term advance to customers</t>
  </si>
  <si>
    <t>3. Long term accruals</t>
  </si>
  <si>
    <t>4. Working capital from subunits</t>
  </si>
  <si>
    <t>5. Long term payables to related parties</t>
  </si>
  <si>
    <t>6. Long term deferred revenue</t>
  </si>
  <si>
    <t>7. Other long term liabilities</t>
  </si>
  <si>
    <t>8. Long term loans and debts</t>
  </si>
  <si>
    <t>9. Convertible bond</t>
  </si>
  <si>
    <t>10. Preference shares</t>
  </si>
  <si>
    <t>11. Deferred tax liabilities</t>
  </si>
  <si>
    <t>12. Provision for bad debts</t>
  </si>
  <si>
    <t>13. The development of science and technology fund</t>
  </si>
  <si>
    <t>D. OWNER’S’ EQUITY</t>
  </si>
  <si>
    <t>I. Capital</t>
  </si>
  <si>
    <t>1. Contributed chartered capital</t>
  </si>
  <si>
    <t>- Ordinary shares</t>
  </si>
  <si>
    <t>- Preference shares</t>
  </si>
  <si>
    <t>2. Share premium</t>
  </si>
  <si>
    <t>3. Bond option</t>
  </si>
  <si>
    <t>4. Other equity</t>
  </si>
  <si>
    <t>5. Treasury shares</t>
  </si>
  <si>
    <t>6. Asset revaluation difference</t>
  </si>
  <si>
    <t>7. Foreign exchange gain/loss</t>
  </si>
  <si>
    <t>8. Supplementary capital reserve fund</t>
  </si>
  <si>
    <t>9. Financial reserve fund</t>
  </si>
  <si>
    <t>10. Other fund of owners’ equity</t>
  </si>
  <si>
    <t>11. Undistributed earnings</t>
  </si>
  <si>
    <t>- Previous year undistributed earnings</t>
  </si>
  <si>
    <t>- This year undistributed earnings</t>
  </si>
  <si>
    <t>12. Construction investment fund</t>
  </si>
  <si>
    <t>13. Non-controlling interest</t>
  </si>
  <si>
    <t>II. Other fund</t>
  </si>
  <si>
    <t>1. Other fund</t>
  </si>
  <si>
    <t>2. Fixed assets arising from other fund</t>
  </si>
  <si>
    <t>TOTAL EQUITY</t>
  </si>
  <si>
    <t>INCOME STATEMENT</t>
  </si>
  <si>
    <t>1. Revenue from sale of goods and services</t>
  </si>
  <si>
    <t>2. Deduction</t>
  </si>
  <si>
    <t>3. Net revenue from sale of goods and services</t>
  </si>
  <si>
    <t xml:space="preserve">4. Costs of goods sold </t>
  </si>
  <si>
    <t xml:space="preserve">5. Gross profit </t>
  </si>
  <si>
    <t>6. Income from financial activities</t>
  </si>
  <si>
    <t>7. Expenses from financial activities</t>
  </si>
  <si>
    <t>-  In which: Interest expenses</t>
  </si>
  <si>
    <t>8. Share in profits of associates</t>
  </si>
  <si>
    <t>9. Selling expenses</t>
  </si>
  <si>
    <t>10. General and administrative expenses</t>
  </si>
  <si>
    <t>11. Operating profit</t>
  </si>
  <si>
    <t>12. Other income</t>
  </si>
  <si>
    <t>13. Other expenses</t>
  </si>
  <si>
    <t>14. Other profit</t>
  </si>
  <si>
    <t>15. Earning Before Interest and Tax</t>
  </si>
  <si>
    <t>16. Current corporate income tax expense</t>
  </si>
  <si>
    <t>17. Deferred corporate income tax expense</t>
  </si>
  <si>
    <t>18. Net profit after tax</t>
  </si>
  <si>
    <t>19. Equity holders of non-controlling interest</t>
  </si>
  <si>
    <t>20. Net profit after tax of parent company</t>
  </si>
  <si>
    <t>CASH FLOW STATEMENT</t>
  </si>
  <si>
    <t>I. CASH FLOWS FROM OPERATING ACTIVITIES</t>
  </si>
  <si>
    <t>1. Net profit before tax</t>
  </si>
  <si>
    <t>2. Adjustments for:</t>
  </si>
  <si>
    <t>Depreciation and amortisation</t>
  </si>
  <si>
    <t>Provision for decline in value of investments</t>
  </si>
  <si>
    <t>Gain (loss) from disposal of equity investments in other entities</t>
  </si>
  <si>
    <t>Gain (loss) on foreign exchange</t>
  </si>
  <si>
    <t>(Gain) loss on disposal of assets</t>
  </si>
  <si>
    <t>Interest expenses</t>
  </si>
  <si>
    <t>Other adjustment</t>
  </si>
  <si>
    <t>Interest income</t>
  </si>
  <si>
    <t>Goodwill amortization</t>
  </si>
  <si>
    <t>(Gain) loss on disposal of fixed assets</t>
  </si>
  <si>
    <t>3. Operating income before changes in working capital</t>
  </si>
  <si>
    <t>Decrease/(increase) in receivables</t>
  </si>
  <si>
    <t>Decrease/(Increase) in securities held for trading</t>
  </si>
  <si>
    <t>Decrease/(increase) in inventories</t>
  </si>
  <si>
    <t>Increase in payables (not included interest expenses and income tax payables)</t>
  </si>
  <si>
    <t>Decrease/(Increase) in prepaid expenses</t>
  </si>
  <si>
    <t>Interest paid</t>
  </si>
  <si>
    <t>Enterprise income tax paid</t>
  </si>
  <si>
    <t>Other income from business activities</t>
  </si>
  <si>
    <t>Other cash inflows/(outflows) from operating activities</t>
  </si>
  <si>
    <t>II.CASH FLOWS FROM INVESTING ACTIVITIES</t>
  </si>
  <si>
    <t>1. Purchase and construction of fixed assets and other long-term assets</t>
  </si>
  <si>
    <t>2. Proceeds from disposals of assets</t>
  </si>
  <si>
    <t>3.  Loans provided to related parties and other</t>
  </si>
  <si>
    <t>4. Collection of loans provided to related parties and other</t>
  </si>
  <si>
    <t xml:space="preserve">5. Payments for equity investments in other entities </t>
  </si>
  <si>
    <t>6. Proceed from collection investment in other entity</t>
  </si>
  <si>
    <t>7. Interest and dividend received</t>
  </si>
  <si>
    <t>8. Proceed from other investment acitivities</t>
  </si>
  <si>
    <t>III. CASH FLOWS FROM FINANCING ACTIVITIES</t>
  </si>
  <si>
    <t>1. Proceeds from issuance of ordinary shares</t>
  </si>
  <si>
    <t>2. Money to return contributed capital to owners, buy back shares of the issued enterprise</t>
  </si>
  <si>
    <t>3.  Proceeds from bond issuance and borrowings</t>
  </si>
  <si>
    <t>4. Payments of loan</t>
  </si>
  <si>
    <t>5. Payments for principal of finance leaser</t>
  </si>
  <si>
    <t>6. Dividend paid to owner</t>
  </si>
  <si>
    <t>7. Proceed from other financial activities</t>
  </si>
  <si>
    <t>IV. Net cash flow during the period</t>
  </si>
  <si>
    <t>V. Cash and cash equivalents at the beginning of the period</t>
  </si>
  <si>
    <t>VI. Cash and cash equivalents at the end of the period</t>
  </si>
  <si>
    <t>Unqualified opinion</t>
  </si>
  <si>
    <t>MWG has proactively reduced the number of stores, with some being converted into Dienmayxanh. It is expected that an average of 20-30 stores will be converted each year. In 2022, an estimated 30 stores will be converted, and the Thegioididong chain will add 30 new stores. The number of new openings will gradually decrease, and by 2026, the total number of stores after conversions and new openings is expected to decrease by 25. Revenue per store (overall SSSG) is forecasted to increase by 7% in 2022, then decline to 5% in 2023, 3% in 2024, and stabilize at 1.5% in the following years.</t>
  </si>
  <si>
    <t>Statement</t>
  </si>
  <si>
    <t>Assumptions</t>
  </si>
  <si>
    <t>Explanations</t>
  </si>
  <si>
    <t>This year, Dienmayxanh will open 200 more stores and take on 30 Thegioididong stores that are being converted. In the following years, new store openings will drop to an average of 80–70 for 2023 and 2024, and 50 stores for 2025–2026. Dienmayxanh’s revenue will grow by an average of 2.5% per month during 2022–2023 and 1.5% for the remaining period.</t>
  </si>
  <si>
    <t>According to DGW, the TV, washing machine… market currently has a scale of 2.4 billion USD. Right now, in big cities, the electronics category is almost saturated and no longer attracts as many customers as before. Meanwhile, the refrigeration segment, with products like refrigerators, is expected to recover strongly in the hot season, compared to the same period last year when shopping was affected by scattered outbreaks nationwide.
Dien May Xanh Mini and Supermini are new solutions to boost revenue for MWG, using smaller store spaces to reach customers in provincial and rural areas where modern, professional retail models are still “empty.” In 2022, by continuing to open DMX Supermini (operating about 1,000 stores by the end of the year), the overall ICT and CE market is still seeing slight growth. We forecast that DMX’s revenue per store per month will increase by 2.5% in 2022 and 2023, then slow to 1.5% growth in 2024–2026 due to the industry leveling off in the long term.</t>
  </si>
  <si>
    <t>Currently, both market share and growth in the phone and laptop segments have slowed and shown signs of stagnation. If Thegioididong wants to expand, it will have to take market share from other chains, leading to intense competition. In the short term, growth will mainly come from economic recovery after the pandemic. In the mid-term, growth is expected to be driven primarily by first-time buyers and high-income customer segments.
Fitch forecasts that spending on electronic devices, including PCs, audio equipment, TVs, cameras, and mobile handsets, will increase by 13.8% in value compared to the previous year. The population aged 15-64 is expected to grow at a CAGR of 0.4%.
Thegioididong has also diversified its product offerings by adding watches, eyewear, and other items, which have shown strong growth. With the recovery in place, revenue growth in 2022 looks promising. Thegioididong is proactively opening new stores in high-potential locations while closing underperforming stores.</t>
  </si>
  <si>
    <t>Open 100 new stores in 2022, reach 200 stores in 2023, and continue to open about 15–20 stores steadily in the remaining period. Revenue will hit key milestones such as 1 billion USD (over 23 trillion VND) in 2023.</t>
  </si>
  <si>
    <t>MWG could quickly dominate the Apple product market in Vietnam in 2022/23 thanks to the large market size of Apple products, about 34,500 billion VND, with a growth potential of around 7% per year. About 50% of the market belongs to hand-carried (grey market) products, giving MWG a big advantage in expanding its market share strongly since 2021 when stricter regulations on grey market goods were enforced.
For 2022, estimated revenue is around 600 million USD. By 2023, MWG expects to reach 1 billion USD and capture 40% of the market, becoming the largest Apple distributor in the region. With two models—AAR (6–8 billion VND/month) and APPR (10–15 billion VND/month)—along with the strong "Apple" trend among Vietnamese consumers, revenue growth potential is huge.
From 2023 onward, MWG has not announced further plans for TopZone, so new store openings are expected to be minimal, focusing instead on stabilizing revenue.</t>
  </si>
  <si>
    <t>The retail market is very promising, with long-term growth potential and no clear market leader yet. The post-pandemic recovery has had a strong impact as workers return to their jobs and household incomes gradually recover.  
In 2022, MWG decided to slow down new store openings and restructure the layout and backup operations of Bách Hóa Xanh stores. This change is expected to help increase average revenue per store by 10%. However, targeting traditional markets as competitors, Bách Hóa Xanh has cut costs to lower prices on many products to match market prices. The company is also running many promotions focusing on essential goods, facing high competition from major players like MSN and Nova Consumer.  
As a result, in the long run, revenue growth per store is expected to decline and stabilize at 5%. With plans to expand to the North from 2023, Bách Hóa Xanh aims to reach 5,000 stores by 2026. This falls short of leadership expectations, but the Northern market is currently highly competitive, with strong competition from WinMart (MSN) and traditional markets. MSN is also aggressively expanding its minimart chains, which will pose challenges for Bách Hóa Xanh, despite its strong network advantage in the South.</t>
  </si>
  <si>
    <t>Opened 450 new stores in 2021, with the pace of new openings gradually slowing in the following years due to pressure from competing chains. By 2026, the total number of stores is expected to surpass 2,000.  
Store revenue is expected to grow strongly in 2023 and 2024, with continuous increases of 10–12%. In 2025 and 2026, growth will slow slightly to 10–8%.</t>
  </si>
  <si>
    <t>The pharmaceutical industry is valued at $7.4 billion, with pharmaceutical spending growing at an average of 14% per year. Currently, over 95% of pharmacies in Vietnam are small independent stores. After the pandemic, opportunities in the pharmaceutical sector have expanded, especially for functional foods, vitamins, and supplements. This is also the right time for pharmacy chains to grow.  
An Khang is expanding rapidly this year and could rank in the top 3 of the pharmaceutical sector by year-end in terms of both revenue and store count. Currently competing with Pharmacity—which aims to reach over 5,000 stores by 2025—and FRT, which targets over 2,000 stores, the race to expand large chains is fierce. However, the pharmaceutical market remains wide open, and we expect MWG to develop 2,000 An Khang stores by 2026.  
With two models—An Khang combined with Bách Hóa Xanh (generating 400–500 million VND per month) and standalone stores (700–800 million VND per month)—we estimate the average monthly revenue per store in 2022 to be 500 million VND. By balancing its product mix between medicines and non-medicine items better than its two main competitors, An Khang is also making significant strategic changes, reshaping its business model, redesigning store layouts, restructuring its product portfolio, and launching a new website.  
As a result, the chain’s revenue is expected to continue growing in the future, potentially reaching an average of 732 million VND per store per month.</t>
  </si>
  <si>
    <t>14% in 2022, then gradually stabilizing at 13.5%.</t>
  </si>
  <si>
    <t>Declining from 3.4% to 3.1% during 2022–2026.</t>
  </si>
  <si>
    <t>Average of the last two years.</t>
  </si>
  <si>
    <t>The business is operating stably, but the scale expansion is not growing as fast as costs.</t>
  </si>
  <si>
    <t>There is growth due to the efficiency of short-term financial investments.</t>
  </si>
  <si>
    <t>The average rate follows previous years.</t>
  </si>
  <si>
    <t>It increases over the years as MWG maintains short-term debt to support working capital needs.</t>
  </si>
  <si>
    <t>There is an improvement compared to 2021, thanks to post-pandemic recovery. In the following years, it will remain at an average level.</t>
  </si>
  <si>
    <t>Maintained at 3.7–3.8 days during the 2022–2026 period.</t>
  </si>
  <si>
    <t>Equal to the 2021 rate.</t>
  </si>
  <si>
    <t>The average of 2021 and 2020.</t>
  </si>
  <si>
    <t>New equipment and office purchases increase in line with revenue and store count.</t>
  </si>
  <si>
    <t>Construction in progress is transitioned to completion.</t>
  </si>
  <si>
    <t>New purchases remain similar to 2021 and 2020.</t>
  </si>
  <si>
    <t>Increase in line with the pace of new store openings.</t>
  </si>
  <si>
    <t>Depreciation rate matches the 2021 average.</t>
  </si>
  <si>
    <t>Depreciation rate is presented in the financial statements.</t>
  </si>
  <si>
    <t>Depreciation follows the regulated rate.</t>
  </si>
  <si>
    <t>Maintained at the three-year average from 2019–2021.</t>
  </si>
  <si>
    <t>Remains at 0.8% each year, so this rate is expected to stay unchanged.</t>
  </si>
  <si>
    <t>Equal 2021</t>
  </si>
  <si>
    <t>Increases steadily by 0.01% per year due to macroeconomic factors post-pandemic and workforce expansion in new chains.</t>
  </si>
  <si>
    <t>Additional borrowing for working capital needs (based on the ratio of new inventory purchases during the year).</t>
  </si>
  <si>
    <t>Short-term debt repayment is carried out annually (aligned with the ratio of purchases and cost of goods sold).</t>
  </si>
  <si>
    <t>Compared to the average unsecured loan interest rate in 2021, there is an upward adjustment due to signs of increasing lending rates.</t>
  </si>
  <si>
    <t>No new long-term borrowing. In 2021, the company also no longer had any long-term debt.</t>
  </si>
  <si>
    <t>Issuing shares to pay dividends at a 1:1 ratio, with the issuance closing in June 2022, and no capital increase assumed for the following year.</t>
  </si>
  <si>
    <t>Issuing 19.22 million ESOP shares for employees in March 2022.</t>
  </si>
  <si>
    <t>Paying a 10% dividend using retained earnings.</t>
  </si>
  <si>
    <t>MWG has been paying cash dividends quite regularly in the past, and it is expected that in the coming years, MWG will maintain the same dividend rate.</t>
  </si>
  <si>
    <r>
      <t xml:space="preserve">The current yield on 10-year Vietnamese government bonds on </t>
    </r>
    <r>
      <rPr>
        <sz val="11"/>
        <color theme="4"/>
        <rFont val="Times New Roman"/>
        <family val="1"/>
      </rPr>
      <t>HNX.VN</t>
    </r>
  </si>
  <si>
    <t>The risk premium of the Vietnamese market according to Professor Damodaran's opinion.</t>
  </si>
  <si>
    <t>The effective tax rate of the Group.</t>
  </si>
  <si>
    <t>COGS (Gross profit)</t>
  </si>
  <si>
    <t>COGS/Net Revenue</t>
  </si>
  <si>
    <t>SG&amp;A/Net revenue</t>
  </si>
  <si>
    <t>Other revenue</t>
  </si>
  <si>
    <t>Financial Income</t>
  </si>
  <si>
    <t>Financial Expense</t>
  </si>
  <si>
    <t>Interest rate</t>
  </si>
  <si>
    <t>Other Income</t>
  </si>
  <si>
    <t>Other Income/Net Revenue</t>
  </si>
  <si>
    <t>Other Expense</t>
  </si>
  <si>
    <t>Other Expense/ Net Revenue</t>
  </si>
  <si>
    <t>Current Assets</t>
  </si>
  <si>
    <t>Average Receivable Turnover</t>
  </si>
  <si>
    <t>Average Day Sales of Inventory</t>
  </si>
  <si>
    <t>Advanced payments to suppliers/Net Revenue</t>
  </si>
  <si>
    <t>Other Receivables/Net Revenue</t>
  </si>
  <si>
    <t>Non-current Assets</t>
  </si>
  <si>
    <t>Intangible Fixed Assets</t>
  </si>
  <si>
    <t>Tangible Fixed Assets</t>
  </si>
  <si>
    <t>Completed Capital Construction Investment</t>
  </si>
  <si>
    <t>Construction in Progress</t>
  </si>
  <si>
    <t>Depreciation of Intangible Fixed Assets</t>
  </si>
  <si>
    <t>Depreciation of Tangible Fixed Assets</t>
  </si>
  <si>
    <t>Goodwill</t>
  </si>
  <si>
    <t>Short-term Debt</t>
  </si>
  <si>
    <t xml:space="preserve">Average Accounts Payable Turnover </t>
  </si>
  <si>
    <t>Taxes and other Payables to the State Budget/Net Revenue</t>
  </si>
  <si>
    <t>Deferred Revenue/Net Revenue</t>
  </si>
  <si>
    <t>Payables to Employees/COGS</t>
  </si>
  <si>
    <t>Short-term Payables/COGS</t>
  </si>
  <si>
    <t>Short-term Borrowings</t>
  </si>
  <si>
    <t>Additional Borrowing</t>
  </si>
  <si>
    <t>Debt Payments</t>
  </si>
  <si>
    <t>Interest Rate</t>
  </si>
  <si>
    <t>Additional Long-term Borrowings</t>
  </si>
  <si>
    <t>Additional Borrowings</t>
  </si>
  <si>
    <t>Owners' Equity</t>
  </si>
  <si>
    <t>Capital Issuance</t>
  </si>
  <si>
    <t>ESOP</t>
  </si>
  <si>
    <t>Cash Dividends</t>
  </si>
  <si>
    <t>Risk Free rate</t>
  </si>
  <si>
    <t>Risk Premium</t>
  </si>
  <si>
    <t>Tax Rate</t>
  </si>
  <si>
    <t>The end of fiscal year</t>
  </si>
  <si>
    <t>Valuation date</t>
  </si>
  <si>
    <t>Year proportion</t>
  </si>
  <si>
    <t>Long-term growth rate</t>
  </si>
  <si>
    <t>Risk free rate</t>
  </si>
  <si>
    <t>Unleveraged Beta</t>
  </si>
  <si>
    <t>Tax rate</t>
  </si>
  <si>
    <t>Forecasted leveraged beta</t>
  </si>
  <si>
    <t>Risk premium</t>
  </si>
  <si>
    <t>Cost of equity</t>
  </si>
  <si>
    <t>D/(D+E)</t>
  </si>
  <si>
    <t>FCFF VALUATION METHOD</t>
  </si>
  <si>
    <t>Operating profit</t>
  </si>
  <si>
    <t>Depreciation</t>
  </si>
  <si>
    <t>Interest rate after tax shield</t>
  </si>
  <si>
    <t>CAPEX</t>
  </si>
  <si>
    <t>Net working capital</t>
  </si>
  <si>
    <t>Mid point</t>
  </si>
  <si>
    <t>Discount Factor</t>
  </si>
  <si>
    <t>PV of FCFF</t>
  </si>
  <si>
    <t>Accumalated PV of FCFF</t>
  </si>
  <si>
    <t>Terminal Value</t>
  </si>
  <si>
    <t>PV of Terminal Value</t>
  </si>
  <si>
    <t>Corporate value</t>
  </si>
  <si>
    <t>Cash</t>
  </si>
  <si>
    <t>Debt</t>
  </si>
  <si>
    <t>Owners' equity value</t>
  </si>
  <si>
    <t>Number of shares</t>
  </si>
  <si>
    <t>Price</t>
  </si>
  <si>
    <t>LIQUIDITY RATIO</t>
  </si>
  <si>
    <t>Current ratio</t>
  </si>
  <si>
    <t>Quick ratio</t>
  </si>
  <si>
    <t>Cash Ratio</t>
  </si>
  <si>
    <t>SOLVENCY RATIO</t>
  </si>
  <si>
    <t>(D+E)/E</t>
  </si>
  <si>
    <t>Interest Coverage Ratio</t>
  </si>
  <si>
    <t>Cash Coverage Ratio</t>
  </si>
  <si>
    <t>Inventory Turnover</t>
  </si>
  <si>
    <t>ASSET MANAGEMENT RATIO</t>
  </si>
  <si>
    <t>Days of inventory on hand (DOH)</t>
  </si>
  <si>
    <t>Receivables Turnover</t>
  </si>
  <si>
    <t>Average Collection Period</t>
  </si>
  <si>
    <t>Payable Turnover</t>
  </si>
  <si>
    <t>Assets Turnover</t>
  </si>
  <si>
    <t>PROFITABILITY RATIO</t>
  </si>
  <si>
    <t>Gross Profit Margin</t>
  </si>
  <si>
    <t>Net Profit Margin</t>
  </si>
  <si>
    <t>Operating Profit Margin</t>
  </si>
  <si>
    <t>EBIT Margin</t>
  </si>
  <si>
    <t>EBITDA Margin</t>
  </si>
  <si>
    <t>MARKET VALUE RATIO</t>
  </si>
  <si>
    <t>GROWTH RATIO</t>
  </si>
  <si>
    <t>Operationg Profit Growth Rate</t>
  </si>
  <si>
    <t>Gross Profit Margin Growth Rate</t>
  </si>
  <si>
    <t>EBIT Growth Rate</t>
  </si>
  <si>
    <t>EAT Growth Rate</t>
  </si>
  <si>
    <t>Total Assets Growth Rate</t>
  </si>
  <si>
    <t>Short-term Debt Growth Rate</t>
  </si>
  <si>
    <t>Debt Growth Rate</t>
  </si>
  <si>
    <t>Equity Growth Rate</t>
  </si>
  <si>
    <t>FINANCIAL LEVERAGE GROWTH RATIO</t>
  </si>
  <si>
    <t>Short-term Debt/Total Debt</t>
  </si>
  <si>
    <t>D/A</t>
  </si>
  <si>
    <t>Borrowings/Total Assets</t>
  </si>
  <si>
    <t>E/A</t>
  </si>
  <si>
    <t>Short-term Debt/Equity</t>
  </si>
  <si>
    <t>Borrowings/Equity</t>
  </si>
  <si>
    <t>CASHFLOW RATIO</t>
  </si>
  <si>
    <t>Cashflow from Operating/Net Revenue</t>
  </si>
  <si>
    <t>Cashflow from Operating/Short-term Debt</t>
  </si>
  <si>
    <t>Net Cashflow/Short-term Debt</t>
  </si>
  <si>
    <t>Cashflow from Operating/Equity</t>
  </si>
  <si>
    <t>Cashflow from Operating/Operating Profit</t>
  </si>
  <si>
    <t>Cashflow from Operating/Debt</t>
  </si>
  <si>
    <t>MOBILE WORLD, JSC (HOSE: MWG)
Analysis of financial reporting fraud assessment index</t>
  </si>
  <si>
    <t>We use Beneish's M-Score to reassess the likelihood of financial statement fraud by the company.</t>
  </si>
  <si>
    <t>Beneish M-Score:</t>
  </si>
  <si>
    <t xml:space="preserve">M-Score (8 variables) = -4.48 + 0.0290xDSRI + 0.528xGMI + 0.404xAQI + 0.892xSGI + 0.115xDEPI - 0.172xSGAI + 4.679xTATA - 0.327xLVGI 
</t>
  </si>
  <si>
    <t xml:space="preserve">        Beneish M-Score (8 variables) &lt; -2,22: Company is not likely to have manipulated their earnings</t>
  </si>
  <si>
    <t xml:space="preserve">        Beneish M-Score (8 variables) &gt; -2,22: Company is likely to have manipulated their earnings </t>
  </si>
  <si>
    <t>MWG did not manipulate its financial statements during the 2019-2021 period.</t>
  </si>
  <si>
    <t>Net Revenue</t>
  </si>
  <si>
    <t>COGS</t>
  </si>
  <si>
    <t>Payables</t>
  </si>
  <si>
    <t>Total Assets</t>
  </si>
  <si>
    <t>Earnings after Tax (EAT)</t>
  </si>
  <si>
    <t>Cashflow from Operating Activities</t>
  </si>
  <si>
    <t>Long-term Debt</t>
  </si>
  <si>
    <t>Unit: Million VND</t>
  </si>
  <si>
    <t>ICT &amp;CE( ĐMX, TGDĐ, Topzone, Bluetronics )</t>
  </si>
  <si>
    <t>The number of old stores</t>
  </si>
  <si>
    <t>The number of new stores</t>
  </si>
  <si>
    <t>Total stores</t>
  </si>
  <si>
    <t>Average revenue per store per month</t>
  </si>
  <si>
    <t xml:space="preserve">Same-store sales growth (SSSG) </t>
  </si>
  <si>
    <t>FMCG</t>
  </si>
  <si>
    <t>Pharmaceutical</t>
  </si>
  <si>
    <t xml:space="preserve">2. Costs of goods sold </t>
  </si>
  <si>
    <t xml:space="preserve">3. Gross profit </t>
  </si>
  <si>
    <t>4. Income from financial activities</t>
  </si>
  <si>
    <t>5. Expenses from financial activities</t>
  </si>
  <si>
    <t>6. Share in profits of associates</t>
  </si>
  <si>
    <t>7. Selling expenses</t>
  </si>
  <si>
    <t>8. General and administrative expenses</t>
  </si>
  <si>
    <t>9. Operating profit</t>
  </si>
  <si>
    <t>10. Other income</t>
  </si>
  <si>
    <t>11. Other expenses</t>
  </si>
  <si>
    <t>12. Other profit</t>
  </si>
  <si>
    <t>13. Earning Before Interest and Tax</t>
  </si>
  <si>
    <t>14. Current corporate income tax expense</t>
  </si>
  <si>
    <t>15. Deferred corporate income tax expense</t>
  </si>
  <si>
    <t>16. Net profit after tax</t>
  </si>
  <si>
    <t>17. Equity holders of non-controlling interest</t>
  </si>
  <si>
    <t>18. Net profit after tax of parent company</t>
  </si>
  <si>
    <t>1. Net revenue from sale of goods and services</t>
  </si>
  <si>
    <t>Share outstanding</t>
  </si>
  <si>
    <t>MWG Common-size Income Statement</t>
  </si>
  <si>
    <t>Financial expenses (excluding interest expenses)</t>
  </si>
  <si>
    <t>BALANCE SHEET ASSUMPTIONS</t>
  </si>
  <si>
    <t>Beginning period</t>
  </si>
  <si>
    <t>Increase (decrease) during the period</t>
  </si>
  <si>
    <t>The end of the period</t>
  </si>
  <si>
    <t>Increase by % of revenue growth</t>
  </si>
  <si>
    <t>Depriciation</t>
  </si>
  <si>
    <t>Allocation during the period</t>
  </si>
  <si>
    <t>Salvage value</t>
  </si>
  <si>
    <t>Account receivables</t>
  </si>
  <si>
    <t>Inventory</t>
  </si>
  <si>
    <t>Other current assets</t>
  </si>
  <si>
    <t>Current assets excluding cash</t>
  </si>
  <si>
    <t>Other payables</t>
  </si>
  <si>
    <t>Payables excluding debt</t>
  </si>
  <si>
    <t>Change in NWC</t>
  </si>
  <si>
    <t>BALANCE SHEET COMMON-SIZE</t>
  </si>
  <si>
    <t>CHANGE IN BALANCE SHEET</t>
  </si>
  <si>
    <t>Adjustments for:</t>
  </si>
  <si>
    <t>NWC</t>
  </si>
  <si>
    <t>Net cashflow from operating activities</t>
  </si>
  <si>
    <t>Purchase and construction of fixed assets and other long-term assets</t>
  </si>
  <si>
    <t>Proceeds from disposals of assets</t>
  </si>
  <si>
    <t>Loans provided to related parties and other</t>
  </si>
  <si>
    <t>Collection of loans provided to related parties and other</t>
  </si>
  <si>
    <t xml:space="preserve">Payments for equity investments in other entities </t>
  </si>
  <si>
    <t>Proceed from collection investment in other entity</t>
  </si>
  <si>
    <t>Interest and dividend received</t>
  </si>
  <si>
    <t>Proceed from other investment acitivities</t>
  </si>
  <si>
    <t>Net cashflow from investing</t>
  </si>
  <si>
    <t>Proceeds from issuance of ordinary shares</t>
  </si>
  <si>
    <t>Money to return contributed capital to owners, buy back shares of the issued enterprise</t>
  </si>
  <si>
    <t>Payments of loan</t>
  </si>
  <si>
    <t>Payments for principal of finance leaser</t>
  </si>
  <si>
    <t>Dividend paid to owner</t>
  </si>
  <si>
    <t>Net cashflow from financing activities</t>
  </si>
  <si>
    <t>Net cash flow during the period</t>
  </si>
  <si>
    <t>Cash and cash equivalents at the beginning of the period</t>
  </si>
  <si>
    <t>Cash and cash equivalents at the end of the period</t>
  </si>
  <si>
    <t>Outstanding debt</t>
  </si>
  <si>
    <t>New debt during the period</t>
  </si>
  <si>
    <t>Principal payment</t>
  </si>
  <si>
    <t>Reclassify</t>
  </si>
  <si>
    <t>Ending outstanding debt</t>
  </si>
  <si>
    <t>Purchasing during the period</t>
  </si>
  <si>
    <t>Debt payment/Purcharsing</t>
  </si>
  <si>
    <t>New debt/Purchasing</t>
  </si>
  <si>
    <t>Change</t>
  </si>
  <si>
    <t xml:space="preserve"> % Debt payment / COGS</t>
  </si>
  <si>
    <t>Interest expense</t>
  </si>
  <si>
    <t>Short-term debt</t>
  </si>
  <si>
    <t>Tangible fixed assets</t>
  </si>
  <si>
    <t>Historical cost</t>
  </si>
  <si>
    <t>Accumulated depreciation</t>
  </si>
  <si>
    <t>Forecasted value in detail</t>
  </si>
  <si>
    <t>Beginning of period</t>
  </si>
  <si>
    <t>New purchase</t>
  </si>
  <si>
    <t>Transfer from Construction in progress</t>
  </si>
  <si>
    <t>Liquiditate</t>
  </si>
  <si>
    <t>Reclassifying</t>
  </si>
  <si>
    <t>Increase due to M&amp;A</t>
  </si>
  <si>
    <t>Ending balance</t>
  </si>
  <si>
    <t>Depriciation during the period</t>
  </si>
  <si>
    <t>Average depreciable life</t>
  </si>
  <si>
    <t>Average depreciable life (years)(round-up)</t>
  </si>
  <si>
    <t>Annual depreciation rate (%)</t>
  </si>
  <si>
    <t>Depreciation of buildings and current investment structures</t>
  </si>
  <si>
    <t>Depreciation of buildings and additional investment structures from 2022</t>
  </si>
  <si>
    <t>Depreciation of buildings and additional investment structures from 2023</t>
  </si>
  <si>
    <t>Depreciation of buildings and additional investment structures from 2024</t>
  </si>
  <si>
    <t>Depreciation of buildings and additional investment structures from 2025</t>
  </si>
  <si>
    <t>Depreciation of buildings and additional investment structures from 2026</t>
  </si>
  <si>
    <t>Depreciation of buildings and structures over the years</t>
  </si>
  <si>
    <t>Beginning balance</t>
  </si>
  <si>
    <t>Intangible fixed assets</t>
  </si>
  <si>
    <t>Forecasted value in detail (Software)</t>
  </si>
  <si>
    <t>Depreciation of additional computer software investments currently</t>
  </si>
  <si>
    <t>Depreciation of additional computer software investments from 2022</t>
  </si>
  <si>
    <t>Depreciation of additional computer software investments from 2023</t>
  </si>
  <si>
    <t>Depreciation of additional computer software investments from 2024</t>
  </si>
  <si>
    <t>Depreciation of additional computer software investments from 2025</t>
  </si>
  <si>
    <t>Depreciation of additional computer software investments from 2026</t>
  </si>
  <si>
    <t>Depreciation of additional computer software investments over the year</t>
  </si>
  <si>
    <t>Forecasted value in detail (Brand)</t>
  </si>
  <si>
    <t>Depreciation of current brand value</t>
  </si>
  <si>
    <t>Depreciation of brand value in 2022</t>
  </si>
  <si>
    <t>Depreciation of brand value in 2023</t>
  </si>
  <si>
    <t>Depreciation of brand value in 2024</t>
  </si>
  <si>
    <t>Depreciation of brand value in 2025</t>
  </si>
  <si>
    <t>Depreciation of brand value in 2026</t>
  </si>
  <si>
    <t>Depreciation of brand value during the year</t>
  </si>
  <si>
    <t>Long-term work in progress</t>
  </si>
  <si>
    <t>WIP costs</t>
  </si>
  <si>
    <t>Transfer to tangible fixed assets</t>
  </si>
  <si>
    <t>Increase during the period</t>
  </si>
  <si>
    <t>Revenue growth rate</t>
  </si>
  <si>
    <t>Payables turnover</t>
  </si>
  <si>
    <t>Inventory turnover</t>
  </si>
  <si>
    <t>Provision for inventory</t>
  </si>
  <si>
    <t>Provision/Inventory</t>
  </si>
  <si>
    <t>Prepaid to suppliers</t>
  </si>
  <si>
    <t>Prepaid to suppliers/Net revenue</t>
  </si>
  <si>
    <t>Other receivables</t>
  </si>
  <si>
    <t>Other receivables/Net revenue</t>
  </si>
  <si>
    <t>Short-term loan receivables</t>
  </si>
  <si>
    <t>Short-term loan receivables/Net revenue</t>
  </si>
  <si>
    <t>A part of non-current assets</t>
  </si>
  <si>
    <t>A part of current liabilities</t>
  </si>
  <si>
    <t>Receivables</t>
  </si>
  <si>
    <t>Receivables turnover</t>
  </si>
  <si>
    <t>Unearned revenue</t>
  </si>
  <si>
    <t>Statutory obligations</t>
  </si>
  <si>
    <t>Payables to employees</t>
  </si>
  <si>
    <t>Unearned revenue/COGS</t>
  </si>
  <si>
    <t>Statutory obligations/COGS</t>
  </si>
  <si>
    <t>Payables to employees/COGS</t>
  </si>
  <si>
    <t>Short-term payables</t>
  </si>
  <si>
    <t>Short-term payables/COGS</t>
  </si>
  <si>
    <t>Provision for short-term payables</t>
  </si>
  <si>
    <t>Provision for short-term payables/Payables</t>
  </si>
  <si>
    <t>Other short-term payables</t>
  </si>
  <si>
    <t>Other short-term payables/Revenue</t>
  </si>
  <si>
    <t>Beginnig balance</t>
  </si>
  <si>
    <t>Increase/Decrease</t>
  </si>
  <si>
    <t>Increase as % growth of COGS</t>
  </si>
  <si>
    <t>Common stock</t>
  </si>
  <si>
    <t>Contributed chartered capital</t>
  </si>
  <si>
    <t>Additional paid-in capital</t>
  </si>
  <si>
    <t>Other equity of the shareholders</t>
  </si>
  <si>
    <t>Treasury stock</t>
  </si>
  <si>
    <t>Exchange rate difference</t>
  </si>
  <si>
    <t>Undistributed after-tax profit</t>
  </si>
  <si>
    <t>Non-controlling interest</t>
  </si>
  <si>
    <t>DETAIL CALCULATIONS</t>
  </si>
  <si>
    <t>Contributed capital of shareholders</t>
  </si>
  <si>
    <t>Issuance of shares</t>
  </si>
  <si>
    <t>Bonus share issuance</t>
  </si>
  <si>
    <t>Dividend distribution</t>
  </si>
  <si>
    <t>In cash</t>
  </si>
  <si>
    <t>In shares</t>
  </si>
  <si>
    <t>Share issuance</t>
  </si>
  <si>
    <t>Treasury shares</t>
  </si>
  <si>
    <t>Issuance</t>
  </si>
  <si>
    <t>Stock buyback</t>
  </si>
  <si>
    <t>Exchange rate differences</t>
  </si>
  <si>
    <t>Net profit for the year</t>
  </si>
  <si>
    <t>Provision</t>
  </si>
  <si>
    <t>Dividend</t>
  </si>
  <si>
    <t>Devidend in the form of shares</t>
  </si>
  <si>
    <t>Dividend in the form of cash</t>
  </si>
  <si>
    <t>Other changes (Internal capital transactions)</t>
  </si>
  <si>
    <t>Other capital</t>
  </si>
  <si>
    <t>Profit during the period</t>
  </si>
  <si>
    <t>Industry average</t>
  </si>
  <si>
    <t>Comparison with industry peers</t>
  </si>
  <si>
    <t>Market-adjusted target P/E ratio</t>
  </si>
  <si>
    <t>Relative adjustment</t>
  </si>
  <si>
    <t>Target P/E adjusted from operational performance</t>
  </si>
  <si>
    <t>Countries</t>
  </si>
  <si>
    <t>Market-adjusted target P/S ratio</t>
  </si>
  <si>
    <t>Bach Hoa Xanh</t>
  </si>
  <si>
    <t>An Khang Pharmaceutical</t>
  </si>
  <si>
    <t>Earnings after tax</t>
  </si>
  <si>
    <t>ICT&amp;CE's earnings after tax</t>
  </si>
  <si>
    <t>BHX and An Khang's earnings after tax (estimated)</t>
  </si>
  <si>
    <t>Outstanding shares</t>
  </si>
  <si>
    <t>tax rate</t>
  </si>
  <si>
    <t>Revenue in 12 months forward</t>
  </si>
  <si>
    <t>Revenue/COGS in 2022</t>
  </si>
  <si>
    <t>MWG's price per share</t>
  </si>
  <si>
    <t>Open an additional 30 stores in 2022 and maintain no new openings. The overall SSG (Same-store growth) will be sustained at 5-6%.</t>
  </si>
  <si>
    <t>Currently, MWG has 50 stores in 13 out of 25 provinces in Cambodia. The ICT and CE markets are still very promising. However, according to the leadership, Blutronics is just a stepping stone for MWG to enter new markets in the future. Blutronics currently accounts for about half of the market's revenue, equivalent to the combined revenue of all retailers in Cambodia. Mr. Hiểu Em stated that the goal is to open an additional 30 stores to cover all 25 provinces in the neighboring country, and will stop at this number. MWG plans to expand its presence in this market and proactively maintain and grow revenue for the 80 stores in the following years.</t>
  </si>
  <si>
    <t>Open more stores aggressively starting in 2023, aiming to reach a total of 5,000 stores by 2026. The average monthly revenue per store is expected to increase by 10% in 2022, 8% in 2023, and 5% from 2024 to 2026.</t>
  </si>
  <si>
    <t>The pharmaceutical industry is valued at $7.4 billion, with average annual pharmaceutical spending increasing by 14%. Currently, over 95% of pharmacies in Vietnam are small retail pharmacies. After the pandemic, opportunities in the pharmaceutical sector, especially in functional foods, vitamins, etc., have expanded. This is also a suitable period for the pharmacy model to grow. An Khang has been accelerating rapidly this year and by the end of the year, it could be ranked in the top 3 in the pharmaceutical industry in terms of both revenue and the number of stores. Currently, compared to Pharmacity, this chain is targeting over 5,000 stores by 2025, and FRT aims for over 2,000 stores, competing in the large chain segment. However, the pharmaceutical market is expanding, and we expect MWG to develop 2,000 An Khang stores by 2026. With two models, An Khang combined with BHX generates a revenue of 4-500 million VND per store per month, and in the independent model, it generates 700-800 million VND per store per month. We expect the average revenue per store per month in 2022 to be around 500 million VND. With a portfolio that balances both pharmaceutical and non-pharmaceutical products, the two chains are still relatively new. Additionally, An Khang has made many strategic changes, including redefining its business model, redesigning store layouts, restructuring product categories, and launching a new website. It is expected that the revenue of this chain will continue to grow in the future and may reach an average of 732 million VND per store per month.</t>
  </si>
  <si>
    <t>Overall, the gross profit margin started to increase by 0.28% from 2022, thanks to the recovery of consumer electronics, specifically from Điện Máy Xanh and Bluetronics, along with the long-term market share growth of Apple through 2026. The gross profit margin could reach nearly 23%.</t>
  </si>
  <si>
    <t>Percentage</t>
  </si>
  <si>
    <t>MWG (Unit: Million VND)</t>
  </si>
  <si>
    <t>CASH FLOW STATEMENT (Unit: Million VND)</t>
  </si>
  <si>
    <t>6. Gain (loss) in profits of associates</t>
  </si>
  <si>
    <t>Industry Beta</t>
  </si>
  <si>
    <t>D. OWNER’S EQUITY</t>
  </si>
  <si>
    <t>Target P/S adjusted from operational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</si>
</sst>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8" formatCode="&quot;$&quot;#,##0.00_);[Red]\(&quot;$&quot;#,##0.00\)"/>
    <numFmt numFmtId="43" formatCode="_(* #,##0.00_);_(* \(#,##0.00\);_(* &quot;-&quot;??_);_(@_)"/>
    <numFmt numFmtId="164" formatCode="_(* #,##0.0_);_(* \(#,##0.0\);_(* &quot;-&quot;??_);_(@_)"/>
    <numFmt numFmtId="165" formatCode="_(* #,##0_);_(* \(#,##0\);_(* &quot;-&quot;??_);_(@_)"/>
    <numFmt numFmtId="166" formatCode="_(* #,##0.0_);_(* \(#,##0.0\);_(* &quot;-&quot;??.0_);_(@_)"/>
    <numFmt numFmtId="167" formatCode="#,##0.00;\(#,##0.00\)"/>
    <numFmt numFmtId="168" formatCode="0.0%"/>
    <numFmt numFmtId="169" formatCode="_(* #,##0.00_);_(* \(#,##0.00\);_(* &quot;-&quot;??.0_);_(@_)"/>
    <numFmt numFmtId="170" formatCode="dd/mm/yyyy"/>
    <numFmt numFmtId="171" formatCode="0.000"/>
    <numFmt numFmtId="172" formatCode="_(* #,##0.0_);_(* \(#,##0.0\);_(* &quot;-&quot;?_);_(@_)"/>
    <numFmt numFmtId="173" formatCode="#,##0;\(#,##0\)"/>
    <numFmt numFmtId="174" formatCode="#,##0.00\ [$đ-42A]"/>
    <numFmt numFmtId="175" formatCode="_(* #,##0.000_);_(* \(#,##0.000\);_(* &quot;-&quot;??_);_(@_)"/>
    <numFmt numFmtId="176" formatCode="#,##0.0"/>
    <numFmt numFmtId="177" formatCode="0.0"/>
  </numFmts>
  <fonts count="56">
    <font>
      <sz val="12"/>
      <color theme="1"/>
      <name val="Calibri"/>
      <scheme val="minor"/>
    </font>
    <font>
      <sz val="11"/>
      <color theme="1"/>
      <name val="Calibri"/>
      <family val="2"/>
      <scheme val="minor"/>
    </font>
    <font>
      <sz val="11"/>
      <color theme="1"/>
      <name val="Calibri"/>
      <family val="2"/>
    </font>
    <font>
      <sz val="11"/>
      <color theme="1"/>
      <name val="Times New Roman"/>
      <family val="1"/>
    </font>
    <font>
      <b/>
      <sz val="11"/>
      <color theme="1"/>
      <name val="Times New Roman"/>
      <family val="1"/>
    </font>
    <font>
      <sz val="11"/>
      <color theme="1"/>
      <name val="Arial"/>
      <family val="2"/>
    </font>
    <font>
      <sz val="12"/>
      <color theme="1"/>
      <name val="Times New Roman"/>
      <family val="1"/>
    </font>
    <font>
      <b/>
      <sz val="12"/>
      <color theme="1"/>
      <name val="Times New Roman"/>
      <family val="1"/>
    </font>
    <font>
      <sz val="11"/>
      <color rgb="FF000000"/>
      <name val="Times New Roman"/>
      <family val="1"/>
    </font>
    <font>
      <b/>
      <sz val="11"/>
      <color theme="1"/>
      <name val="Times"/>
    </font>
    <font>
      <i/>
      <sz val="11"/>
      <color theme="1"/>
      <name val="Times New Roman"/>
      <family val="1"/>
    </font>
    <font>
      <sz val="11"/>
      <color theme="0"/>
      <name val="Calibri"/>
      <family val="2"/>
      <scheme val="minor"/>
    </font>
    <font>
      <b/>
      <sz val="24"/>
      <color rgb="FFFFFFFF"/>
      <name val="Times New Roman"/>
      <family val="1"/>
    </font>
    <font>
      <sz val="12"/>
      <name val="Times New Roman"/>
      <family val="1"/>
    </font>
    <font>
      <b/>
      <i/>
      <sz val="14"/>
      <color theme="1"/>
      <name val="Times New Roman"/>
      <family val="1"/>
    </font>
    <font>
      <b/>
      <sz val="14"/>
      <color theme="1"/>
      <name val="Times New Roman"/>
      <family val="1"/>
    </font>
    <font>
      <b/>
      <sz val="11"/>
      <color theme="0"/>
      <name val="Times New Roman"/>
      <family val="1"/>
    </font>
    <font>
      <sz val="11"/>
      <color theme="0"/>
      <name val="Times New Roman"/>
      <family val="1"/>
    </font>
    <font>
      <b/>
      <sz val="12"/>
      <color theme="1"/>
      <name val="Calibri"/>
      <family val="2"/>
      <scheme val="minor"/>
    </font>
    <font>
      <sz val="10"/>
      <color theme="1"/>
      <name val="Times New Roman"/>
      <family val="1"/>
    </font>
    <font>
      <b/>
      <sz val="10"/>
      <color theme="0"/>
      <name val="Times New Roman"/>
      <family val="1"/>
    </font>
    <font>
      <b/>
      <sz val="10"/>
      <color theme="1"/>
      <name val="Times New Roman"/>
      <family val="1"/>
    </font>
    <font>
      <b/>
      <sz val="11"/>
      <color rgb="FFFFFFFF"/>
      <name val="Times"/>
    </font>
    <font>
      <b/>
      <u/>
      <sz val="11"/>
      <color rgb="FF1155CC"/>
      <name val="Times New Roman"/>
      <family val="1"/>
    </font>
    <font>
      <b/>
      <sz val="11"/>
      <color rgb="FF000000"/>
      <name val="Times New Roman"/>
      <family val="1"/>
    </font>
    <font>
      <sz val="11"/>
      <name val="Calibri"/>
      <family val="2"/>
    </font>
    <font>
      <sz val="11"/>
      <color theme="0"/>
      <name val="Times"/>
    </font>
    <font>
      <sz val="11"/>
      <color theme="0"/>
      <name val="&quot;Times New Roman&quot;"/>
    </font>
    <font>
      <sz val="11"/>
      <name val="Times New Roman"/>
      <family val="1"/>
    </font>
    <font>
      <b/>
      <sz val="11"/>
      <color rgb="FFFFFFFF"/>
      <name val="Times New Roman"/>
      <family val="1"/>
    </font>
    <font>
      <b/>
      <sz val="10"/>
      <color rgb="FFFF0000"/>
      <name val="Times New Roman"/>
      <family val="1"/>
    </font>
    <font>
      <i/>
      <sz val="10"/>
      <color theme="1"/>
      <name val="Times New Roman"/>
      <family val="1"/>
    </font>
    <font>
      <b/>
      <sz val="10"/>
      <color rgb="FFC00000"/>
      <name val="Times New Roman"/>
      <family val="1"/>
    </font>
    <font>
      <sz val="10"/>
      <color rgb="FF000000"/>
      <name val="Times New Roman"/>
      <family val="1"/>
    </font>
    <font>
      <b/>
      <i/>
      <sz val="10"/>
      <color theme="1"/>
      <name val="Times New Roman"/>
      <family val="1"/>
    </font>
    <font>
      <b/>
      <sz val="10"/>
      <color theme="1"/>
      <name val="Calibri"/>
      <family val="2"/>
      <scheme val="minor"/>
    </font>
    <font>
      <sz val="10"/>
      <color theme="1"/>
      <name val="Calibri"/>
      <family val="2"/>
      <scheme val="minor"/>
    </font>
    <font>
      <i/>
      <sz val="10"/>
      <color theme="1"/>
      <name val="Calibri"/>
      <family val="2"/>
      <scheme val="minor"/>
    </font>
    <font>
      <sz val="10"/>
      <color theme="0"/>
      <name val="Times New Roman"/>
      <family val="1"/>
    </font>
    <font>
      <b/>
      <sz val="10"/>
      <color rgb="FFFFFFFF"/>
      <name val="Times New Roman"/>
      <family val="1"/>
    </font>
    <font>
      <sz val="10"/>
      <color rgb="FFFFFFFF"/>
      <name val="Times New Roman"/>
      <family val="1"/>
    </font>
    <font>
      <sz val="10"/>
      <color rgb="FF366092"/>
      <name val="Times New Roman"/>
      <family val="1"/>
    </font>
    <font>
      <b/>
      <i/>
      <sz val="10"/>
      <color theme="1"/>
      <name val="Calibri"/>
      <family val="2"/>
      <scheme val="minor"/>
    </font>
    <font>
      <b/>
      <i/>
      <sz val="10"/>
      <color theme="0"/>
      <name val="Times New Roman"/>
      <family val="1"/>
    </font>
    <font>
      <sz val="10"/>
      <color rgb="FFFF0000"/>
      <name val="Times New Roman"/>
      <family val="1"/>
    </font>
    <font>
      <b/>
      <i/>
      <sz val="10"/>
      <color rgb="FFFF0000"/>
      <name val="Times New Roman"/>
      <family val="1"/>
    </font>
    <font>
      <i/>
      <sz val="12"/>
      <color theme="1"/>
      <name val="Calibri"/>
      <family val="2"/>
      <scheme val="minor"/>
    </font>
    <font>
      <b/>
      <sz val="10"/>
      <name val="Times New Roman"/>
      <family val="1"/>
    </font>
    <font>
      <b/>
      <u/>
      <sz val="10"/>
      <name val="Times New Roman"/>
      <family val="1"/>
    </font>
    <font>
      <b/>
      <sz val="10"/>
      <name val="Calibri"/>
      <family val="2"/>
      <scheme val="minor"/>
    </font>
    <font>
      <sz val="10"/>
      <color rgb="FF333333"/>
      <name val="Times New Roman"/>
      <family val="1"/>
    </font>
    <font>
      <b/>
      <sz val="10"/>
      <color rgb="FF333333"/>
      <name val="Times New Roman"/>
      <family val="1"/>
    </font>
    <font>
      <u/>
      <sz val="12"/>
      <color theme="10"/>
      <name val="Calibri"/>
      <family val="2"/>
      <scheme val="minor"/>
    </font>
    <font>
      <sz val="11"/>
      <color theme="4"/>
      <name val="Times New Roman"/>
      <family val="1"/>
    </font>
    <font>
      <sz val="8"/>
      <name val="Calibri"/>
      <family val="2"/>
      <scheme val="minor"/>
    </font>
    <font>
      <sz val="10"/>
      <color theme="4"/>
      <name val="Times New Roman"/>
      <family val="1"/>
    </font>
  </fonts>
  <fills count="80">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FF9900"/>
        <bgColor rgb="FFFF9900"/>
      </patternFill>
    </fill>
    <fill>
      <patternFill patternType="solid">
        <fgColor rgb="FFF4B083"/>
        <bgColor rgb="FFF4B083"/>
      </patternFill>
    </fill>
    <fill>
      <patternFill patternType="solid">
        <fgColor rgb="FFEEECE1"/>
        <bgColor rgb="FFEEECE1"/>
      </patternFill>
    </fill>
    <fill>
      <patternFill patternType="solid">
        <fgColor rgb="FFFFC000"/>
        <bgColor rgb="FFFFC000"/>
      </patternFill>
    </fill>
    <fill>
      <patternFill patternType="solid">
        <fgColor rgb="FFFFC000"/>
        <bgColor rgb="FF366092"/>
      </patternFill>
    </fill>
    <fill>
      <patternFill patternType="solid">
        <fgColor rgb="FFFFC000"/>
        <bgColor indexed="64"/>
      </patternFill>
    </fill>
    <fill>
      <patternFill patternType="solid">
        <fgColor theme="0"/>
        <bgColor indexed="64"/>
      </patternFill>
    </fill>
    <fill>
      <patternFill patternType="solid">
        <fgColor rgb="FFC00000"/>
        <bgColor indexed="64"/>
      </patternFill>
    </fill>
    <fill>
      <patternFill patternType="solid">
        <fgColor theme="0" tint="-0.499984740745262"/>
        <bgColor indexed="64"/>
      </patternFill>
    </fill>
    <fill>
      <patternFill patternType="solid">
        <fgColor theme="9" tint="0.59999389629810485"/>
        <bgColor indexed="64"/>
      </patternFill>
    </fill>
    <fill>
      <patternFill patternType="solid">
        <fgColor rgb="FFC00000"/>
        <bgColor rgb="FF14325A"/>
      </patternFill>
    </fill>
    <fill>
      <patternFill patternType="solid">
        <fgColor rgb="FFFFC000"/>
        <bgColor rgb="FF92D050"/>
      </patternFill>
    </fill>
    <fill>
      <patternFill patternType="solid">
        <fgColor theme="0"/>
        <bgColor rgb="FF14325A"/>
      </patternFill>
    </fill>
    <fill>
      <patternFill patternType="solid">
        <fgColor rgb="FFFFC000"/>
        <bgColor rgb="FFFABF8F"/>
      </patternFill>
    </fill>
    <fill>
      <patternFill patternType="solid">
        <fgColor theme="9" tint="0.59999389629810485"/>
        <bgColor theme="0"/>
      </patternFill>
    </fill>
    <fill>
      <patternFill patternType="solid">
        <fgColor theme="0"/>
        <bgColor rgb="FFFFFF00"/>
      </patternFill>
    </fill>
    <fill>
      <patternFill patternType="solid">
        <fgColor theme="0"/>
        <bgColor rgb="FFFFFFFF"/>
      </patternFill>
    </fill>
    <fill>
      <patternFill patternType="solid">
        <fgColor theme="0"/>
        <bgColor rgb="FF385623"/>
      </patternFill>
    </fill>
    <fill>
      <patternFill patternType="solid">
        <fgColor theme="0"/>
        <bgColor rgb="FFC5E0B3"/>
      </patternFill>
    </fill>
    <fill>
      <patternFill patternType="solid">
        <fgColor theme="0"/>
        <bgColor rgb="FFD9E2F3"/>
      </patternFill>
    </fill>
    <fill>
      <patternFill patternType="solid">
        <fgColor rgb="FFC00000"/>
        <bgColor rgb="FFFFFF00"/>
      </patternFill>
    </fill>
    <fill>
      <patternFill patternType="solid">
        <fgColor theme="9" tint="0.59999389629810485"/>
        <bgColor rgb="FFFFFFFF"/>
      </patternFill>
    </fill>
    <fill>
      <patternFill patternType="solid">
        <fgColor rgb="FFC00000"/>
        <bgColor rgb="FF7F6000"/>
      </patternFill>
    </fill>
    <fill>
      <patternFill patternType="solid">
        <fgColor rgb="FFFFC000"/>
        <bgColor rgb="FFFFD966"/>
      </patternFill>
    </fill>
    <fill>
      <patternFill patternType="solid">
        <fgColor theme="9" tint="0.59999389629810485"/>
        <bgColor rgb="FFC5E0B3"/>
      </patternFill>
    </fill>
    <fill>
      <patternFill patternType="solid">
        <fgColor rgb="FFC00000"/>
        <bgColor rgb="FF00002E"/>
      </patternFill>
    </fill>
    <fill>
      <patternFill patternType="solid">
        <fgColor theme="9" tint="-0.249977111117893"/>
        <bgColor rgb="FFFFFF00"/>
      </patternFill>
    </fill>
    <fill>
      <patternFill patternType="solid">
        <fgColor rgb="FF00B0F0"/>
        <bgColor rgb="FF92CDDC"/>
      </patternFill>
    </fill>
    <fill>
      <patternFill patternType="solid">
        <fgColor rgb="FF002060"/>
        <bgColor rgb="FF00B0F0"/>
      </patternFill>
    </fill>
    <fill>
      <patternFill patternType="solid">
        <fgColor theme="9"/>
        <bgColor rgb="FFFFFF00"/>
      </patternFill>
    </fill>
    <fill>
      <patternFill patternType="solid">
        <fgColor rgb="FF0070C0"/>
        <bgColor rgb="FF92CDDC"/>
      </patternFill>
    </fill>
    <fill>
      <patternFill patternType="solid">
        <fgColor rgb="FF003300"/>
        <bgColor rgb="FFFFFF00"/>
      </patternFill>
    </fill>
    <fill>
      <patternFill patternType="solid">
        <fgColor rgb="FFC00000"/>
        <bgColor theme="0"/>
      </patternFill>
    </fill>
    <fill>
      <patternFill patternType="solid">
        <fgColor rgb="FF008000"/>
        <bgColor rgb="FF00B050"/>
      </patternFill>
    </fill>
    <fill>
      <patternFill patternType="solid">
        <fgColor rgb="FF336600"/>
        <bgColor rgb="FFFFFF00"/>
      </patternFill>
    </fill>
    <fill>
      <patternFill patternType="solid">
        <fgColor theme="6"/>
        <bgColor rgb="FF00B050"/>
      </patternFill>
    </fill>
    <fill>
      <patternFill patternType="solid">
        <fgColor theme="9" tint="-0.249977111117893"/>
        <bgColor indexed="64"/>
      </patternFill>
    </fill>
    <fill>
      <patternFill patternType="solid">
        <fgColor rgb="FFFFC000"/>
        <bgColor rgb="FFF4B083"/>
      </patternFill>
    </fill>
    <fill>
      <patternFill patternType="solid">
        <fgColor theme="9" tint="0.59999389629810485"/>
        <bgColor rgb="FFFCE5CD"/>
      </patternFill>
    </fill>
    <fill>
      <patternFill patternType="solid">
        <fgColor theme="9" tint="0.79998168889431442"/>
        <bgColor rgb="FFD8D8D8"/>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0" tint="-4.9989318521683403E-2"/>
        <bgColor theme="0"/>
      </patternFill>
    </fill>
    <fill>
      <patternFill patternType="solid">
        <fgColor theme="9" tint="0.79998168889431442"/>
        <bgColor theme="0"/>
      </patternFill>
    </fill>
    <fill>
      <patternFill patternType="solid">
        <fgColor theme="0" tint="-0.499984740745262"/>
        <bgColor theme="0"/>
      </patternFill>
    </fill>
    <fill>
      <patternFill patternType="solid">
        <fgColor rgb="FFFFC000"/>
        <bgColor theme="0"/>
      </patternFill>
    </fill>
    <fill>
      <patternFill patternType="solid">
        <fgColor theme="9" tint="-0.249977111117893"/>
        <bgColor theme="0"/>
      </patternFill>
    </fill>
    <fill>
      <patternFill patternType="solid">
        <fgColor rgb="FFC00000"/>
        <bgColor rgb="FF8BC34A"/>
      </patternFill>
    </fill>
    <fill>
      <patternFill patternType="solid">
        <fgColor theme="0"/>
        <bgColor rgb="FFFFF2CC"/>
      </patternFill>
    </fill>
    <fill>
      <patternFill patternType="solid">
        <fgColor rgb="FFC00000"/>
        <bgColor rgb="FFFFF2CC"/>
      </patternFill>
    </fill>
    <fill>
      <patternFill patternType="solid">
        <fgColor theme="0" tint="-4.9989318521683403E-2"/>
        <bgColor rgb="FFFFFF99"/>
      </patternFill>
    </fill>
    <fill>
      <patternFill patternType="solid">
        <fgColor theme="9" tint="-0.249977111117893"/>
        <bgColor rgb="FFFF9900"/>
      </patternFill>
    </fill>
    <fill>
      <patternFill patternType="solid">
        <fgColor theme="0"/>
        <bgColor rgb="FFB8CCE4"/>
      </patternFill>
    </fill>
    <fill>
      <patternFill patternType="solid">
        <fgColor theme="9" tint="-0.249977111117893"/>
        <bgColor rgb="FFB8CCE4"/>
      </patternFill>
    </fill>
    <fill>
      <patternFill patternType="solid">
        <fgColor theme="0" tint="-0.14999847407452621"/>
        <bgColor theme="0"/>
      </patternFill>
    </fill>
    <fill>
      <patternFill patternType="solid">
        <fgColor theme="0" tint="-0.14999847407452621"/>
        <bgColor indexed="64"/>
      </patternFill>
    </fill>
    <fill>
      <patternFill patternType="solid">
        <fgColor rgb="FFFFC000"/>
        <bgColor rgb="FFFFFF00"/>
      </patternFill>
    </fill>
    <fill>
      <patternFill patternType="solid">
        <fgColor rgb="FFFFC000"/>
        <bgColor rgb="FF9FC5E8"/>
      </patternFill>
    </fill>
    <fill>
      <patternFill patternType="solid">
        <fgColor theme="0"/>
        <bgColor rgb="FFF9CB9C"/>
      </patternFill>
    </fill>
    <fill>
      <patternFill patternType="solid">
        <fgColor rgb="FFE60000"/>
        <bgColor rgb="FF92CDDC"/>
      </patternFill>
    </fill>
    <fill>
      <patternFill patternType="solid">
        <fgColor rgb="FFE60000"/>
        <bgColor rgb="FFFFD966"/>
      </patternFill>
    </fill>
    <fill>
      <patternFill patternType="solid">
        <fgColor rgb="FFE60000"/>
        <bgColor rgb="FFF9CB9C"/>
      </patternFill>
    </fill>
    <fill>
      <patternFill patternType="solid">
        <fgColor theme="9" tint="-0.249977111117893"/>
        <bgColor rgb="FFFFFFFF"/>
      </patternFill>
    </fill>
    <fill>
      <patternFill patternType="solid">
        <fgColor theme="9" tint="0.39997558519241921"/>
        <bgColor rgb="FF92CDDC"/>
      </patternFill>
    </fill>
    <fill>
      <patternFill patternType="solid">
        <fgColor theme="9" tint="0.39997558519241921"/>
        <bgColor rgb="FFFFF2CC"/>
      </patternFill>
    </fill>
    <fill>
      <patternFill patternType="solid">
        <fgColor theme="9" tint="0.39997558519241921"/>
        <bgColor rgb="FFFFE599"/>
      </patternFill>
    </fill>
    <fill>
      <patternFill patternType="solid">
        <fgColor theme="0"/>
        <bgColor rgb="FFEEECE1"/>
      </patternFill>
    </fill>
    <fill>
      <patternFill patternType="solid">
        <fgColor theme="9" tint="-0.249977111117893"/>
        <bgColor rgb="FFFFFF99"/>
      </patternFill>
    </fill>
    <fill>
      <patternFill patternType="solid">
        <fgColor rgb="FFFFC000"/>
        <bgColor rgb="FFFFFFFF"/>
      </patternFill>
    </fill>
    <fill>
      <patternFill patternType="solid">
        <fgColor theme="9" tint="0.59999389629810485"/>
        <bgColor rgb="FFB7E1CD"/>
      </patternFill>
    </fill>
    <fill>
      <patternFill patternType="solid">
        <fgColor theme="9" tint="0.59999389629810485"/>
        <bgColor rgb="FFFFFF00"/>
      </patternFill>
    </fill>
    <fill>
      <patternFill patternType="solid">
        <fgColor theme="9" tint="0.59999389629810485"/>
        <bgColor rgb="FFC27BA0"/>
      </patternFill>
    </fill>
    <fill>
      <patternFill patternType="solid">
        <fgColor rgb="FFFFC000"/>
        <bgColor rgb="FFF6B26B"/>
      </patternFill>
    </fill>
    <fill>
      <patternFill patternType="solid">
        <fgColor theme="9" tint="0.39997558519241921"/>
        <bgColor indexed="64"/>
      </patternFill>
    </fill>
    <fill>
      <patternFill patternType="solid">
        <fgColor theme="9" tint="-0.249977111117893"/>
        <bgColor rgb="FFFFC000"/>
      </patternFill>
    </fill>
    <fill>
      <patternFill patternType="solid">
        <fgColor rgb="FFD9EAD3"/>
        <bgColor rgb="FFD9EAD3"/>
      </patternFill>
    </fill>
  </fills>
  <borders count="65">
    <border>
      <left/>
      <right/>
      <top/>
      <bottom/>
      <diagonal/>
    </border>
    <border>
      <left/>
      <right style="thin">
        <color rgb="FF000000"/>
      </right>
      <top style="thin">
        <color rgb="FF000000"/>
      </top>
      <bottom/>
      <diagonal/>
    </border>
    <border>
      <left/>
      <right/>
      <top/>
      <bottom/>
      <diagonal/>
    </border>
    <border>
      <left/>
      <right/>
      <top/>
      <bottom/>
      <diagonal/>
    </border>
    <border>
      <left/>
      <right/>
      <top/>
      <bottom/>
      <diagonal/>
    </border>
    <border>
      <left/>
      <right/>
      <top/>
      <bottom/>
      <diagonal/>
    </border>
    <border>
      <left style="thick">
        <color rgb="FF000000"/>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rgb="FF000000"/>
      </right>
      <top style="thin">
        <color rgb="FF000000"/>
      </top>
      <bottom style="medium">
        <color indexed="64"/>
      </bottom>
      <diagonal/>
    </border>
    <border>
      <left style="thin">
        <color rgb="FF000000"/>
      </left>
      <right style="thin">
        <color rgb="FF000000"/>
      </right>
      <top style="thin">
        <color rgb="FF000000"/>
      </top>
      <bottom/>
      <diagonal/>
    </border>
    <border>
      <left style="medium">
        <color indexed="64"/>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right style="thin">
        <color rgb="FF000000"/>
      </right>
      <top style="medium">
        <color indexed="64"/>
      </top>
      <bottom style="thin">
        <color rgb="FF000000"/>
      </bottom>
      <diagonal/>
    </border>
    <border>
      <left style="thin">
        <color rgb="FF000000"/>
      </left>
      <right style="medium">
        <color indexed="64"/>
      </right>
      <top/>
      <bottom style="thin">
        <color rgb="FF000000"/>
      </bottom>
      <diagonal/>
    </border>
    <border>
      <left style="thin">
        <color rgb="FF000000"/>
      </left>
      <right style="medium">
        <color indexed="64"/>
      </right>
      <top style="thin">
        <color rgb="FF000000"/>
      </top>
      <bottom/>
      <diagonal/>
    </border>
    <border>
      <left style="thin">
        <color rgb="FF000000"/>
      </left>
      <right style="thin">
        <color rgb="FF000000"/>
      </right>
      <top style="medium">
        <color indexed="64"/>
      </top>
      <bottom style="thin">
        <color rgb="FF000000"/>
      </bottom>
      <diagonal/>
    </border>
    <border>
      <left style="medium">
        <color indexed="64"/>
      </left>
      <right style="thin">
        <color rgb="FF000000"/>
      </right>
      <top style="thin">
        <color rgb="FF000000"/>
      </top>
      <bottom/>
      <diagonal/>
    </border>
    <border>
      <left style="medium">
        <color indexed="64"/>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thin">
        <color rgb="FF000000"/>
      </right>
      <top/>
      <bottom style="thin">
        <color rgb="FF000000"/>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style="thin">
        <color rgb="FFFFFFFF"/>
      </left>
      <right style="thin">
        <color rgb="FFFFFFFF"/>
      </right>
      <top style="thin">
        <color rgb="FFFFFFFF"/>
      </top>
      <bottom style="thin">
        <color rgb="FFFFFFFF"/>
      </bottom>
      <diagonal/>
    </border>
  </borders>
  <cellStyleXfs count="2">
    <xf numFmtId="0" fontId="0" fillId="0" borderId="0"/>
    <xf numFmtId="0" fontId="52" fillId="0" borderId="0" applyNumberFormat="0" applyFill="0" applyBorder="0" applyAlignment="0" applyProtection="0"/>
  </cellStyleXfs>
  <cellXfs count="748">
    <xf numFmtId="0" fontId="0" fillId="0" borderId="0" xfId="0"/>
    <xf numFmtId="0" fontId="8" fillId="0" borderId="0" xfId="0" applyFont="1" applyAlignment="1">
      <alignment vertical="center" wrapText="1"/>
    </xf>
    <xf numFmtId="0" fontId="6" fillId="0" borderId="0" xfId="0" applyFont="1" applyAlignment="1">
      <alignment vertical="center"/>
    </xf>
    <xf numFmtId="0" fontId="3" fillId="0" borderId="22" xfId="0" applyFont="1" applyBorder="1" applyAlignment="1">
      <alignment vertical="center"/>
    </xf>
    <xf numFmtId="0" fontId="3" fillId="0" borderId="23" xfId="0" applyFont="1" applyBorder="1" applyAlignment="1">
      <alignment vertical="center"/>
    </xf>
    <xf numFmtId="0" fontId="6" fillId="0" borderId="25" xfId="0" applyFont="1" applyBorder="1" applyAlignment="1">
      <alignment horizontal="center" vertical="center"/>
    </xf>
    <xf numFmtId="0" fontId="3" fillId="0" borderId="13" xfId="0" applyFont="1" applyBorder="1" applyAlignment="1">
      <alignment vertical="center"/>
    </xf>
    <xf numFmtId="0" fontId="6" fillId="0" borderId="13" xfId="0" applyFont="1" applyBorder="1" applyAlignment="1">
      <alignment horizontal="center" vertical="center"/>
    </xf>
    <xf numFmtId="0" fontId="15" fillId="0" borderId="25" xfId="0" applyFont="1" applyBorder="1" applyAlignment="1">
      <alignment horizontal="center" vertical="center"/>
    </xf>
    <xf numFmtId="9" fontId="15" fillId="0" borderId="13" xfId="0" applyNumberFormat="1" applyFont="1" applyBorder="1" applyAlignment="1">
      <alignment horizontal="center" vertical="center"/>
    </xf>
    <xf numFmtId="0" fontId="14" fillId="0" borderId="25" xfId="0" applyFont="1" applyBorder="1" applyAlignment="1">
      <alignment horizontal="center" vertical="center"/>
    </xf>
    <xf numFmtId="0" fontId="3" fillId="0" borderId="26" xfId="0" applyFont="1" applyBorder="1" applyAlignment="1">
      <alignment vertical="center"/>
    </xf>
    <xf numFmtId="0" fontId="3" fillId="0" borderId="25" xfId="0" applyFont="1" applyBorder="1" applyAlignment="1">
      <alignment vertical="center"/>
    </xf>
    <xf numFmtId="0" fontId="3" fillId="0" borderId="27" xfId="0" applyFont="1" applyBorder="1" applyAlignment="1">
      <alignment vertical="center"/>
    </xf>
    <xf numFmtId="0" fontId="3" fillId="0" borderId="28" xfId="0" applyFont="1" applyBorder="1" applyAlignment="1">
      <alignment vertical="center"/>
    </xf>
    <xf numFmtId="0" fontId="3" fillId="0" borderId="29" xfId="0" applyFont="1" applyBorder="1" applyAlignment="1">
      <alignment vertical="center"/>
    </xf>
    <xf numFmtId="10" fontId="17" fillId="11" borderId="13" xfId="0" applyNumberFormat="1" applyFont="1" applyFill="1" applyBorder="1" applyAlignment="1">
      <alignment horizontal="center" vertical="center"/>
    </xf>
    <xf numFmtId="9" fontId="15" fillId="13" borderId="13" xfId="0" applyNumberFormat="1" applyFont="1" applyFill="1" applyBorder="1" applyAlignment="1">
      <alignment horizontal="center" vertical="center"/>
    </xf>
    <xf numFmtId="0" fontId="3" fillId="10" borderId="0" xfId="0" applyFont="1" applyFill="1" applyAlignment="1">
      <alignment vertical="center"/>
    </xf>
    <xf numFmtId="0" fontId="4" fillId="10" borderId="0" xfId="0" applyFont="1" applyFill="1" applyAlignment="1">
      <alignment horizontal="center" vertical="center"/>
    </xf>
    <xf numFmtId="0" fontId="6" fillId="10" borderId="0" xfId="0" applyFont="1" applyFill="1" applyAlignment="1">
      <alignment vertical="center"/>
    </xf>
    <xf numFmtId="0" fontId="19" fillId="10" borderId="0" xfId="0" applyFont="1" applyFill="1" applyAlignment="1">
      <alignment vertical="center"/>
    </xf>
    <xf numFmtId="0" fontId="20" fillId="11" borderId="0" xfId="0" applyFont="1" applyFill="1" applyAlignment="1">
      <alignment horizontal="center" vertical="center"/>
    </xf>
    <xf numFmtId="0" fontId="20" fillId="12" borderId="0" xfId="0" applyFont="1" applyFill="1" applyAlignment="1">
      <alignment horizontal="center" vertical="center"/>
    </xf>
    <xf numFmtId="0" fontId="19" fillId="10" borderId="0" xfId="0" applyFont="1" applyFill="1" applyAlignment="1">
      <alignment horizontal="center" vertical="center"/>
    </xf>
    <xf numFmtId="0" fontId="21" fillId="13" borderId="0" xfId="0" applyFont="1" applyFill="1" applyAlignment="1">
      <alignment vertical="center"/>
    </xf>
    <xf numFmtId="0" fontId="21" fillId="10" borderId="0" xfId="0" applyFont="1" applyFill="1" applyAlignment="1">
      <alignment vertical="center"/>
    </xf>
    <xf numFmtId="164" fontId="21" fillId="10" borderId="0" xfId="0" applyNumberFormat="1" applyFont="1" applyFill="1" applyAlignment="1">
      <alignment vertical="center"/>
    </xf>
    <xf numFmtId="164" fontId="19" fillId="10" borderId="0" xfId="0" applyNumberFormat="1" applyFont="1" applyFill="1" applyAlignment="1">
      <alignment vertical="center"/>
    </xf>
    <xf numFmtId="43" fontId="21" fillId="10" borderId="0" xfId="0" applyNumberFormat="1" applyFont="1" applyFill="1" applyAlignment="1">
      <alignment vertical="center"/>
    </xf>
    <xf numFmtId="0" fontId="19" fillId="2" borderId="3" xfId="0" applyFont="1" applyFill="1" applyBorder="1" applyAlignment="1">
      <alignment vertical="center"/>
    </xf>
    <xf numFmtId="164" fontId="19" fillId="2" borderId="3" xfId="0" applyNumberFormat="1" applyFont="1" applyFill="1" applyBorder="1" applyAlignment="1">
      <alignment vertical="center"/>
    </xf>
    <xf numFmtId="0" fontId="21" fillId="13" borderId="0" xfId="0" applyFont="1" applyFill="1" applyAlignment="1">
      <alignment horizontal="center" vertical="center"/>
    </xf>
    <xf numFmtId="43" fontId="3" fillId="3" borderId="25" xfId="0" applyNumberFormat="1" applyFont="1" applyFill="1" applyBorder="1" applyAlignment="1">
      <alignment vertical="center" wrapText="1"/>
    </xf>
    <xf numFmtId="0" fontId="23" fillId="3" borderId="38" xfId="0" applyFont="1" applyFill="1" applyBorder="1" applyAlignment="1">
      <alignment horizontal="center" vertical="center" wrapText="1"/>
    </xf>
    <xf numFmtId="0" fontId="4" fillId="0" borderId="35" xfId="0" applyFont="1" applyBorder="1" applyAlignment="1">
      <alignment horizontal="center" vertical="center"/>
    </xf>
    <xf numFmtId="0" fontId="24" fillId="0" borderId="38" xfId="0" applyFont="1" applyBorder="1" applyAlignment="1">
      <alignment horizontal="center" vertical="center"/>
    </xf>
    <xf numFmtId="0" fontId="4" fillId="0" borderId="38" xfId="0" applyFont="1" applyBorder="1" applyAlignment="1">
      <alignment horizontal="center" vertical="center"/>
    </xf>
    <xf numFmtId="0" fontId="3" fillId="3" borderId="40" xfId="0" applyFont="1" applyFill="1" applyBorder="1" applyAlignment="1">
      <alignment horizontal="left" vertical="center" wrapText="1"/>
    </xf>
    <xf numFmtId="0" fontId="3" fillId="0" borderId="40" xfId="0" applyFont="1" applyBorder="1" applyAlignment="1">
      <alignment horizontal="left" vertical="center" wrapText="1"/>
    </xf>
    <xf numFmtId="0" fontId="3" fillId="3" borderId="37" xfId="0" applyFont="1" applyFill="1" applyBorder="1" applyAlignment="1">
      <alignment horizontal="left" vertical="center" wrapText="1"/>
    </xf>
    <xf numFmtId="0" fontId="4" fillId="4" borderId="22" xfId="0" quotePrefix="1" applyFont="1" applyFill="1" applyBorder="1" applyAlignment="1">
      <alignment horizontal="center" vertical="center" wrapText="1"/>
    </xf>
    <xf numFmtId="0" fontId="1" fillId="0" borderId="0" xfId="0" applyFont="1" applyAlignment="1">
      <alignment vertical="center"/>
    </xf>
    <xf numFmtId="0" fontId="1" fillId="0" borderId="0" xfId="0" applyFont="1" applyAlignment="1">
      <alignment horizontal="left" vertical="center"/>
    </xf>
    <xf numFmtId="0" fontId="3" fillId="0" borderId="0" xfId="0" applyFont="1" applyAlignment="1">
      <alignment vertical="center"/>
    </xf>
    <xf numFmtId="164" fontId="3" fillId="0" borderId="0" xfId="0" applyNumberFormat="1" applyFont="1" applyAlignment="1">
      <alignment horizontal="left" vertical="center"/>
    </xf>
    <xf numFmtId="164" fontId="3" fillId="0" borderId="0" xfId="0" applyNumberFormat="1" applyFont="1" applyAlignment="1">
      <alignment vertical="center"/>
    </xf>
    <xf numFmtId="0" fontId="22" fillId="14" borderId="22" xfId="0" applyFont="1" applyFill="1" applyBorder="1" applyAlignment="1">
      <alignment horizontal="center" vertical="center" wrapText="1"/>
    </xf>
    <xf numFmtId="0" fontId="22" fillId="14" borderId="23" xfId="0" applyFont="1" applyFill="1" applyBorder="1" applyAlignment="1">
      <alignment horizontal="center" vertical="center" wrapText="1"/>
    </xf>
    <xf numFmtId="0" fontId="22" fillId="2" borderId="4" xfId="0" applyFont="1" applyFill="1" applyBorder="1" applyAlignment="1">
      <alignment horizontal="center" vertical="center" wrapText="1"/>
    </xf>
    <xf numFmtId="0" fontId="26" fillId="16" borderId="0" xfId="0" applyFont="1" applyFill="1" applyAlignment="1">
      <alignment horizontal="center" vertical="center"/>
    </xf>
    <xf numFmtId="0" fontId="26" fillId="16" borderId="4" xfId="0" applyFont="1" applyFill="1" applyBorder="1" applyAlignment="1">
      <alignment horizontal="center" vertical="center"/>
    </xf>
    <xf numFmtId="0" fontId="27" fillId="16" borderId="4" xfId="0" applyFont="1" applyFill="1" applyBorder="1" applyAlignment="1">
      <alignment horizontal="center" vertical="center"/>
    </xf>
    <xf numFmtId="0" fontId="9" fillId="15" borderId="27" xfId="0" applyFont="1" applyFill="1" applyBorder="1" applyAlignment="1">
      <alignment horizontal="center" vertical="center" wrapText="1"/>
    </xf>
    <xf numFmtId="0" fontId="5" fillId="15" borderId="29" xfId="0" applyFont="1" applyFill="1" applyBorder="1" applyAlignment="1">
      <alignment horizontal="left" vertical="center"/>
    </xf>
    <xf numFmtId="0" fontId="1" fillId="2" borderId="0" xfId="0" applyFont="1" applyFill="1" applyAlignment="1">
      <alignment vertical="center"/>
    </xf>
    <xf numFmtId="0" fontId="11" fillId="10" borderId="0" xfId="0" applyFont="1" applyFill="1" applyAlignment="1">
      <alignment vertical="center"/>
    </xf>
    <xf numFmtId="0" fontId="25" fillId="0" borderId="25" xfId="0" applyFont="1" applyBorder="1" applyAlignment="1">
      <alignment vertical="center"/>
    </xf>
    <xf numFmtId="0" fontId="25" fillId="0" borderId="26" xfId="0" applyFont="1" applyBorder="1" applyAlignment="1">
      <alignment horizontal="left" vertical="center"/>
    </xf>
    <xf numFmtId="0" fontId="4" fillId="3" borderId="22" xfId="0" applyFont="1" applyFill="1" applyBorder="1" applyAlignment="1">
      <alignment vertical="center"/>
    </xf>
    <xf numFmtId="0" fontId="4" fillId="3" borderId="25" xfId="0" applyFont="1" applyFill="1" applyBorder="1" applyAlignment="1">
      <alignment vertical="center"/>
    </xf>
    <xf numFmtId="0" fontId="4" fillId="3" borderId="27" xfId="0" applyFont="1" applyFill="1" applyBorder="1" applyAlignment="1">
      <alignment vertical="center"/>
    </xf>
    <xf numFmtId="0" fontId="3" fillId="3" borderId="29" xfId="0" applyFont="1" applyFill="1" applyBorder="1" applyAlignment="1">
      <alignment horizontal="left" vertical="center" wrapText="1"/>
    </xf>
    <xf numFmtId="0" fontId="3" fillId="0" borderId="26" xfId="0" applyFont="1" applyBorder="1" applyAlignment="1">
      <alignment horizontal="left" vertical="center"/>
    </xf>
    <xf numFmtId="0" fontId="4" fillId="3" borderId="22" xfId="0" applyFont="1" applyFill="1" applyBorder="1" applyAlignment="1">
      <alignment vertical="center" wrapText="1"/>
    </xf>
    <xf numFmtId="0" fontId="3" fillId="3" borderId="24" xfId="0" applyFont="1" applyFill="1" applyBorder="1" applyAlignment="1">
      <alignment horizontal="left" vertical="center"/>
    </xf>
    <xf numFmtId="0" fontId="4" fillId="0" borderId="25" xfId="0" applyFont="1" applyBorder="1" applyAlignment="1">
      <alignment vertical="center"/>
    </xf>
    <xf numFmtId="0" fontId="4" fillId="0" borderId="27" xfId="0" applyFont="1" applyBorder="1" applyAlignment="1">
      <alignment vertical="center"/>
    </xf>
    <xf numFmtId="0" fontId="3" fillId="0" borderId="29" xfId="0" applyFont="1" applyBorder="1" applyAlignment="1">
      <alignment horizontal="left" vertical="center" wrapText="1"/>
    </xf>
    <xf numFmtId="0" fontId="3" fillId="0" borderId="25" xfId="0" applyFont="1" applyBorder="1" applyAlignment="1">
      <alignment vertical="center" wrapText="1"/>
    </xf>
    <xf numFmtId="0" fontId="3" fillId="0" borderId="26" xfId="0" applyFont="1" applyBorder="1" applyAlignment="1">
      <alignment horizontal="left" vertical="center" wrapText="1"/>
    </xf>
    <xf numFmtId="0" fontId="1" fillId="0" borderId="0" xfId="0" applyFont="1" applyAlignment="1">
      <alignment vertical="center" wrapText="1"/>
    </xf>
    <xf numFmtId="0" fontId="4" fillId="0" borderId="22" xfId="0" applyFont="1" applyBorder="1" applyAlignment="1">
      <alignment vertical="center"/>
    </xf>
    <xf numFmtId="0" fontId="3" fillId="0" borderId="24" xfId="0" applyFont="1" applyBorder="1" applyAlignment="1">
      <alignment horizontal="left" vertical="center"/>
    </xf>
    <xf numFmtId="0" fontId="3" fillId="0" borderId="29" xfId="0" applyFont="1" applyBorder="1" applyAlignment="1">
      <alignment horizontal="left" vertical="center"/>
    </xf>
    <xf numFmtId="0" fontId="3" fillId="3" borderId="25" xfId="0" applyFont="1" applyFill="1" applyBorder="1" applyAlignment="1">
      <alignment vertical="center" wrapText="1"/>
    </xf>
    <xf numFmtId="0" fontId="3" fillId="3" borderId="26" xfId="0" applyFont="1" applyFill="1" applyBorder="1" applyAlignment="1">
      <alignment horizontal="left" vertical="center" wrapText="1"/>
    </xf>
    <xf numFmtId="43" fontId="3" fillId="3" borderId="25" xfId="0" applyNumberFormat="1" applyFont="1" applyFill="1" applyBorder="1" applyAlignment="1">
      <alignment vertical="center"/>
    </xf>
    <xf numFmtId="43" fontId="3" fillId="3" borderId="27" xfId="0" applyNumberFormat="1" applyFont="1" applyFill="1" applyBorder="1" applyAlignment="1">
      <alignment vertical="center"/>
    </xf>
    <xf numFmtId="0" fontId="3" fillId="3" borderId="25" xfId="0" quotePrefix="1" applyFont="1" applyFill="1" applyBorder="1" applyAlignment="1">
      <alignment vertical="center" wrapText="1"/>
    </xf>
    <xf numFmtId="164" fontId="3" fillId="3" borderId="25" xfId="0" applyNumberFormat="1" applyFont="1" applyFill="1" applyBorder="1" applyAlignment="1">
      <alignment horizontal="center" vertical="center"/>
    </xf>
    <xf numFmtId="43" fontId="3" fillId="3" borderId="27" xfId="0" applyNumberFormat="1" applyFont="1" applyFill="1" applyBorder="1" applyAlignment="1">
      <alignment vertical="center" wrapText="1"/>
    </xf>
    <xf numFmtId="43" fontId="4" fillId="4" borderId="22" xfId="0" applyNumberFormat="1" applyFont="1" applyFill="1" applyBorder="1" applyAlignment="1">
      <alignment horizontal="center" vertical="center" wrapText="1"/>
    </xf>
    <xf numFmtId="0" fontId="3" fillId="0" borderId="24" xfId="0" applyFont="1" applyBorder="1" applyAlignment="1">
      <alignment horizontal="left" vertical="center" wrapText="1"/>
    </xf>
    <xf numFmtId="0" fontId="1" fillId="0" borderId="22" xfId="0" applyFont="1" applyBorder="1" applyAlignment="1">
      <alignment vertical="center"/>
    </xf>
    <xf numFmtId="43" fontId="4" fillId="4" borderId="25" xfId="0" applyNumberFormat="1" applyFont="1" applyFill="1" applyBorder="1" applyAlignment="1">
      <alignment horizontal="center" vertical="center" wrapText="1"/>
    </xf>
    <xf numFmtId="0" fontId="3" fillId="0" borderId="27" xfId="0" applyFont="1" applyBorder="1" applyAlignment="1">
      <alignment vertical="center" wrapText="1"/>
    </xf>
    <xf numFmtId="0" fontId="4" fillId="4" borderId="22" xfId="0" applyFont="1" applyFill="1" applyBorder="1" applyAlignment="1">
      <alignment horizontal="center" vertical="center"/>
    </xf>
    <xf numFmtId="0" fontId="3" fillId="0" borderId="13" xfId="0" applyFont="1" applyBorder="1" applyAlignment="1">
      <alignment horizontal="left" vertical="center"/>
    </xf>
    <xf numFmtId="0" fontId="4" fillId="4" borderId="22" xfId="0" applyFont="1" applyFill="1" applyBorder="1" applyAlignment="1">
      <alignment horizontal="center" vertical="center" wrapText="1"/>
    </xf>
    <xf numFmtId="0" fontId="22" fillId="14" borderId="24" xfId="0" applyFont="1" applyFill="1" applyBorder="1" applyAlignment="1">
      <alignment horizontal="center" vertical="center" wrapText="1"/>
    </xf>
    <xf numFmtId="0" fontId="3" fillId="0" borderId="0" xfId="0" applyFont="1" applyAlignment="1">
      <alignment horizontal="left" vertical="center"/>
    </xf>
    <xf numFmtId="0" fontId="5" fillId="15" borderId="28" xfId="0" applyFont="1" applyFill="1" applyBorder="1" applyAlignment="1">
      <alignment horizontal="left" vertical="center"/>
    </xf>
    <xf numFmtId="0" fontId="3" fillId="3" borderId="39" xfId="0" applyFont="1" applyFill="1" applyBorder="1" applyAlignment="1">
      <alignment horizontal="left" vertical="center" wrapText="1"/>
    </xf>
    <xf numFmtId="0" fontId="3" fillId="0" borderId="39" xfId="0" applyFont="1" applyBorder="1" applyAlignment="1">
      <alignment horizontal="left" vertical="center" wrapText="1"/>
    </xf>
    <xf numFmtId="0" fontId="3" fillId="0" borderId="36" xfId="0" applyFont="1" applyBorder="1" applyAlignment="1">
      <alignment horizontal="left" vertical="center" wrapText="1"/>
    </xf>
    <xf numFmtId="0" fontId="1" fillId="0" borderId="13" xfId="0" applyFont="1" applyBorder="1" applyAlignment="1">
      <alignment horizontal="left" vertical="center"/>
    </xf>
    <xf numFmtId="0" fontId="3" fillId="3" borderId="23" xfId="0" applyFont="1" applyFill="1" applyBorder="1" applyAlignment="1">
      <alignment horizontal="left" vertical="center"/>
    </xf>
    <xf numFmtId="0" fontId="3" fillId="3" borderId="13" xfId="0" applyFont="1" applyFill="1" applyBorder="1" applyAlignment="1">
      <alignment horizontal="left" vertical="center"/>
    </xf>
    <xf numFmtId="0" fontId="3" fillId="3" borderId="28" xfId="0" applyFont="1" applyFill="1" applyBorder="1" applyAlignment="1">
      <alignment horizontal="left" vertical="center"/>
    </xf>
    <xf numFmtId="0" fontId="3" fillId="0" borderId="13" xfId="0" applyFont="1" applyBorder="1" applyAlignment="1">
      <alignment horizontal="left" vertical="center" wrapText="1"/>
    </xf>
    <xf numFmtId="0" fontId="3" fillId="0" borderId="28" xfId="0" applyFont="1" applyBorder="1" applyAlignment="1">
      <alignment horizontal="left" vertical="center" wrapText="1"/>
    </xf>
    <xf numFmtId="0" fontId="3" fillId="0" borderId="23" xfId="0" applyFont="1" applyBorder="1" applyAlignment="1">
      <alignment horizontal="left" vertical="center"/>
    </xf>
    <xf numFmtId="0" fontId="3" fillId="0" borderId="28" xfId="0" applyFont="1" applyBorder="1" applyAlignment="1">
      <alignment horizontal="left" vertical="center"/>
    </xf>
    <xf numFmtId="0" fontId="3" fillId="0" borderId="23" xfId="0" applyFont="1" applyBorder="1" applyAlignment="1">
      <alignment horizontal="left" vertical="center" wrapText="1"/>
    </xf>
    <xf numFmtId="0" fontId="2" fillId="0" borderId="0" xfId="0" applyFont="1" applyAlignment="1">
      <alignment horizontal="left" vertical="center"/>
    </xf>
    <xf numFmtId="0" fontId="4" fillId="15" borderId="38" xfId="0" applyFont="1" applyFill="1" applyBorder="1" applyAlignment="1">
      <alignment horizontal="center" vertical="center" wrapText="1"/>
    </xf>
    <xf numFmtId="0" fontId="3" fillId="9" borderId="39" xfId="0" applyFont="1" applyFill="1" applyBorder="1" applyAlignment="1">
      <alignment horizontal="left" vertical="center"/>
    </xf>
    <xf numFmtId="0" fontId="3" fillId="9" borderId="40" xfId="0" applyFont="1" applyFill="1" applyBorder="1" applyAlignment="1">
      <alignment horizontal="left" vertical="center"/>
    </xf>
    <xf numFmtId="0" fontId="5" fillId="0" borderId="0" xfId="0" applyFont="1" applyAlignment="1">
      <alignment horizontal="center" vertical="center"/>
    </xf>
    <xf numFmtId="0" fontId="1" fillId="0" borderId="0" xfId="0" applyFont="1" applyAlignment="1">
      <alignment horizontal="center" vertical="center"/>
    </xf>
    <xf numFmtId="0" fontId="4" fillId="17" borderId="13" xfId="0" applyFont="1" applyFill="1" applyBorder="1" applyAlignment="1">
      <alignment horizontal="center" vertical="center"/>
    </xf>
    <xf numFmtId="0" fontId="7" fillId="10" borderId="0" xfId="0" applyFont="1" applyFill="1" applyAlignment="1">
      <alignment horizontal="center" vertical="center"/>
    </xf>
    <xf numFmtId="0" fontId="8" fillId="2" borderId="0" xfId="0" applyFont="1" applyFill="1" applyAlignment="1">
      <alignment horizontal="left" vertical="center"/>
    </xf>
    <xf numFmtId="2" fontId="6" fillId="10" borderId="0" xfId="0" applyNumberFormat="1" applyFont="1" applyFill="1" applyAlignment="1">
      <alignment vertical="center"/>
    </xf>
    <xf numFmtId="10" fontId="6" fillId="10" borderId="0" xfId="0" applyNumberFormat="1" applyFont="1" applyFill="1" applyAlignment="1">
      <alignment vertical="center"/>
    </xf>
    <xf numFmtId="165" fontId="6" fillId="10" borderId="0" xfId="0" applyNumberFormat="1" applyFont="1" applyFill="1" applyAlignment="1">
      <alignment vertical="center"/>
    </xf>
    <xf numFmtId="0" fontId="6" fillId="2" borderId="0" xfId="0" applyFont="1" applyFill="1" applyAlignment="1">
      <alignment horizontal="left" vertical="center"/>
    </xf>
    <xf numFmtId="0" fontId="6" fillId="2" borderId="0" xfId="0" applyFont="1" applyFill="1" applyAlignment="1">
      <alignment vertical="center"/>
    </xf>
    <xf numFmtId="0" fontId="24" fillId="18" borderId="28" xfId="0" applyFont="1" applyFill="1" applyBorder="1" applyAlignment="1">
      <alignment vertical="center"/>
    </xf>
    <xf numFmtId="0" fontId="6" fillId="13" borderId="28" xfId="0" applyFont="1" applyFill="1" applyBorder="1" applyAlignment="1">
      <alignment vertical="center"/>
    </xf>
    <xf numFmtId="0" fontId="24" fillId="18" borderId="38" xfId="0" applyFont="1" applyFill="1" applyBorder="1" applyAlignment="1">
      <alignment horizontal="left" vertical="center"/>
    </xf>
    <xf numFmtId="0" fontId="6" fillId="13" borderId="39" xfId="0" applyFont="1" applyFill="1" applyBorder="1" applyAlignment="1">
      <alignment vertical="center"/>
    </xf>
    <xf numFmtId="0" fontId="24" fillId="18" borderId="39" xfId="0" applyFont="1" applyFill="1" applyBorder="1" applyAlignment="1">
      <alignment horizontal="left" vertical="center"/>
    </xf>
    <xf numFmtId="0" fontId="16" fillId="17" borderId="13" xfId="0" applyFont="1" applyFill="1" applyBorder="1" applyAlignment="1">
      <alignment horizontal="center" vertical="center"/>
    </xf>
    <xf numFmtId="0" fontId="3" fillId="20" borderId="3" xfId="0" applyFont="1" applyFill="1" applyBorder="1" applyAlignment="1">
      <alignment vertical="center"/>
    </xf>
    <xf numFmtId="0" fontId="10" fillId="20" borderId="4" xfId="0" applyFont="1" applyFill="1" applyBorder="1" applyAlignment="1">
      <alignment vertical="center"/>
    </xf>
    <xf numFmtId="0" fontId="3" fillId="20" borderId="4" xfId="0" applyFont="1" applyFill="1" applyBorder="1" applyAlignment="1">
      <alignment vertical="center"/>
    </xf>
    <xf numFmtId="0" fontId="3" fillId="20" borderId="13" xfId="0" applyFont="1" applyFill="1" applyBorder="1" applyAlignment="1">
      <alignment vertical="center"/>
    </xf>
    <xf numFmtId="0" fontId="3" fillId="20" borderId="7" xfId="0" applyFont="1" applyFill="1" applyBorder="1" applyAlignment="1">
      <alignment vertical="center"/>
    </xf>
    <xf numFmtId="0" fontId="3" fillId="25" borderId="7" xfId="0" applyFont="1" applyFill="1" applyBorder="1" applyAlignment="1">
      <alignment horizontal="centerContinuous" vertical="center"/>
    </xf>
    <xf numFmtId="0" fontId="3" fillId="13" borderId="0" xfId="0" applyFont="1" applyFill="1" applyAlignment="1">
      <alignment horizontal="centerContinuous" vertical="center"/>
    </xf>
    <xf numFmtId="0" fontId="3" fillId="10" borderId="2" xfId="0" applyFont="1" applyFill="1" applyBorder="1" applyAlignment="1">
      <alignment vertical="center"/>
    </xf>
    <xf numFmtId="0" fontId="16" fillId="26" borderId="22" xfId="0" applyFont="1" applyFill="1" applyBorder="1" applyAlignment="1">
      <alignment horizontal="center" vertical="center"/>
    </xf>
    <xf numFmtId="0" fontId="16" fillId="26" borderId="23" xfId="0" applyFont="1" applyFill="1" applyBorder="1" applyAlignment="1">
      <alignment horizontal="right" vertical="center"/>
    </xf>
    <xf numFmtId="0" fontId="16" fillId="26" borderId="24" xfId="0" applyFont="1" applyFill="1" applyBorder="1" applyAlignment="1">
      <alignment horizontal="right" vertical="center"/>
    </xf>
    <xf numFmtId="0" fontId="3" fillId="20" borderId="25" xfId="0" applyFont="1" applyFill="1" applyBorder="1" applyAlignment="1">
      <alignment vertical="center"/>
    </xf>
    <xf numFmtId="2" fontId="3" fillId="20" borderId="13" xfId="0" applyNumberFormat="1" applyFont="1" applyFill="1" applyBorder="1" applyAlignment="1">
      <alignment horizontal="right" vertical="center"/>
    </xf>
    <xf numFmtId="2" fontId="3" fillId="20" borderId="26" xfId="0" applyNumberFormat="1" applyFont="1" applyFill="1" applyBorder="1" applyAlignment="1">
      <alignment horizontal="right" vertical="center"/>
    </xf>
    <xf numFmtId="166" fontId="3" fillId="20" borderId="13" xfId="0" applyNumberFormat="1" applyFont="1" applyFill="1" applyBorder="1" applyAlignment="1">
      <alignment horizontal="right" vertical="center"/>
    </xf>
    <xf numFmtId="166" fontId="3" fillId="20" borderId="26" xfId="0" applyNumberFormat="1" applyFont="1" applyFill="1" applyBorder="1" applyAlignment="1">
      <alignment horizontal="right" vertical="center"/>
    </xf>
    <xf numFmtId="43" fontId="3" fillId="20" borderId="13" xfId="0" applyNumberFormat="1" applyFont="1" applyFill="1" applyBorder="1" applyAlignment="1">
      <alignment horizontal="right" vertical="center"/>
    </xf>
    <xf numFmtId="43" fontId="3" fillId="20" borderId="26" xfId="0" applyNumberFormat="1" applyFont="1" applyFill="1" applyBorder="1" applyAlignment="1">
      <alignment horizontal="right" vertical="center"/>
    </xf>
    <xf numFmtId="0" fontId="4" fillId="27" borderId="38" xfId="0" applyFont="1" applyFill="1" applyBorder="1" applyAlignment="1">
      <alignment vertical="center"/>
    </xf>
    <xf numFmtId="0" fontId="3" fillId="27" borderId="39" xfId="0" applyFont="1" applyFill="1" applyBorder="1" applyAlignment="1">
      <alignment vertical="center"/>
    </xf>
    <xf numFmtId="167" fontId="4" fillId="27" borderId="39" xfId="0" applyNumberFormat="1" applyFont="1" applyFill="1" applyBorder="1" applyAlignment="1">
      <alignment horizontal="right" vertical="center"/>
    </xf>
    <xf numFmtId="167" fontId="4" fillId="27" borderId="40" xfId="0" applyNumberFormat="1" applyFont="1" applyFill="1" applyBorder="1" applyAlignment="1">
      <alignment horizontal="right" vertical="center"/>
    </xf>
    <xf numFmtId="0" fontId="3" fillId="10" borderId="7" xfId="0" applyFont="1" applyFill="1" applyBorder="1" applyAlignment="1">
      <alignment vertical="center"/>
    </xf>
    <xf numFmtId="0" fontId="3" fillId="21" borderId="7" xfId="0" applyFont="1" applyFill="1" applyBorder="1" applyAlignment="1">
      <alignment vertical="center"/>
    </xf>
    <xf numFmtId="0" fontId="3" fillId="22" borderId="7" xfId="0" applyFont="1" applyFill="1" applyBorder="1" applyAlignment="1">
      <alignment vertical="center"/>
    </xf>
    <xf numFmtId="0" fontId="3" fillId="25" borderId="7" xfId="0" applyFont="1" applyFill="1" applyBorder="1" applyAlignment="1">
      <alignment vertical="center"/>
    </xf>
    <xf numFmtId="0" fontId="3" fillId="20" borderId="7" xfId="0" applyFont="1" applyFill="1" applyBorder="1" applyAlignment="1">
      <alignment horizontal="centerContinuous" vertical="center"/>
    </xf>
    <xf numFmtId="0" fontId="3" fillId="10" borderId="5" xfId="0" applyFont="1" applyFill="1" applyBorder="1" applyAlignment="1">
      <alignment vertical="center"/>
    </xf>
    <xf numFmtId="0" fontId="3" fillId="29" borderId="22" xfId="0" applyFont="1" applyFill="1" applyBorder="1" applyAlignment="1">
      <alignment vertical="center"/>
    </xf>
    <xf numFmtId="0" fontId="29" fillId="29" borderId="23" xfId="0" applyFont="1" applyFill="1" applyBorder="1" applyAlignment="1">
      <alignment horizontal="right" vertical="center"/>
    </xf>
    <xf numFmtId="0" fontId="29" fillId="29" borderId="24" xfId="0" applyFont="1" applyFill="1" applyBorder="1" applyAlignment="1">
      <alignment horizontal="right" vertical="center"/>
    </xf>
    <xf numFmtId="165" fontId="3" fillId="20" borderId="13" xfId="0" applyNumberFormat="1" applyFont="1" applyFill="1" applyBorder="1" applyAlignment="1">
      <alignment horizontal="right" vertical="center"/>
    </xf>
    <xf numFmtId="165" fontId="3" fillId="20" borderId="26" xfId="0" applyNumberFormat="1" applyFont="1" applyFill="1" applyBorder="1" applyAlignment="1">
      <alignment horizontal="right" vertical="center"/>
    </xf>
    <xf numFmtId="0" fontId="3" fillId="23" borderId="25" xfId="0" applyFont="1" applyFill="1" applyBorder="1" applyAlignment="1">
      <alignment vertical="center"/>
    </xf>
    <xf numFmtId="165" fontId="3" fillId="23" borderId="13" xfId="0" applyNumberFormat="1" applyFont="1" applyFill="1" applyBorder="1" applyAlignment="1">
      <alignment horizontal="right" vertical="center"/>
    </xf>
    <xf numFmtId="165" fontId="3" fillId="23" borderId="26" xfId="0" applyNumberFormat="1" applyFont="1" applyFill="1" applyBorder="1" applyAlignment="1">
      <alignment horizontal="right" vertical="center"/>
    </xf>
    <xf numFmtId="3" fontId="3" fillId="23" borderId="13" xfId="0" applyNumberFormat="1" applyFont="1" applyFill="1" applyBorder="1" applyAlignment="1">
      <alignment horizontal="right" vertical="center"/>
    </xf>
    <xf numFmtId="3" fontId="3" fillId="23" borderId="26" xfId="0" applyNumberFormat="1" applyFont="1" applyFill="1" applyBorder="1" applyAlignment="1">
      <alignment horizontal="right" vertical="center"/>
    </xf>
    <xf numFmtId="0" fontId="3" fillId="23" borderId="27" xfId="0" applyFont="1" applyFill="1" applyBorder="1" applyAlignment="1">
      <alignment vertical="center"/>
    </xf>
    <xf numFmtId="165" fontId="3" fillId="23" borderId="28" xfId="0" applyNumberFormat="1" applyFont="1" applyFill="1" applyBorder="1" applyAlignment="1">
      <alignment horizontal="right" vertical="center"/>
    </xf>
    <xf numFmtId="165" fontId="3" fillId="23" borderId="29" xfId="0" applyNumberFormat="1" applyFont="1" applyFill="1" applyBorder="1" applyAlignment="1">
      <alignment horizontal="right" vertical="center"/>
    </xf>
    <xf numFmtId="0" fontId="16" fillId="12" borderId="13" xfId="0" applyFont="1" applyFill="1" applyBorder="1" applyAlignment="1">
      <alignment horizontal="center" vertical="center"/>
    </xf>
    <xf numFmtId="0" fontId="20" fillId="24" borderId="39" xfId="0" applyFont="1" applyFill="1" applyBorder="1" applyAlignment="1">
      <alignment horizontal="center" vertical="center"/>
    </xf>
    <xf numFmtId="0" fontId="20" fillId="12" borderId="39" xfId="0" applyFont="1" applyFill="1" applyBorder="1" applyAlignment="1">
      <alignment horizontal="center" vertical="center"/>
    </xf>
    <xf numFmtId="0" fontId="21" fillId="17" borderId="39" xfId="0" applyFont="1" applyFill="1" applyBorder="1" applyAlignment="1">
      <alignment horizontal="center" vertical="center"/>
    </xf>
    <xf numFmtId="0" fontId="21" fillId="0" borderId="39" xfId="0" applyFont="1" applyBorder="1" applyAlignment="1">
      <alignment vertical="center"/>
    </xf>
    <xf numFmtId="0" fontId="21" fillId="0" borderId="0" xfId="0" applyFont="1" applyAlignment="1">
      <alignment vertical="center"/>
    </xf>
    <xf numFmtId="164" fontId="21" fillId="44" borderId="0" xfId="0" applyNumberFormat="1" applyFont="1" applyFill="1" applyAlignment="1">
      <alignment vertical="center"/>
    </xf>
    <xf numFmtId="164" fontId="21" fillId="47" borderId="3" xfId="0" applyNumberFormat="1" applyFont="1" applyFill="1" applyBorder="1" applyAlignment="1">
      <alignment vertical="center"/>
    </xf>
    <xf numFmtId="164" fontId="21" fillId="0" borderId="0" xfId="0" applyNumberFormat="1" applyFont="1" applyAlignment="1">
      <alignment vertical="center"/>
    </xf>
    <xf numFmtId="0" fontId="19" fillId="0" borderId="0" xfId="0" applyFont="1" applyAlignment="1">
      <alignment vertical="center"/>
    </xf>
    <xf numFmtId="164" fontId="19" fillId="44" borderId="0" xfId="0" applyNumberFormat="1" applyFont="1" applyFill="1" applyAlignment="1">
      <alignment vertical="center"/>
    </xf>
    <xf numFmtId="164" fontId="19" fillId="45" borderId="0" xfId="0" applyNumberFormat="1" applyFont="1" applyFill="1" applyAlignment="1">
      <alignment vertical="center"/>
    </xf>
    <xf numFmtId="164" fontId="19" fillId="0" borderId="0" xfId="0" applyNumberFormat="1" applyFont="1" applyAlignment="1">
      <alignment vertical="center"/>
    </xf>
    <xf numFmtId="164" fontId="19" fillId="47" borderId="3" xfId="0" applyNumberFormat="1" applyFont="1" applyFill="1" applyBorder="1" applyAlignment="1">
      <alignment vertical="center"/>
    </xf>
    <xf numFmtId="0" fontId="21" fillId="2" borderId="3" xfId="0" applyFont="1" applyFill="1" applyBorder="1" applyAlignment="1">
      <alignment vertical="center"/>
    </xf>
    <xf numFmtId="164" fontId="21" fillId="46" borderId="3" xfId="0" applyNumberFormat="1" applyFont="1" applyFill="1" applyBorder="1" applyAlignment="1">
      <alignment vertical="center"/>
    </xf>
    <xf numFmtId="164" fontId="21" fillId="2" borderId="3" xfId="0" applyNumberFormat="1" applyFont="1" applyFill="1" applyBorder="1" applyAlignment="1">
      <alignment vertical="center"/>
    </xf>
    <xf numFmtId="164" fontId="19" fillId="46" borderId="3" xfId="0" applyNumberFormat="1" applyFont="1" applyFill="1" applyBorder="1" applyAlignment="1">
      <alignment vertical="center"/>
    </xf>
    <xf numFmtId="164" fontId="21" fillId="45" borderId="0" xfId="0" applyNumberFormat="1" applyFont="1" applyFill="1" applyAlignment="1">
      <alignment vertical="center"/>
    </xf>
    <xf numFmtId="165" fontId="21" fillId="47" borderId="3" xfId="0" applyNumberFormat="1" applyFont="1" applyFill="1" applyBorder="1" applyAlignment="1">
      <alignment vertical="center"/>
    </xf>
    <xf numFmtId="0" fontId="33" fillId="2" borderId="3" xfId="0" applyFont="1" applyFill="1" applyBorder="1" applyAlignment="1">
      <alignment vertical="center"/>
    </xf>
    <xf numFmtId="165" fontId="19" fillId="2" borderId="3" xfId="0" applyNumberFormat="1" applyFont="1" applyFill="1" applyBorder="1" applyAlignment="1">
      <alignment vertical="center"/>
    </xf>
    <xf numFmtId="0" fontId="19" fillId="46" borderId="3" xfId="0" applyFont="1" applyFill="1" applyBorder="1" applyAlignment="1">
      <alignment vertical="center"/>
    </xf>
    <xf numFmtId="0" fontId="19" fillId="0" borderId="0" xfId="0" applyFont="1" applyAlignment="1">
      <alignment vertical="center" wrapText="1"/>
    </xf>
    <xf numFmtId="172" fontId="19" fillId="46" borderId="3" xfId="0" applyNumberFormat="1" applyFont="1" applyFill="1" applyBorder="1" applyAlignment="1">
      <alignment vertical="center"/>
    </xf>
    <xf numFmtId="172" fontId="19" fillId="47" borderId="3" xfId="0" applyNumberFormat="1" applyFont="1" applyFill="1" applyBorder="1" applyAlignment="1">
      <alignment vertical="center"/>
    </xf>
    <xf numFmtId="0" fontId="34" fillId="2" borderId="3" xfId="0" applyFont="1" applyFill="1" applyBorder="1" applyAlignment="1">
      <alignment vertical="center" wrapText="1"/>
    </xf>
    <xf numFmtId="0" fontId="34" fillId="44" borderId="0" xfId="0" applyFont="1" applyFill="1" applyAlignment="1">
      <alignment vertical="center"/>
    </xf>
    <xf numFmtId="9" fontId="34" fillId="46" borderId="3" xfId="0" applyNumberFormat="1" applyFont="1" applyFill="1" applyBorder="1" applyAlignment="1">
      <alignment vertical="center"/>
    </xf>
    <xf numFmtId="9" fontId="34" fillId="47" borderId="3" xfId="0" applyNumberFormat="1" applyFont="1" applyFill="1" applyBorder="1" applyAlignment="1">
      <alignment vertical="center"/>
    </xf>
    <xf numFmtId="164" fontId="34" fillId="0" borderId="0" xfId="0" applyNumberFormat="1" applyFont="1" applyAlignment="1">
      <alignment vertical="center"/>
    </xf>
    <xf numFmtId="0" fontId="34" fillId="0" borderId="0" xfId="0" applyFont="1" applyAlignment="1">
      <alignment vertical="center"/>
    </xf>
    <xf numFmtId="43" fontId="19" fillId="46" borderId="3" xfId="0" applyNumberFormat="1" applyFont="1" applyFill="1" applyBorder="1" applyAlignment="1">
      <alignment vertical="center"/>
    </xf>
    <xf numFmtId="0" fontId="34" fillId="46" borderId="3" xfId="0" applyFont="1" applyFill="1" applyBorder="1" applyAlignment="1">
      <alignment vertical="center"/>
    </xf>
    <xf numFmtId="0" fontId="21" fillId="0" borderId="0" xfId="0" applyFont="1" applyAlignment="1">
      <alignment vertical="center" wrapText="1"/>
    </xf>
    <xf numFmtId="0" fontId="21" fillId="46" borderId="3" xfId="0" applyFont="1" applyFill="1" applyBorder="1" applyAlignment="1">
      <alignment vertical="center"/>
    </xf>
    <xf numFmtId="43" fontId="21" fillId="46" borderId="3" xfId="0" applyNumberFormat="1" applyFont="1" applyFill="1" applyBorder="1" applyAlignment="1">
      <alignment vertical="center"/>
    </xf>
    <xf numFmtId="43" fontId="21" fillId="47" borderId="3" xfId="0" applyNumberFormat="1" applyFont="1" applyFill="1" applyBorder="1" applyAlignment="1">
      <alignment vertical="center"/>
    </xf>
    <xf numFmtId="43" fontId="19" fillId="47" borderId="3" xfId="0" applyNumberFormat="1" applyFont="1" applyFill="1" applyBorder="1" applyAlignment="1">
      <alignment vertical="center"/>
    </xf>
    <xf numFmtId="43" fontId="19" fillId="45" borderId="0" xfId="0" applyNumberFormat="1" applyFont="1" applyFill="1" applyAlignment="1">
      <alignment vertical="center"/>
    </xf>
    <xf numFmtId="43" fontId="21" fillId="45" borderId="0" xfId="0" applyNumberFormat="1" applyFont="1" applyFill="1" applyAlignment="1">
      <alignment vertical="center"/>
    </xf>
    <xf numFmtId="43" fontId="19" fillId="2" borderId="3" xfId="0" applyNumberFormat="1" applyFont="1" applyFill="1" applyBorder="1" applyAlignment="1">
      <alignment vertical="center"/>
    </xf>
    <xf numFmtId="43" fontId="19" fillId="0" borderId="0" xfId="0" applyNumberFormat="1" applyFont="1" applyAlignment="1">
      <alignment vertical="center"/>
    </xf>
    <xf numFmtId="0" fontId="19" fillId="3" borderId="13" xfId="0" applyFont="1" applyFill="1" applyBorder="1" applyAlignment="1">
      <alignment vertical="center" wrapText="1"/>
    </xf>
    <xf numFmtId="0" fontId="21" fillId="3" borderId="13" xfId="0" applyFont="1" applyFill="1" applyBorder="1" applyAlignment="1">
      <alignment vertical="center" wrapText="1"/>
    </xf>
    <xf numFmtId="168" fontId="19" fillId="46" borderId="3" xfId="0" applyNumberFormat="1" applyFont="1" applyFill="1" applyBorder="1" applyAlignment="1">
      <alignment vertical="center"/>
    </xf>
    <xf numFmtId="168" fontId="19" fillId="47" borderId="3" xfId="0" applyNumberFormat="1" applyFont="1" applyFill="1" applyBorder="1" applyAlignment="1">
      <alignment vertical="center"/>
    </xf>
    <xf numFmtId="9" fontId="19" fillId="46" borderId="3" xfId="0" applyNumberFormat="1" applyFont="1" applyFill="1" applyBorder="1" applyAlignment="1">
      <alignment vertical="center"/>
    </xf>
    <xf numFmtId="9" fontId="19" fillId="47" borderId="3" xfId="0" applyNumberFormat="1" applyFont="1" applyFill="1" applyBorder="1" applyAlignment="1">
      <alignment vertical="center"/>
    </xf>
    <xf numFmtId="10" fontId="19" fillId="46" borderId="3" xfId="0" applyNumberFormat="1" applyFont="1" applyFill="1" applyBorder="1" applyAlignment="1">
      <alignment vertical="center"/>
    </xf>
    <xf numFmtId="10" fontId="19" fillId="47" borderId="3" xfId="0" applyNumberFormat="1" applyFont="1" applyFill="1" applyBorder="1" applyAlignment="1">
      <alignment vertical="center"/>
    </xf>
    <xf numFmtId="9" fontId="19" fillId="44" borderId="0" xfId="0" applyNumberFormat="1" applyFont="1" applyFill="1" applyAlignment="1">
      <alignment vertical="center"/>
    </xf>
    <xf numFmtId="9" fontId="19" fillId="45" borderId="0" xfId="0" applyNumberFormat="1" applyFont="1" applyFill="1" applyAlignment="1">
      <alignment vertical="center"/>
    </xf>
    <xf numFmtId="0" fontId="21" fillId="44" borderId="0" xfId="0" applyFont="1" applyFill="1" applyAlignment="1">
      <alignment vertical="center"/>
    </xf>
    <xf numFmtId="0" fontId="19" fillId="44" borderId="0" xfId="0" applyFont="1" applyFill="1" applyAlignment="1">
      <alignment vertical="center"/>
    </xf>
    <xf numFmtId="0" fontId="19" fillId="45" borderId="0" xfId="0" applyFont="1" applyFill="1" applyAlignment="1">
      <alignment vertical="center"/>
    </xf>
    <xf numFmtId="165" fontId="21" fillId="45" borderId="0" xfId="0" applyNumberFormat="1" applyFont="1" applyFill="1" applyAlignment="1">
      <alignment vertical="center"/>
    </xf>
    <xf numFmtId="0" fontId="20" fillId="24" borderId="38" xfId="0" applyFont="1" applyFill="1" applyBorder="1" applyAlignment="1">
      <alignment horizontal="center" vertical="center"/>
    </xf>
    <xf numFmtId="0" fontId="21" fillId="17" borderId="40" xfId="0" applyFont="1" applyFill="1" applyBorder="1" applyAlignment="1">
      <alignment horizontal="center" vertical="center"/>
    </xf>
    <xf numFmtId="0" fontId="35" fillId="10" borderId="0" xfId="0" applyFont="1" applyFill="1" applyAlignment="1">
      <alignment vertical="center"/>
    </xf>
    <xf numFmtId="0" fontId="36" fillId="10" borderId="0" xfId="0" applyFont="1" applyFill="1" applyAlignment="1">
      <alignment vertical="center"/>
    </xf>
    <xf numFmtId="165" fontId="19" fillId="45" borderId="0" xfId="0" applyNumberFormat="1" applyFont="1" applyFill="1" applyAlignment="1">
      <alignment vertical="center"/>
    </xf>
    <xf numFmtId="165" fontId="21" fillId="44" borderId="0" xfId="0" applyNumberFormat="1" applyFont="1" applyFill="1" applyAlignment="1">
      <alignment vertical="center"/>
    </xf>
    <xf numFmtId="43" fontId="19" fillId="10" borderId="0" xfId="0" applyNumberFormat="1" applyFont="1" applyFill="1" applyAlignment="1">
      <alignment vertical="center"/>
    </xf>
    <xf numFmtId="165" fontId="19" fillId="44" borderId="0" xfId="0" applyNumberFormat="1" applyFont="1" applyFill="1" applyAlignment="1">
      <alignment vertical="center"/>
    </xf>
    <xf numFmtId="0" fontId="20" fillId="24" borderId="14" xfId="0" applyFont="1" applyFill="1" applyBorder="1" applyAlignment="1">
      <alignment horizontal="center" vertical="center" wrapText="1"/>
    </xf>
    <xf numFmtId="0" fontId="21" fillId="2" borderId="3" xfId="0" applyFont="1" applyFill="1" applyBorder="1" applyAlignment="1">
      <alignment vertical="center" wrapText="1"/>
    </xf>
    <xf numFmtId="9" fontId="21" fillId="44" borderId="0" xfId="0" applyNumberFormat="1" applyFont="1" applyFill="1" applyAlignment="1">
      <alignment vertical="center"/>
    </xf>
    <xf numFmtId="9" fontId="21" fillId="45" borderId="0" xfId="0" applyNumberFormat="1" applyFont="1" applyFill="1" applyAlignment="1">
      <alignment vertical="center"/>
    </xf>
    <xf numFmtId="0" fontId="19" fillId="2" borderId="3" xfId="0" applyFont="1" applyFill="1" applyBorder="1" applyAlignment="1">
      <alignment vertical="center" wrapText="1"/>
    </xf>
    <xf numFmtId="10" fontId="19" fillId="44" borderId="0" xfId="0" applyNumberFormat="1" applyFont="1" applyFill="1" applyAlignment="1">
      <alignment vertical="center"/>
    </xf>
    <xf numFmtId="10" fontId="19" fillId="45" borderId="0" xfId="0" applyNumberFormat="1" applyFont="1" applyFill="1" applyAlignment="1">
      <alignment vertical="center"/>
    </xf>
    <xf numFmtId="10" fontId="21" fillId="44" borderId="0" xfId="0" applyNumberFormat="1" applyFont="1" applyFill="1" applyAlignment="1">
      <alignment vertical="center"/>
    </xf>
    <xf numFmtId="10" fontId="21" fillId="45" borderId="0" xfId="0" applyNumberFormat="1" applyFont="1" applyFill="1" applyAlignment="1">
      <alignment vertical="center"/>
    </xf>
    <xf numFmtId="168" fontId="19" fillId="44" borderId="0" xfId="0" applyNumberFormat="1" applyFont="1" applyFill="1" applyAlignment="1">
      <alignment vertical="center"/>
    </xf>
    <xf numFmtId="168" fontId="19" fillId="45" borderId="0" xfId="0" applyNumberFormat="1" applyFont="1" applyFill="1" applyAlignment="1">
      <alignment vertical="center"/>
    </xf>
    <xf numFmtId="168" fontId="21" fillId="44" borderId="0" xfId="0" applyNumberFormat="1" applyFont="1" applyFill="1" applyAlignment="1">
      <alignment vertical="center"/>
    </xf>
    <xf numFmtId="168" fontId="21" fillId="45" borderId="0" xfId="0" applyNumberFormat="1" applyFont="1" applyFill="1" applyAlignment="1">
      <alignment vertical="center"/>
    </xf>
    <xf numFmtId="0" fontId="20" fillId="24" borderId="3" xfId="0" applyFont="1" applyFill="1" applyBorder="1" applyAlignment="1">
      <alignment horizontal="center" vertical="center"/>
    </xf>
    <xf numFmtId="0" fontId="21" fillId="10" borderId="0" xfId="0" applyFont="1" applyFill="1" applyAlignment="1">
      <alignment horizontal="left" vertical="center"/>
    </xf>
    <xf numFmtId="0" fontId="31" fillId="10" borderId="0" xfId="0" applyFont="1" applyFill="1" applyAlignment="1">
      <alignment horizontal="left" vertical="center"/>
    </xf>
    <xf numFmtId="0" fontId="31" fillId="44" borderId="0" xfId="0" applyFont="1" applyFill="1" applyAlignment="1">
      <alignment vertical="center"/>
    </xf>
    <xf numFmtId="168" fontId="31" fillId="44" borderId="0" xfId="0" applyNumberFormat="1" applyFont="1" applyFill="1" applyAlignment="1">
      <alignment vertical="center"/>
    </xf>
    <xf numFmtId="168" fontId="31" fillId="45" borderId="0" xfId="0" applyNumberFormat="1" applyFont="1" applyFill="1" applyAlignment="1">
      <alignment vertical="center"/>
    </xf>
    <xf numFmtId="0" fontId="31" fillId="10" borderId="0" xfId="0" applyFont="1" applyFill="1" applyAlignment="1">
      <alignment vertical="center"/>
    </xf>
    <xf numFmtId="0" fontId="37" fillId="10" borderId="0" xfId="0" applyFont="1" applyFill="1" applyAlignment="1">
      <alignment vertical="center"/>
    </xf>
    <xf numFmtId="9" fontId="31" fillId="44" borderId="0" xfId="0" applyNumberFormat="1" applyFont="1" applyFill="1" applyAlignment="1">
      <alignment vertical="center"/>
    </xf>
    <xf numFmtId="9" fontId="31" fillId="45" borderId="0" xfId="0" applyNumberFormat="1" applyFont="1" applyFill="1" applyAlignment="1">
      <alignment vertical="center"/>
    </xf>
    <xf numFmtId="10" fontId="31" fillId="44" borderId="0" xfId="0" applyNumberFormat="1" applyFont="1" applyFill="1" applyAlignment="1">
      <alignment vertical="center"/>
    </xf>
    <xf numFmtId="10" fontId="31" fillId="45" borderId="0" xfId="0" applyNumberFormat="1" applyFont="1" applyFill="1" applyAlignment="1">
      <alignment vertical="center"/>
    </xf>
    <xf numFmtId="168" fontId="19" fillId="10" borderId="0" xfId="0" applyNumberFormat="1" applyFont="1" applyFill="1" applyAlignment="1">
      <alignment vertical="center"/>
    </xf>
    <xf numFmtId="0" fontId="21" fillId="0" borderId="22" xfId="0" applyFont="1" applyBorder="1" applyAlignment="1">
      <alignment vertical="center" wrapText="1"/>
    </xf>
    <xf numFmtId="170" fontId="19" fillId="0" borderId="24" xfId="0" applyNumberFormat="1" applyFont="1" applyBorder="1" applyAlignment="1">
      <alignment horizontal="right" vertical="center" wrapText="1"/>
    </xf>
    <xf numFmtId="0" fontId="21" fillId="0" borderId="25" xfId="0" applyFont="1" applyBorder="1" applyAlignment="1">
      <alignment vertical="center" wrapText="1"/>
    </xf>
    <xf numFmtId="14" fontId="19" fillId="0" borderId="26" xfId="0" applyNumberFormat="1" applyFont="1" applyBorder="1" applyAlignment="1">
      <alignment horizontal="right" vertical="center" wrapText="1"/>
    </xf>
    <xf numFmtId="9" fontId="19" fillId="0" borderId="26" xfId="0" applyNumberFormat="1" applyFont="1" applyBorder="1" applyAlignment="1">
      <alignment horizontal="right" vertical="center" wrapText="1"/>
    </xf>
    <xf numFmtId="10" fontId="19" fillId="42" borderId="26" xfId="0" applyNumberFormat="1" applyFont="1" applyFill="1" applyBorder="1" applyAlignment="1">
      <alignment horizontal="right" vertical="center" wrapText="1"/>
    </xf>
    <xf numFmtId="0" fontId="21" fillId="0" borderId="27" xfId="0" applyFont="1" applyBorder="1" applyAlignment="1">
      <alignment vertical="center" wrapText="1"/>
    </xf>
    <xf numFmtId="9" fontId="19" fillId="41" borderId="29" xfId="0" applyNumberFormat="1" applyFont="1" applyFill="1" applyBorder="1" applyAlignment="1">
      <alignment horizontal="right" vertical="center" wrapText="1"/>
    </xf>
    <xf numFmtId="0" fontId="20" fillId="14" borderId="22" xfId="0" applyFont="1" applyFill="1" applyBorder="1" applyAlignment="1">
      <alignment horizontal="center" vertical="center" wrapText="1"/>
    </xf>
    <xf numFmtId="0" fontId="20" fillId="14" borderId="39" xfId="0" applyFont="1" applyFill="1" applyBorder="1" applyAlignment="1">
      <alignment horizontal="center" vertical="center" wrapText="1"/>
    </xf>
    <xf numFmtId="0" fontId="20" fillId="14" borderId="40" xfId="0" applyFont="1" applyFill="1" applyBorder="1" applyAlignment="1">
      <alignment horizontal="center" vertical="center" wrapText="1"/>
    </xf>
    <xf numFmtId="0" fontId="20" fillId="0" borderId="0" xfId="0" applyFont="1" applyAlignment="1">
      <alignment horizontal="center" vertical="center"/>
    </xf>
    <xf numFmtId="0" fontId="19" fillId="43" borderId="41" xfId="0" applyFont="1" applyFill="1" applyBorder="1" applyAlignment="1">
      <alignment vertical="center" wrapText="1"/>
    </xf>
    <xf numFmtId="0" fontId="19" fillId="3" borderId="13" xfId="0" applyFont="1" applyFill="1" applyBorder="1" applyAlignment="1">
      <alignment horizontal="center" vertical="center" wrapText="1"/>
    </xf>
    <xf numFmtId="168" fontId="19" fillId="3" borderId="26" xfId="0" applyNumberFormat="1" applyFont="1" applyFill="1" applyBorder="1" applyAlignment="1">
      <alignment horizontal="center" vertical="center" wrapText="1"/>
    </xf>
    <xf numFmtId="0" fontId="19" fillId="43" borderId="42" xfId="0" applyFont="1" applyFill="1" applyBorder="1" applyAlignment="1">
      <alignment vertical="center" wrapText="1"/>
    </xf>
    <xf numFmtId="2" fontId="19" fillId="3" borderId="26" xfId="0" applyNumberFormat="1" applyFont="1" applyFill="1" applyBorder="1" applyAlignment="1">
      <alignment horizontal="center" vertical="center" wrapText="1"/>
    </xf>
    <xf numFmtId="0" fontId="19" fillId="43" borderId="42" xfId="0" applyFont="1" applyFill="1" applyBorder="1" applyAlignment="1">
      <alignment vertical="center"/>
    </xf>
    <xf numFmtId="0" fontId="19" fillId="0" borderId="13" xfId="0" applyFont="1" applyBorder="1" applyAlignment="1">
      <alignment vertical="center" wrapText="1"/>
    </xf>
    <xf numFmtId="171" fontId="19" fillId="3" borderId="26" xfId="0" applyNumberFormat="1" applyFont="1" applyFill="1" applyBorder="1" applyAlignment="1">
      <alignment horizontal="center" vertical="center" wrapText="1"/>
    </xf>
    <xf numFmtId="10" fontId="19" fillId="3" borderId="26" xfId="0" applyNumberFormat="1" applyFont="1" applyFill="1" applyBorder="1" applyAlignment="1">
      <alignment horizontal="center" vertical="center" wrapText="1"/>
    </xf>
    <xf numFmtId="0" fontId="32" fillId="43" borderId="42" xfId="0" applyFont="1" applyFill="1" applyBorder="1" applyAlignment="1">
      <alignment vertical="center" wrapText="1"/>
    </xf>
    <xf numFmtId="0" fontId="32" fillId="3" borderId="13" xfId="0" applyFont="1" applyFill="1" applyBorder="1" applyAlignment="1">
      <alignment vertical="center" wrapText="1"/>
    </xf>
    <xf numFmtId="168" fontId="32" fillId="3" borderId="26" xfId="0" applyNumberFormat="1" applyFont="1" applyFill="1" applyBorder="1" applyAlignment="1">
      <alignment horizontal="center" vertical="center" wrapText="1"/>
    </xf>
    <xf numFmtId="0" fontId="32" fillId="43" borderId="43" xfId="0" applyFont="1" applyFill="1" applyBorder="1" applyAlignment="1">
      <alignment vertical="center" wrapText="1"/>
    </xf>
    <xf numFmtId="0" fontId="32" fillId="3" borderId="28" xfId="0" applyFont="1" applyFill="1" applyBorder="1" applyAlignment="1">
      <alignment vertical="center" wrapText="1"/>
    </xf>
    <xf numFmtId="10" fontId="32" fillId="3" borderId="29" xfId="0" applyNumberFormat="1" applyFont="1" applyFill="1" applyBorder="1" applyAlignment="1">
      <alignment horizontal="center" vertical="center" wrapText="1"/>
    </xf>
    <xf numFmtId="0" fontId="20" fillId="11" borderId="0" xfId="0" applyFont="1" applyFill="1" applyAlignment="1">
      <alignment horizontal="centerContinuous" vertical="center"/>
    </xf>
    <xf numFmtId="0" fontId="38" fillId="11" borderId="0" xfId="0" applyFont="1" applyFill="1" applyAlignment="1">
      <alignment horizontal="centerContinuous" vertical="center"/>
    </xf>
    <xf numFmtId="0" fontId="39" fillId="14" borderId="38" xfId="0" applyFont="1" applyFill="1" applyBorder="1" applyAlignment="1">
      <alignment horizontal="center" vertical="center" wrapText="1"/>
    </xf>
    <xf numFmtId="0" fontId="21" fillId="14" borderId="39" xfId="0" applyFont="1" applyFill="1" applyBorder="1" applyAlignment="1">
      <alignment vertical="center" wrapText="1"/>
    </xf>
    <xf numFmtId="0" fontId="39" fillId="14" borderId="39" xfId="0" applyFont="1" applyFill="1" applyBorder="1" applyAlignment="1">
      <alignment horizontal="center" vertical="center" wrapText="1"/>
    </xf>
    <xf numFmtId="0" fontId="39" fillId="14" borderId="40" xfId="0" applyFont="1" applyFill="1" applyBorder="1" applyAlignment="1">
      <alignment horizontal="center" vertical="center" wrapText="1"/>
    </xf>
    <xf numFmtId="0" fontId="19" fillId="43" borderId="25" xfId="0" applyFont="1" applyFill="1" applyBorder="1" applyAlignment="1">
      <alignment vertical="center" wrapText="1"/>
    </xf>
    <xf numFmtId="43" fontId="19" fillId="0" borderId="13" xfId="0" applyNumberFormat="1" applyFont="1" applyBorder="1" applyAlignment="1">
      <alignment vertical="center" wrapText="1"/>
    </xf>
    <xf numFmtId="43" fontId="19" fillId="0" borderId="26" xfId="0" applyNumberFormat="1" applyFont="1" applyBorder="1" applyAlignment="1">
      <alignment vertical="center" wrapText="1"/>
    </xf>
    <xf numFmtId="164" fontId="19" fillId="0" borderId="13" xfId="0" applyNumberFormat="1" applyFont="1" applyBorder="1" applyAlignment="1">
      <alignment vertical="center" wrapText="1"/>
    </xf>
    <xf numFmtId="164" fontId="19" fillId="0" borderId="26" xfId="0" applyNumberFormat="1" applyFont="1" applyBorder="1" applyAlignment="1">
      <alignment vertical="center" wrapText="1"/>
    </xf>
    <xf numFmtId="0" fontId="19" fillId="0" borderId="26" xfId="0" applyFont="1" applyBorder="1" applyAlignment="1">
      <alignment vertical="center" wrapText="1"/>
    </xf>
    <xf numFmtId="0" fontId="21" fillId="43" borderId="25" xfId="0" applyFont="1" applyFill="1" applyBorder="1" applyAlignment="1">
      <alignment vertical="center" wrapText="1"/>
    </xf>
    <xf numFmtId="0" fontId="21" fillId="0" borderId="13" xfId="0" applyFont="1" applyBorder="1" applyAlignment="1">
      <alignment vertical="center" wrapText="1"/>
    </xf>
    <xf numFmtId="43" fontId="21" fillId="0" borderId="13" xfId="0" applyNumberFormat="1" applyFont="1" applyBorder="1" applyAlignment="1">
      <alignment vertical="center" wrapText="1"/>
    </xf>
    <xf numFmtId="43" fontId="21" fillId="0" borderId="26" xfId="0" applyNumberFormat="1" applyFont="1" applyBorder="1" applyAlignment="1">
      <alignment vertical="center" wrapText="1"/>
    </xf>
    <xf numFmtId="4" fontId="19" fillId="0" borderId="13" xfId="0" applyNumberFormat="1" applyFont="1" applyBorder="1" applyAlignment="1">
      <alignment horizontal="center" vertical="center" wrapText="1"/>
    </xf>
    <xf numFmtId="4" fontId="19" fillId="0" borderId="26" xfId="0" applyNumberFormat="1" applyFont="1" applyBorder="1" applyAlignment="1">
      <alignment horizontal="center" vertical="center" wrapText="1"/>
    </xf>
    <xf numFmtId="2" fontId="19" fillId="0" borderId="13" xfId="0" applyNumberFormat="1" applyFont="1" applyBorder="1" applyAlignment="1">
      <alignment horizontal="center" vertical="center" wrapText="1"/>
    </xf>
    <xf numFmtId="2" fontId="19" fillId="0" borderId="26" xfId="0" applyNumberFormat="1" applyFont="1" applyBorder="1" applyAlignment="1">
      <alignment horizontal="center" vertical="center" wrapText="1"/>
    </xf>
    <xf numFmtId="3" fontId="19" fillId="0" borderId="13" xfId="0" applyNumberFormat="1" applyFont="1" applyBorder="1" applyAlignment="1">
      <alignment vertical="center" wrapText="1"/>
    </xf>
    <xf numFmtId="3" fontId="19" fillId="0" borderId="13" xfId="0" applyNumberFormat="1" applyFont="1" applyBorder="1" applyAlignment="1">
      <alignment horizontal="right" vertical="center" wrapText="1"/>
    </xf>
    <xf numFmtId="3" fontId="19" fillId="0" borderId="26" xfId="0" applyNumberFormat="1" applyFont="1" applyBorder="1" applyAlignment="1">
      <alignment horizontal="right" vertical="center" wrapText="1"/>
    </xf>
    <xf numFmtId="3" fontId="19" fillId="0" borderId="13" xfId="0" applyNumberFormat="1" applyFont="1" applyBorder="1" applyAlignment="1">
      <alignment horizontal="center" vertical="center" wrapText="1"/>
    </xf>
    <xf numFmtId="3" fontId="19" fillId="0" borderId="26" xfId="0" applyNumberFormat="1" applyFont="1" applyBorder="1" applyAlignment="1">
      <alignment horizontal="center" vertical="center" wrapText="1"/>
    </xf>
    <xf numFmtId="3" fontId="21" fillId="0" borderId="13" xfId="0" applyNumberFormat="1" applyFont="1" applyBorder="1" applyAlignment="1">
      <alignment horizontal="center" vertical="center" wrapText="1"/>
    </xf>
    <xf numFmtId="0" fontId="32" fillId="43" borderId="25" xfId="0" applyFont="1" applyFill="1" applyBorder="1" applyAlignment="1">
      <alignment vertical="center" wrapText="1"/>
    </xf>
    <xf numFmtId="3" fontId="32" fillId="0" borderId="13" xfId="0" applyNumberFormat="1" applyFont="1" applyBorder="1" applyAlignment="1">
      <alignment horizontal="center" vertical="center" wrapText="1"/>
    </xf>
    <xf numFmtId="3" fontId="32" fillId="0" borderId="26" xfId="0" applyNumberFormat="1" applyFont="1" applyBorder="1" applyAlignment="1">
      <alignment horizontal="center" vertical="center" wrapText="1"/>
    </xf>
    <xf numFmtId="0" fontId="32" fillId="0" borderId="0" xfId="0" applyFont="1" applyAlignment="1">
      <alignment vertical="center"/>
    </xf>
    <xf numFmtId="0" fontId="32" fillId="43" borderId="27" xfId="0" applyFont="1" applyFill="1" applyBorder="1" applyAlignment="1">
      <alignment vertical="center" wrapText="1"/>
    </xf>
    <xf numFmtId="3" fontId="32" fillId="0" borderId="28" xfId="0" applyNumberFormat="1" applyFont="1" applyBorder="1" applyAlignment="1">
      <alignment horizontal="center" vertical="center" wrapText="1"/>
    </xf>
    <xf numFmtId="3" fontId="32" fillId="0" borderId="29" xfId="0" applyNumberFormat="1" applyFont="1" applyBorder="1" applyAlignment="1">
      <alignment horizontal="center" vertical="center" wrapText="1"/>
    </xf>
    <xf numFmtId="3" fontId="19" fillId="0" borderId="0" xfId="0" applyNumberFormat="1" applyFont="1" applyAlignment="1">
      <alignment vertical="center"/>
    </xf>
    <xf numFmtId="0" fontId="40" fillId="2" borderId="0" xfId="0" applyFont="1" applyFill="1" applyAlignment="1">
      <alignment vertical="center" wrapText="1"/>
    </xf>
    <xf numFmtId="0" fontId="19" fillId="2" borderId="4" xfId="0" applyFont="1" applyFill="1" applyBorder="1" applyAlignment="1">
      <alignment vertical="center" wrapText="1"/>
    </xf>
    <xf numFmtId="0" fontId="40" fillId="2" borderId="3" xfId="0" applyFont="1" applyFill="1" applyBorder="1" applyAlignment="1">
      <alignment horizontal="center" vertical="center" wrapText="1"/>
    </xf>
    <xf numFmtId="0" fontId="19" fillId="2" borderId="13" xfId="0" applyFont="1" applyFill="1" applyBorder="1" applyAlignment="1">
      <alignment vertical="center" wrapText="1"/>
    </xf>
    <xf numFmtId="0" fontId="19" fillId="2" borderId="0" xfId="0" applyFont="1" applyFill="1" applyAlignment="1">
      <alignment vertical="center" wrapText="1"/>
    </xf>
    <xf numFmtId="164" fontId="19" fillId="2" borderId="0" xfId="0" applyNumberFormat="1" applyFont="1" applyFill="1" applyAlignment="1">
      <alignment horizontal="right" vertical="center" wrapText="1"/>
    </xf>
    <xf numFmtId="10" fontId="19" fillId="2" borderId="0" xfId="0" applyNumberFormat="1" applyFont="1" applyFill="1" applyAlignment="1">
      <alignment horizontal="right" vertical="center" wrapText="1"/>
    </xf>
    <xf numFmtId="169" fontId="19" fillId="2" borderId="0" xfId="0" applyNumberFormat="1" applyFont="1" applyFill="1" applyAlignment="1">
      <alignment horizontal="right" vertical="center" wrapText="1"/>
    </xf>
    <xf numFmtId="3" fontId="19" fillId="2" borderId="0" xfId="0" applyNumberFormat="1" applyFont="1" applyFill="1" applyAlignment="1">
      <alignment horizontal="right" vertical="center" wrapText="1"/>
    </xf>
    <xf numFmtId="164" fontId="19" fillId="2" borderId="0" xfId="0" applyNumberFormat="1" applyFont="1" applyFill="1" applyAlignment="1">
      <alignment vertical="center" wrapText="1"/>
    </xf>
    <xf numFmtId="3" fontId="19" fillId="2" borderId="3" xfId="0" applyNumberFormat="1" applyFont="1" applyFill="1" applyBorder="1" applyAlignment="1">
      <alignment horizontal="right" vertical="center" wrapText="1"/>
    </xf>
    <xf numFmtId="0" fontId="41" fillId="2" borderId="3" xfId="0" applyFont="1" applyFill="1" applyBorder="1" applyAlignment="1">
      <alignment vertical="center" wrapText="1"/>
    </xf>
    <xf numFmtId="0" fontId="19" fillId="2" borderId="0" xfId="0" applyFont="1" applyFill="1" applyAlignment="1">
      <alignment vertical="center"/>
    </xf>
    <xf numFmtId="0" fontId="20" fillId="12" borderId="8" xfId="0" applyFont="1" applyFill="1" applyBorder="1" applyAlignment="1">
      <alignment horizontal="center" vertical="center"/>
    </xf>
    <xf numFmtId="0" fontId="20" fillId="12" borderId="9" xfId="0" applyFont="1" applyFill="1" applyBorder="1" applyAlignment="1">
      <alignment horizontal="center" vertical="center"/>
    </xf>
    <xf numFmtId="0" fontId="21" fillId="17" borderId="10" xfId="0" applyFont="1" applyFill="1" applyBorder="1" applyAlignment="1">
      <alignment horizontal="center" vertical="center"/>
    </xf>
    <xf numFmtId="0" fontId="21" fillId="17" borderId="11" xfId="0" applyFont="1" applyFill="1" applyBorder="1" applyAlignment="1">
      <alignment horizontal="center" vertical="center"/>
    </xf>
    <xf numFmtId="0" fontId="35" fillId="0" borderId="0" xfId="0" applyFont="1" applyAlignment="1">
      <alignment vertical="center"/>
    </xf>
    <xf numFmtId="0" fontId="20" fillId="36" borderId="3" xfId="0" applyFont="1" applyFill="1" applyBorder="1" applyAlignment="1">
      <alignment horizontal="center" vertical="center"/>
    </xf>
    <xf numFmtId="0" fontId="36" fillId="0" borderId="0" xfId="0" applyFont="1" applyAlignment="1">
      <alignment vertical="center"/>
    </xf>
    <xf numFmtId="165" fontId="21" fillId="0" borderId="0" xfId="0" applyNumberFormat="1" applyFont="1" applyAlignment="1">
      <alignment vertical="center"/>
    </xf>
    <xf numFmtId="0" fontId="34" fillId="0" borderId="0" xfId="0" applyFont="1" applyAlignment="1">
      <alignment horizontal="left" vertical="center"/>
    </xf>
    <xf numFmtId="164" fontId="31" fillId="0" borderId="0" xfId="0" applyNumberFormat="1" applyFont="1" applyAlignment="1">
      <alignment vertical="center"/>
    </xf>
    <xf numFmtId="168" fontId="31" fillId="0" borderId="0" xfId="0" applyNumberFormat="1" applyFont="1" applyAlignment="1">
      <alignment vertical="center"/>
    </xf>
    <xf numFmtId="0" fontId="31" fillId="0" borderId="0" xfId="0" applyFont="1" applyAlignment="1">
      <alignment vertical="center"/>
    </xf>
    <xf numFmtId="0" fontId="37" fillId="0" borderId="0" xfId="0" applyFont="1" applyAlignment="1">
      <alignment vertical="center"/>
    </xf>
    <xf numFmtId="0" fontId="21" fillId="0" borderId="0" xfId="0" applyFont="1" applyAlignment="1">
      <alignment horizontal="left" vertical="center"/>
    </xf>
    <xf numFmtId="165" fontId="19" fillId="0" borderId="0" xfId="0" applyNumberFormat="1" applyFont="1" applyAlignment="1">
      <alignment vertical="center"/>
    </xf>
    <xf numFmtId="0" fontId="19" fillId="0" borderId="0" xfId="0" applyFont="1" applyAlignment="1">
      <alignment horizontal="left" vertical="center"/>
    </xf>
    <xf numFmtId="0" fontId="34" fillId="13" borderId="0" xfId="0" applyFont="1" applyFill="1" applyAlignment="1">
      <alignment horizontal="left" vertical="center"/>
    </xf>
    <xf numFmtId="164" fontId="34" fillId="13" borderId="0" xfId="0" applyNumberFormat="1" applyFont="1" applyFill="1" applyAlignment="1">
      <alignment vertical="center"/>
    </xf>
    <xf numFmtId="9" fontId="34" fillId="13" borderId="0" xfId="0" applyNumberFormat="1" applyFont="1" applyFill="1" applyAlignment="1">
      <alignment vertical="center"/>
    </xf>
    <xf numFmtId="10" fontId="34" fillId="13" borderId="0" xfId="0" applyNumberFormat="1" applyFont="1" applyFill="1" applyAlignment="1">
      <alignment vertical="center"/>
    </xf>
    <xf numFmtId="168" fontId="34" fillId="13" borderId="0" xfId="0" applyNumberFormat="1" applyFont="1" applyFill="1" applyAlignment="1">
      <alignment vertical="center"/>
    </xf>
    <xf numFmtId="0" fontId="42" fillId="0" borderId="0" xfId="0" applyFont="1" applyAlignment="1">
      <alignment vertical="center"/>
    </xf>
    <xf numFmtId="168" fontId="19" fillId="0" borderId="0" xfId="0" applyNumberFormat="1" applyFont="1" applyAlignment="1">
      <alignment vertical="center"/>
    </xf>
    <xf numFmtId="10" fontId="19" fillId="0" borderId="0" xfId="0" applyNumberFormat="1" applyFont="1" applyAlignment="1">
      <alignment vertical="center"/>
    </xf>
    <xf numFmtId="9" fontId="34" fillId="0" borderId="0" xfId="0" applyNumberFormat="1" applyFont="1" applyAlignment="1">
      <alignment vertical="center"/>
    </xf>
    <xf numFmtId="164" fontId="19" fillId="13" borderId="0" xfId="0" applyNumberFormat="1" applyFont="1" applyFill="1" applyAlignment="1">
      <alignment vertical="center"/>
    </xf>
    <xf numFmtId="9" fontId="19" fillId="13" borderId="0" xfId="0" applyNumberFormat="1" applyFont="1" applyFill="1" applyAlignment="1">
      <alignment vertical="center"/>
    </xf>
    <xf numFmtId="9" fontId="19" fillId="0" borderId="0" xfId="0" applyNumberFormat="1" applyFont="1" applyAlignment="1">
      <alignment vertical="center"/>
    </xf>
    <xf numFmtId="9" fontId="31" fillId="0" borderId="0" xfId="0" applyNumberFormat="1" applyFont="1" applyAlignment="1">
      <alignment vertical="center"/>
    </xf>
    <xf numFmtId="165" fontId="34" fillId="13" borderId="0" xfId="0" applyNumberFormat="1" applyFont="1" applyFill="1" applyAlignment="1">
      <alignment vertical="center"/>
    </xf>
    <xf numFmtId="165" fontId="34" fillId="0" borderId="0" xfId="0" applyNumberFormat="1" applyFont="1" applyAlignment="1">
      <alignment vertical="center"/>
    </xf>
    <xf numFmtId="0" fontId="20" fillId="35" borderId="3" xfId="0" applyFont="1" applyFill="1" applyBorder="1" applyAlignment="1">
      <alignment horizontal="center" vertical="center"/>
    </xf>
    <xf numFmtId="0" fontId="20" fillId="38" borderId="3" xfId="0" applyFont="1" applyFill="1" applyBorder="1" applyAlignment="1">
      <alignment horizontal="center" vertical="center"/>
    </xf>
    <xf numFmtId="169" fontId="19" fillId="0" borderId="0" xfId="0" applyNumberFormat="1" applyFont="1" applyAlignment="1">
      <alignment vertical="center"/>
    </xf>
    <xf numFmtId="0" fontId="34" fillId="13" borderId="0" xfId="0" applyFont="1" applyFill="1" applyAlignment="1">
      <alignment vertical="center"/>
    </xf>
    <xf numFmtId="43" fontId="34" fillId="0" borderId="0" xfId="0" applyNumberFormat="1" applyFont="1" applyAlignment="1">
      <alignment vertical="center"/>
    </xf>
    <xf numFmtId="0" fontId="20" fillId="40" borderId="0" xfId="0" applyFont="1" applyFill="1" applyAlignment="1">
      <alignment horizontal="left" vertical="center"/>
    </xf>
    <xf numFmtId="164" fontId="20" fillId="40" borderId="0" xfId="0" applyNumberFormat="1" applyFont="1" applyFill="1" applyAlignment="1">
      <alignment vertical="center"/>
    </xf>
    <xf numFmtId="165" fontId="20" fillId="40" borderId="0" xfId="0" applyNumberFormat="1" applyFont="1" applyFill="1" applyAlignment="1">
      <alignment vertical="center"/>
    </xf>
    <xf numFmtId="0" fontId="43" fillId="40" borderId="0" xfId="0" applyFont="1" applyFill="1" applyAlignment="1">
      <alignment horizontal="left" vertical="center"/>
    </xf>
    <xf numFmtId="164" fontId="43" fillId="40" borderId="0" xfId="0" applyNumberFormat="1" applyFont="1" applyFill="1" applyAlignment="1">
      <alignment vertical="center"/>
    </xf>
    <xf numFmtId="9" fontId="43" fillId="40" borderId="0" xfId="0" applyNumberFormat="1" applyFont="1" applyFill="1" applyAlignment="1">
      <alignment vertical="center"/>
    </xf>
    <xf numFmtId="0" fontId="20" fillId="33" borderId="3" xfId="0" applyFont="1" applyFill="1" applyBorder="1" applyAlignment="1">
      <alignment horizontal="center" vertical="center"/>
    </xf>
    <xf numFmtId="0" fontId="20" fillId="32" borderId="3" xfId="0" applyFont="1" applyFill="1" applyBorder="1" applyAlignment="1">
      <alignment horizontal="center" vertical="center"/>
    </xf>
    <xf numFmtId="0" fontId="20" fillId="34" borderId="3" xfId="0" applyFont="1" applyFill="1" applyBorder="1" applyAlignment="1">
      <alignment horizontal="center" vertical="center"/>
    </xf>
    <xf numFmtId="0" fontId="20" fillId="31" borderId="3" xfId="0" applyFont="1" applyFill="1" applyBorder="1" applyAlignment="1">
      <alignment horizontal="center" vertical="center"/>
    </xf>
    <xf numFmtId="0" fontId="20" fillId="37" borderId="3" xfId="0" applyFont="1" applyFill="1" applyBorder="1" applyAlignment="1">
      <alignment horizontal="center" vertical="center"/>
    </xf>
    <xf numFmtId="0" fontId="20" fillId="39" borderId="3" xfId="0" applyFont="1" applyFill="1" applyBorder="1" applyAlignment="1">
      <alignment horizontal="center" vertical="center"/>
    </xf>
    <xf numFmtId="0" fontId="20" fillId="48" borderId="3" xfId="0" applyFont="1" applyFill="1" applyBorder="1" applyAlignment="1">
      <alignment horizontal="center" vertical="center"/>
    </xf>
    <xf numFmtId="0" fontId="21" fillId="49" borderId="3" xfId="0" applyFont="1" applyFill="1" applyBorder="1" applyAlignment="1">
      <alignment horizontal="center" vertical="center"/>
    </xf>
    <xf numFmtId="173" fontId="30" fillId="2" borderId="3" xfId="0" applyNumberFormat="1" applyFont="1" applyFill="1" applyBorder="1" applyAlignment="1">
      <alignment horizontal="center" vertical="center"/>
    </xf>
    <xf numFmtId="0" fontId="31" fillId="2" borderId="3" xfId="0" applyFont="1" applyFill="1" applyBorder="1" applyAlignment="1">
      <alignment vertical="center"/>
    </xf>
    <xf numFmtId="173" fontId="19" fillId="2" borderId="3" xfId="0" applyNumberFormat="1" applyFont="1" applyFill="1" applyBorder="1" applyAlignment="1">
      <alignment vertical="center"/>
    </xf>
    <xf numFmtId="0" fontId="20" fillId="50" borderId="21" xfId="0" applyFont="1" applyFill="1" applyBorder="1" applyAlignment="1">
      <alignment horizontal="center" vertical="center"/>
    </xf>
    <xf numFmtId="0" fontId="21" fillId="2" borderId="13" xfId="0" applyFont="1" applyFill="1" applyBorder="1" applyAlignment="1">
      <alignment vertical="center"/>
    </xf>
    <xf numFmtId="173" fontId="30" fillId="2" borderId="13" xfId="0" applyNumberFormat="1" applyFont="1" applyFill="1" applyBorder="1" applyAlignment="1">
      <alignment horizontal="center" vertical="center"/>
    </xf>
    <xf numFmtId="173" fontId="21" fillId="46" borderId="3" xfId="0" applyNumberFormat="1" applyFont="1" applyFill="1" applyBorder="1" applyAlignment="1">
      <alignment horizontal="right" vertical="center"/>
    </xf>
    <xf numFmtId="173" fontId="19" fillId="46" borderId="3" xfId="0" applyNumberFormat="1" applyFont="1" applyFill="1" applyBorder="1" applyAlignment="1">
      <alignment vertical="center"/>
    </xf>
    <xf numFmtId="173" fontId="19" fillId="46" borderId="3" xfId="0" applyNumberFormat="1" applyFont="1" applyFill="1" applyBorder="1" applyAlignment="1">
      <alignment horizontal="right" vertical="center"/>
    </xf>
    <xf numFmtId="173" fontId="21" fillId="46" borderId="13" xfId="0" applyNumberFormat="1" applyFont="1" applyFill="1" applyBorder="1" applyAlignment="1">
      <alignment horizontal="right" vertical="center"/>
    </xf>
    <xf numFmtId="173" fontId="21" fillId="46" borderId="3" xfId="0" applyNumberFormat="1" applyFont="1" applyFill="1" applyBorder="1" applyAlignment="1">
      <alignment vertical="center"/>
    </xf>
    <xf numFmtId="0" fontId="19" fillId="47" borderId="3" xfId="0" applyFont="1" applyFill="1" applyBorder="1" applyAlignment="1">
      <alignment vertical="center"/>
    </xf>
    <xf numFmtId="173" fontId="21" fillId="47" borderId="3" xfId="0" applyNumberFormat="1" applyFont="1" applyFill="1" applyBorder="1" applyAlignment="1">
      <alignment horizontal="right" vertical="center"/>
    </xf>
    <xf numFmtId="173" fontId="19" fillId="47" borderId="3" xfId="0" applyNumberFormat="1" applyFont="1" applyFill="1" applyBorder="1" applyAlignment="1">
      <alignment vertical="center"/>
    </xf>
    <xf numFmtId="173" fontId="19" fillId="47" borderId="3" xfId="0" applyNumberFormat="1" applyFont="1" applyFill="1" applyBorder="1" applyAlignment="1">
      <alignment horizontal="right" vertical="center"/>
    </xf>
    <xf numFmtId="173" fontId="30" fillId="47" borderId="3" xfId="0" applyNumberFormat="1" applyFont="1" applyFill="1" applyBorder="1" applyAlignment="1">
      <alignment horizontal="center" vertical="center"/>
    </xf>
    <xf numFmtId="173" fontId="21" fillId="47" borderId="13" xfId="0" applyNumberFormat="1" applyFont="1" applyFill="1" applyBorder="1" applyAlignment="1">
      <alignment horizontal="right" vertical="center"/>
    </xf>
    <xf numFmtId="0" fontId="30" fillId="2" borderId="3" xfId="0" applyFont="1" applyFill="1" applyBorder="1" applyAlignment="1">
      <alignment vertical="center"/>
    </xf>
    <xf numFmtId="173" fontId="30" fillId="2" borderId="3" xfId="0" applyNumberFormat="1" applyFont="1" applyFill="1" applyBorder="1" applyAlignment="1">
      <alignment vertical="center"/>
    </xf>
    <xf numFmtId="0" fontId="30" fillId="10" borderId="0" xfId="0" applyFont="1" applyFill="1" applyAlignment="1">
      <alignment vertical="center"/>
    </xf>
    <xf numFmtId="0" fontId="30" fillId="19" borderId="13" xfId="0" applyFont="1" applyFill="1" applyBorder="1" applyAlignment="1">
      <alignment horizontal="center" vertical="center"/>
    </xf>
    <xf numFmtId="0" fontId="30" fillId="0" borderId="0" xfId="0" applyFont="1" applyAlignment="1">
      <alignment horizontal="center" vertical="center"/>
    </xf>
    <xf numFmtId="0" fontId="30" fillId="2" borderId="3" xfId="0" applyFont="1" applyFill="1" applyBorder="1" applyAlignment="1">
      <alignment horizontal="center" vertical="center"/>
    </xf>
    <xf numFmtId="0" fontId="30" fillId="19" borderId="3" xfId="0" applyFont="1" applyFill="1" applyBorder="1" applyAlignment="1">
      <alignment horizontal="center" vertical="center"/>
    </xf>
    <xf numFmtId="0" fontId="30" fillId="0" borderId="0" xfId="0" applyFont="1" applyAlignment="1">
      <alignment horizontal="center" vertical="center" wrapText="1"/>
    </xf>
    <xf numFmtId="0" fontId="45" fillId="2" borderId="3" xfId="0" applyFont="1" applyFill="1" applyBorder="1" applyAlignment="1">
      <alignment horizontal="center" vertical="center" wrapText="1"/>
    </xf>
    <xf numFmtId="0" fontId="30" fillId="19" borderId="13" xfId="0" applyFont="1" applyFill="1" applyBorder="1" applyAlignment="1">
      <alignment horizontal="center" vertical="center" wrapText="1"/>
    </xf>
    <xf numFmtId="0" fontId="30" fillId="3" borderId="13" xfId="0" applyFont="1" applyFill="1" applyBorder="1" applyAlignment="1">
      <alignment horizontal="center" vertical="center" wrapText="1"/>
    </xf>
    <xf numFmtId="0" fontId="45" fillId="19" borderId="3" xfId="0" applyFont="1" applyFill="1" applyBorder="1" applyAlignment="1">
      <alignment horizontal="center" vertical="center"/>
    </xf>
    <xf numFmtId="0" fontId="20" fillId="30" borderId="21" xfId="0" applyFont="1" applyFill="1" applyBorder="1" applyAlignment="1">
      <alignment horizontal="center" vertical="center"/>
    </xf>
    <xf numFmtId="0" fontId="20" fillId="30" borderId="21" xfId="0" applyFont="1" applyFill="1" applyBorder="1" applyAlignment="1">
      <alignment horizontal="center" vertical="center" wrapText="1"/>
    </xf>
    <xf numFmtId="0" fontId="4" fillId="10" borderId="13" xfId="0" applyFont="1" applyFill="1" applyBorder="1" applyAlignment="1">
      <alignment vertical="center"/>
    </xf>
    <xf numFmtId="0" fontId="18" fillId="10" borderId="13" xfId="0" applyFont="1" applyFill="1" applyBorder="1" applyAlignment="1">
      <alignment vertical="center"/>
    </xf>
    <xf numFmtId="0" fontId="3" fillId="10" borderId="13" xfId="0" applyFont="1" applyFill="1" applyBorder="1" applyAlignment="1">
      <alignment vertical="center"/>
    </xf>
    <xf numFmtId="0" fontId="0" fillId="10" borderId="13" xfId="0" applyFill="1" applyBorder="1" applyAlignment="1">
      <alignment vertical="center"/>
    </xf>
    <xf numFmtId="0" fontId="3" fillId="10" borderId="13" xfId="0" applyFont="1" applyFill="1" applyBorder="1" applyAlignment="1">
      <alignment horizontal="left" vertical="center"/>
    </xf>
    <xf numFmtId="0" fontId="3" fillId="2" borderId="13" xfId="0" applyFont="1" applyFill="1" applyBorder="1" applyAlignment="1">
      <alignment vertical="center"/>
    </xf>
    <xf numFmtId="4" fontId="3" fillId="10" borderId="13" xfId="0" applyNumberFormat="1" applyFont="1" applyFill="1" applyBorder="1" applyAlignment="1">
      <alignment vertical="center"/>
    </xf>
    <xf numFmtId="0" fontId="3" fillId="10" borderId="23" xfId="0" applyFont="1" applyFill="1" applyBorder="1" applyAlignment="1">
      <alignment vertical="center"/>
    </xf>
    <xf numFmtId="0" fontId="3" fillId="10" borderId="24" xfId="0" applyFont="1" applyFill="1" applyBorder="1" applyAlignment="1">
      <alignment vertical="center"/>
    </xf>
    <xf numFmtId="0" fontId="3" fillId="10" borderId="25" xfId="0" applyFont="1" applyFill="1" applyBorder="1" applyAlignment="1">
      <alignment vertical="center" wrapText="1"/>
    </xf>
    <xf numFmtId="0" fontId="3" fillId="10" borderId="26" xfId="0" applyFont="1" applyFill="1" applyBorder="1" applyAlignment="1">
      <alignment vertical="center"/>
    </xf>
    <xf numFmtId="0" fontId="10" fillId="10" borderId="27" xfId="0" applyFont="1" applyFill="1" applyBorder="1" applyAlignment="1">
      <alignment vertical="center" wrapText="1"/>
    </xf>
    <xf numFmtId="0" fontId="10" fillId="10" borderId="13" xfId="0" applyFont="1" applyFill="1" applyBorder="1" applyAlignment="1">
      <alignment vertical="center"/>
    </xf>
    <xf numFmtId="0" fontId="46" fillId="10" borderId="13" xfId="0" applyFont="1" applyFill="1" applyBorder="1" applyAlignment="1">
      <alignment vertical="center"/>
    </xf>
    <xf numFmtId="0" fontId="16" fillId="51" borderId="21" xfId="0" applyFont="1" applyFill="1" applyBorder="1" applyAlignment="1">
      <alignment horizontal="center" vertical="center" wrapText="1"/>
    </xf>
    <xf numFmtId="0" fontId="3" fillId="10" borderId="22" xfId="0" applyFont="1" applyFill="1" applyBorder="1" applyAlignment="1">
      <alignment vertical="center" wrapText="1"/>
    </xf>
    <xf numFmtId="0" fontId="3" fillId="10" borderId="25" xfId="0" applyFont="1" applyFill="1" applyBorder="1" applyAlignment="1">
      <alignment horizontal="left" vertical="center"/>
    </xf>
    <xf numFmtId="0" fontId="3" fillId="2" borderId="25" xfId="0" applyFont="1" applyFill="1" applyBorder="1" applyAlignment="1">
      <alignment horizontal="left" vertical="center"/>
    </xf>
    <xf numFmtId="0" fontId="10" fillId="10" borderId="27" xfId="0" applyFont="1" applyFill="1" applyBorder="1" applyAlignment="1">
      <alignment horizontal="left" vertical="center"/>
    </xf>
    <xf numFmtId="0" fontId="4" fillId="10" borderId="25" xfId="0" applyFont="1" applyFill="1" applyBorder="1" applyAlignment="1">
      <alignment vertical="center" wrapText="1"/>
    </xf>
    <xf numFmtId="0" fontId="16" fillId="11" borderId="21" xfId="0" applyFont="1" applyFill="1" applyBorder="1" applyAlignment="1">
      <alignment horizontal="center" vertical="center"/>
    </xf>
    <xf numFmtId="164" fontId="3" fillId="44" borderId="39" xfId="0" applyNumberFormat="1" applyFont="1" applyFill="1" applyBorder="1" applyAlignment="1">
      <alignment vertical="center"/>
    </xf>
    <xf numFmtId="43" fontId="3" fillId="45" borderId="39" xfId="0" applyNumberFormat="1" applyFont="1" applyFill="1" applyBorder="1" applyAlignment="1">
      <alignment vertical="center"/>
    </xf>
    <xf numFmtId="43" fontId="3" fillId="45" borderId="40" xfId="0" applyNumberFormat="1" applyFont="1" applyFill="1" applyBorder="1" applyAlignment="1">
      <alignment vertical="center"/>
    </xf>
    <xf numFmtId="164" fontId="4" fillId="44" borderId="13" xfId="0" applyNumberFormat="1" applyFont="1" applyFill="1" applyBorder="1" applyAlignment="1">
      <alignment vertical="center"/>
    </xf>
    <xf numFmtId="164" fontId="3" fillId="44" borderId="13" xfId="0" applyNumberFormat="1" applyFont="1" applyFill="1" applyBorder="1" applyAlignment="1">
      <alignment vertical="center"/>
    </xf>
    <xf numFmtId="168" fontId="10" fillId="44" borderId="28" xfId="0" applyNumberFormat="1" applyFont="1" applyFill="1" applyBorder="1" applyAlignment="1">
      <alignment vertical="center"/>
    </xf>
    <xf numFmtId="164" fontId="4" fillId="45" borderId="13" xfId="0" applyNumberFormat="1" applyFont="1" applyFill="1" applyBorder="1" applyAlignment="1">
      <alignment vertical="center"/>
    </xf>
    <xf numFmtId="164" fontId="4" fillId="45" borderId="26" xfId="0" applyNumberFormat="1" applyFont="1" applyFill="1" applyBorder="1" applyAlignment="1">
      <alignment vertical="center"/>
    </xf>
    <xf numFmtId="164" fontId="3" fillId="45" borderId="13" xfId="0" applyNumberFormat="1" applyFont="1" applyFill="1" applyBorder="1" applyAlignment="1">
      <alignment vertical="center"/>
    </xf>
    <xf numFmtId="164" fontId="3" fillId="45" borderId="26" xfId="0" applyNumberFormat="1" applyFont="1" applyFill="1" applyBorder="1" applyAlignment="1">
      <alignment vertical="center"/>
    </xf>
    <xf numFmtId="168" fontId="10" fillId="45" borderId="28" xfId="0" applyNumberFormat="1" applyFont="1" applyFill="1" applyBorder="1" applyAlignment="1">
      <alignment vertical="center"/>
    </xf>
    <xf numFmtId="168" fontId="10" fillId="45" borderId="29" xfId="0" applyNumberFormat="1" applyFont="1" applyFill="1" applyBorder="1" applyAlignment="1">
      <alignment vertical="center"/>
    </xf>
    <xf numFmtId="164" fontId="3" fillId="44" borderId="23" xfId="0" applyNumberFormat="1" applyFont="1" applyFill="1" applyBorder="1" applyAlignment="1">
      <alignment vertical="center"/>
    </xf>
    <xf numFmtId="0" fontId="3" fillId="44" borderId="13" xfId="0" applyFont="1" applyFill="1" applyBorder="1" applyAlignment="1">
      <alignment vertical="center"/>
    </xf>
    <xf numFmtId="168" fontId="3" fillId="44" borderId="13" xfId="0" applyNumberFormat="1" applyFont="1" applyFill="1" applyBorder="1" applyAlignment="1">
      <alignment vertical="center"/>
    </xf>
    <xf numFmtId="0" fontId="3" fillId="46" borderId="13" xfId="0" applyFont="1" applyFill="1" applyBorder="1" applyAlignment="1">
      <alignment vertical="center"/>
    </xf>
    <xf numFmtId="168" fontId="3" fillId="46" borderId="13" xfId="0" applyNumberFormat="1" applyFont="1" applyFill="1" applyBorder="1" applyAlignment="1">
      <alignment vertical="center"/>
    </xf>
    <xf numFmtId="10" fontId="3" fillId="44" borderId="13" xfId="0" applyNumberFormat="1" applyFont="1" applyFill="1" applyBorder="1" applyAlignment="1">
      <alignment vertical="center"/>
    </xf>
    <xf numFmtId="164" fontId="3" fillId="45" borderId="23" xfId="0" applyNumberFormat="1" applyFont="1" applyFill="1" applyBorder="1" applyAlignment="1">
      <alignment vertical="center"/>
    </xf>
    <xf numFmtId="164" fontId="3" fillId="45" borderId="24" xfId="0" applyNumberFormat="1" applyFont="1" applyFill="1" applyBorder="1" applyAlignment="1">
      <alignment vertical="center"/>
    </xf>
    <xf numFmtId="9" fontId="3" fillId="45" borderId="13" xfId="0" applyNumberFormat="1" applyFont="1" applyFill="1" applyBorder="1" applyAlignment="1">
      <alignment vertical="center"/>
    </xf>
    <xf numFmtId="9" fontId="3" fillId="45" borderId="26" xfId="0" applyNumberFormat="1" applyFont="1" applyFill="1" applyBorder="1" applyAlignment="1">
      <alignment vertical="center"/>
    </xf>
    <xf numFmtId="168" fontId="3" fillId="47" borderId="13" xfId="0" applyNumberFormat="1" applyFont="1" applyFill="1" applyBorder="1" applyAlignment="1">
      <alignment vertical="center"/>
    </xf>
    <xf numFmtId="168" fontId="3" fillId="47" borderId="26" xfId="0" applyNumberFormat="1" applyFont="1" applyFill="1" applyBorder="1" applyAlignment="1">
      <alignment vertical="center"/>
    </xf>
    <xf numFmtId="10" fontId="3" fillId="45" borderId="13" xfId="0" applyNumberFormat="1" applyFont="1" applyFill="1" applyBorder="1" applyAlignment="1">
      <alignment vertical="center"/>
    </xf>
    <xf numFmtId="10" fontId="3" fillId="45" borderId="26" xfId="0" applyNumberFormat="1" applyFont="1" applyFill="1" applyBorder="1" applyAlignment="1">
      <alignment vertical="center"/>
    </xf>
    <xf numFmtId="0" fontId="20" fillId="53" borderId="21" xfId="0" applyFont="1" applyFill="1" applyBorder="1" applyAlignment="1">
      <alignment horizontal="center" vertical="center" wrapText="1"/>
    </xf>
    <xf numFmtId="0" fontId="19" fillId="10" borderId="13" xfId="0" applyFont="1" applyFill="1" applyBorder="1" applyAlignment="1">
      <alignment vertical="center"/>
    </xf>
    <xf numFmtId="164" fontId="31" fillId="10" borderId="0" xfId="0" applyNumberFormat="1" applyFont="1" applyFill="1" applyAlignment="1">
      <alignment vertical="center"/>
    </xf>
    <xf numFmtId="0" fontId="21" fillId="20" borderId="3" xfId="0" applyFont="1" applyFill="1" applyBorder="1" applyAlignment="1">
      <alignment vertical="center" wrapText="1"/>
    </xf>
    <xf numFmtId="0" fontId="19" fillId="20" borderId="3" xfId="0" applyFont="1" applyFill="1" applyBorder="1" applyAlignment="1">
      <alignment vertical="center" wrapText="1"/>
    </xf>
    <xf numFmtId="0" fontId="19" fillId="20" borderId="17" xfId="0" applyFont="1" applyFill="1" applyBorder="1" applyAlignment="1">
      <alignment vertical="center" wrapText="1"/>
    </xf>
    <xf numFmtId="8" fontId="19" fillId="10" borderId="0" xfId="0" applyNumberFormat="1" applyFont="1" applyFill="1" applyAlignment="1">
      <alignment vertical="center"/>
    </xf>
    <xf numFmtId="0" fontId="19" fillId="10" borderId="0" xfId="0" applyFont="1" applyFill="1" applyAlignment="1">
      <alignment vertical="center" wrapText="1"/>
    </xf>
    <xf numFmtId="0" fontId="19" fillId="10" borderId="16" xfId="0" applyFont="1" applyFill="1" applyBorder="1" applyAlignment="1">
      <alignment vertical="center" wrapText="1"/>
    </xf>
    <xf numFmtId="0" fontId="30" fillId="20" borderId="21" xfId="0" applyFont="1" applyFill="1" applyBorder="1" applyAlignment="1">
      <alignment horizontal="center" vertical="center" wrapText="1"/>
    </xf>
    <xf numFmtId="0" fontId="30" fillId="10" borderId="15" xfId="0" applyFont="1" applyFill="1" applyBorder="1" applyAlignment="1">
      <alignment horizontal="center" vertical="center" wrapText="1"/>
    </xf>
    <xf numFmtId="0" fontId="31" fillId="20" borderId="3" xfId="0" applyFont="1" applyFill="1" applyBorder="1" applyAlignment="1">
      <alignment horizontal="left" vertical="center" wrapText="1" indent="2"/>
    </xf>
    <xf numFmtId="0" fontId="19" fillId="20" borderId="3" xfId="0" applyFont="1" applyFill="1" applyBorder="1" applyAlignment="1">
      <alignment horizontal="left" vertical="center" wrapText="1" indent="2"/>
    </xf>
    <xf numFmtId="0" fontId="19" fillId="10" borderId="0" xfId="0" applyFont="1" applyFill="1" applyAlignment="1">
      <alignment horizontal="left" vertical="center" indent="2"/>
    </xf>
    <xf numFmtId="164" fontId="31" fillId="44" borderId="0" xfId="0" applyNumberFormat="1" applyFont="1" applyFill="1" applyAlignment="1">
      <alignment vertical="center"/>
    </xf>
    <xf numFmtId="165" fontId="31" fillId="44" borderId="0" xfId="0" applyNumberFormat="1" applyFont="1" applyFill="1" applyAlignment="1">
      <alignment vertical="center"/>
    </xf>
    <xf numFmtId="43" fontId="19" fillId="44" borderId="0" xfId="0" applyNumberFormat="1" applyFont="1" applyFill="1" applyAlignment="1">
      <alignment vertical="center"/>
    </xf>
    <xf numFmtId="43" fontId="31" fillId="44" borderId="0" xfId="0" applyNumberFormat="1" applyFont="1" applyFill="1" applyAlignment="1">
      <alignment vertical="center"/>
    </xf>
    <xf numFmtId="0" fontId="44" fillId="54" borderId="3" xfId="0" applyFont="1" applyFill="1" applyBorder="1" applyAlignment="1">
      <alignment vertical="center"/>
    </xf>
    <xf numFmtId="175" fontId="19" fillId="44" borderId="0" xfId="0" applyNumberFormat="1" applyFont="1" applyFill="1" applyAlignment="1">
      <alignment vertical="center"/>
    </xf>
    <xf numFmtId="164" fontId="31" fillId="45" borderId="0" xfId="0" applyNumberFormat="1" applyFont="1" applyFill="1" applyAlignment="1">
      <alignment vertical="center"/>
    </xf>
    <xf numFmtId="43" fontId="31" fillId="45" borderId="0" xfId="0" applyNumberFormat="1" applyFont="1" applyFill="1" applyAlignment="1">
      <alignment vertical="center"/>
    </xf>
    <xf numFmtId="0" fontId="21" fillId="45" borderId="0" xfId="0" applyFont="1" applyFill="1" applyAlignment="1">
      <alignment vertical="center"/>
    </xf>
    <xf numFmtId="174" fontId="19" fillId="45" borderId="0" xfId="0" applyNumberFormat="1" applyFont="1" applyFill="1" applyAlignment="1">
      <alignment vertical="center"/>
    </xf>
    <xf numFmtId="175" fontId="19" fillId="45" borderId="0" xfId="0" applyNumberFormat="1" applyFont="1" applyFill="1" applyAlignment="1">
      <alignment vertical="center"/>
    </xf>
    <xf numFmtId="0" fontId="21" fillId="2" borderId="13" xfId="0" applyFont="1" applyFill="1" applyBorder="1" applyAlignment="1">
      <alignment vertical="center" wrapText="1"/>
    </xf>
    <xf numFmtId="0" fontId="31" fillId="2" borderId="3" xfId="0" applyFont="1" applyFill="1" applyBorder="1" applyAlignment="1">
      <alignment vertical="center" wrapText="1"/>
    </xf>
    <xf numFmtId="0" fontId="19" fillId="0" borderId="0" xfId="0" applyFont="1" applyAlignment="1">
      <alignment horizontal="center" vertical="center"/>
    </xf>
    <xf numFmtId="0" fontId="19" fillId="2" borderId="13" xfId="0" applyFont="1" applyFill="1" applyBorder="1" applyAlignment="1">
      <alignment vertical="center"/>
    </xf>
    <xf numFmtId="0" fontId="19" fillId="20" borderId="13" xfId="0" applyFont="1" applyFill="1" applyBorder="1" applyAlignment="1">
      <alignment vertical="center" wrapText="1"/>
    </xf>
    <xf numFmtId="0" fontId="21" fillId="17" borderId="3" xfId="0" applyFont="1" applyFill="1" applyBorder="1" applyAlignment="1">
      <alignment horizontal="center" vertical="center"/>
    </xf>
    <xf numFmtId="0" fontId="20" fillId="24" borderId="18" xfId="0" applyFont="1" applyFill="1" applyBorder="1" applyAlignment="1">
      <alignment horizontal="center" vertical="center"/>
    </xf>
    <xf numFmtId="0" fontId="19" fillId="10" borderId="13" xfId="0" applyFont="1" applyFill="1" applyBorder="1" applyAlignment="1">
      <alignment vertical="center" wrapText="1"/>
    </xf>
    <xf numFmtId="0" fontId="20" fillId="55" borderId="22" xfId="0" applyFont="1" applyFill="1" applyBorder="1" applyAlignment="1">
      <alignment horizontal="center" vertical="center" wrapText="1"/>
    </xf>
    <xf numFmtId="0" fontId="19" fillId="10" borderId="23" xfId="0" applyFont="1" applyFill="1" applyBorder="1" applyAlignment="1">
      <alignment vertical="center"/>
    </xf>
    <xf numFmtId="43" fontId="19" fillId="10" borderId="23" xfId="0" applyNumberFormat="1" applyFont="1" applyFill="1" applyBorder="1" applyAlignment="1">
      <alignment vertical="center"/>
    </xf>
    <xf numFmtId="43" fontId="19" fillId="10" borderId="24" xfId="0" applyNumberFormat="1" applyFont="1" applyFill="1" applyBorder="1" applyAlignment="1">
      <alignment vertical="center"/>
    </xf>
    <xf numFmtId="0" fontId="21" fillId="10" borderId="25" xfId="0" applyFont="1" applyFill="1" applyBorder="1" applyAlignment="1">
      <alignment vertical="center" wrapText="1"/>
    </xf>
    <xf numFmtId="0" fontId="19" fillId="10" borderId="25" xfId="0" applyFont="1" applyFill="1" applyBorder="1" applyAlignment="1">
      <alignment vertical="center" wrapText="1"/>
    </xf>
    <xf numFmtId="0" fontId="21" fillId="20" borderId="13" xfId="0" applyFont="1" applyFill="1" applyBorder="1" applyAlignment="1">
      <alignment vertical="center" wrapText="1"/>
    </xf>
    <xf numFmtId="164" fontId="19" fillId="10" borderId="23" xfId="0" applyNumberFormat="1" applyFont="1" applyFill="1" applyBorder="1" applyAlignment="1">
      <alignment vertical="center"/>
    </xf>
    <xf numFmtId="164" fontId="19" fillId="10" borderId="24" xfId="0" applyNumberFormat="1" applyFont="1" applyFill="1" applyBorder="1" applyAlignment="1">
      <alignment vertical="center"/>
    </xf>
    <xf numFmtId="0" fontId="21" fillId="20" borderId="25" xfId="0" applyFont="1" applyFill="1" applyBorder="1" applyAlignment="1">
      <alignment vertical="center" wrapText="1"/>
    </xf>
    <xf numFmtId="0" fontId="31" fillId="20" borderId="27" xfId="0" applyFont="1" applyFill="1" applyBorder="1" applyAlignment="1">
      <alignment vertical="center" wrapText="1"/>
    </xf>
    <xf numFmtId="164" fontId="21" fillId="44" borderId="13" xfId="0" applyNumberFormat="1" applyFont="1" applyFill="1" applyBorder="1" applyAlignment="1">
      <alignment vertical="center"/>
    </xf>
    <xf numFmtId="164" fontId="19" fillId="44" borderId="13" xfId="0" applyNumberFormat="1" applyFont="1" applyFill="1" applyBorder="1" applyAlignment="1">
      <alignment vertical="center"/>
    </xf>
    <xf numFmtId="165" fontId="21" fillId="44" borderId="13" xfId="0" applyNumberFormat="1" applyFont="1" applyFill="1" applyBorder="1" applyAlignment="1">
      <alignment vertical="center"/>
    </xf>
    <xf numFmtId="10" fontId="19" fillId="44" borderId="28" xfId="0" applyNumberFormat="1" applyFont="1" applyFill="1" applyBorder="1" applyAlignment="1">
      <alignment vertical="center"/>
    </xf>
    <xf numFmtId="164" fontId="21" fillId="45" borderId="13" xfId="0" applyNumberFormat="1" applyFont="1" applyFill="1" applyBorder="1" applyAlignment="1">
      <alignment vertical="center"/>
    </xf>
    <xf numFmtId="164" fontId="21" fillId="45" borderId="26" xfId="0" applyNumberFormat="1" applyFont="1" applyFill="1" applyBorder="1" applyAlignment="1">
      <alignment vertical="center"/>
    </xf>
    <xf numFmtId="164" fontId="19" fillId="45" borderId="13" xfId="0" applyNumberFormat="1" applyFont="1" applyFill="1" applyBorder="1" applyAlignment="1">
      <alignment vertical="center"/>
    </xf>
    <xf numFmtId="164" fontId="19" fillId="45" borderId="26" xfId="0" applyNumberFormat="1" applyFont="1" applyFill="1" applyBorder="1" applyAlignment="1">
      <alignment vertical="center"/>
    </xf>
    <xf numFmtId="10" fontId="19" fillId="45" borderId="28" xfId="0" applyNumberFormat="1" applyFont="1" applyFill="1" applyBorder="1" applyAlignment="1">
      <alignment vertical="center"/>
    </xf>
    <xf numFmtId="10" fontId="19" fillId="45" borderId="29" xfId="0" applyNumberFormat="1" applyFont="1" applyFill="1" applyBorder="1" applyAlignment="1">
      <alignment vertical="center"/>
    </xf>
    <xf numFmtId="0" fontId="31" fillId="20" borderId="25" xfId="0" applyFont="1" applyFill="1" applyBorder="1" applyAlignment="1">
      <alignment vertical="center" wrapText="1"/>
    </xf>
    <xf numFmtId="168" fontId="31" fillId="44" borderId="13" xfId="0" applyNumberFormat="1" applyFont="1" applyFill="1" applyBorder="1" applyAlignment="1">
      <alignment vertical="center"/>
    </xf>
    <xf numFmtId="168" fontId="31" fillId="45" borderId="13" xfId="0" applyNumberFormat="1" applyFont="1" applyFill="1" applyBorder="1" applyAlignment="1">
      <alignment vertical="center"/>
    </xf>
    <xf numFmtId="168" fontId="31" fillId="45" borderId="26" xfId="0" applyNumberFormat="1" applyFont="1" applyFill="1" applyBorder="1" applyAlignment="1">
      <alignment vertical="center"/>
    </xf>
    <xf numFmtId="0" fontId="31" fillId="10" borderId="25" xfId="0" applyFont="1" applyFill="1" applyBorder="1" applyAlignment="1">
      <alignment vertical="center" wrapText="1"/>
    </xf>
    <xf numFmtId="164" fontId="31" fillId="44" borderId="13" xfId="0" applyNumberFormat="1" applyFont="1" applyFill="1" applyBorder="1" applyAlignment="1">
      <alignment vertical="center"/>
    </xf>
    <xf numFmtId="164" fontId="31" fillId="45" borderId="13" xfId="0" applyNumberFormat="1" applyFont="1" applyFill="1" applyBorder="1" applyAlignment="1">
      <alignment vertical="center"/>
    </xf>
    <xf numFmtId="164" fontId="31" fillId="45" borderId="26" xfId="0" applyNumberFormat="1" applyFont="1" applyFill="1" applyBorder="1" applyAlignment="1">
      <alignment vertical="center"/>
    </xf>
    <xf numFmtId="10" fontId="31" fillId="44" borderId="13" xfId="0" applyNumberFormat="1" applyFont="1" applyFill="1" applyBorder="1" applyAlignment="1">
      <alignment vertical="center"/>
    </xf>
    <xf numFmtId="10" fontId="31" fillId="45" borderId="13" xfId="0" applyNumberFormat="1" applyFont="1" applyFill="1" applyBorder="1" applyAlignment="1">
      <alignment vertical="center"/>
    </xf>
    <xf numFmtId="10" fontId="31" fillId="45" borderId="26" xfId="0" applyNumberFormat="1" applyFont="1" applyFill="1" applyBorder="1" applyAlignment="1">
      <alignment vertical="center"/>
    </xf>
    <xf numFmtId="0" fontId="31" fillId="10" borderId="27" xfId="0" applyFont="1" applyFill="1" applyBorder="1" applyAlignment="1">
      <alignment vertical="center" wrapText="1"/>
    </xf>
    <xf numFmtId="10" fontId="31" fillId="44" borderId="28" xfId="0" applyNumberFormat="1" applyFont="1" applyFill="1" applyBorder="1" applyAlignment="1">
      <alignment vertical="center"/>
    </xf>
    <xf numFmtId="10" fontId="31" fillId="45" borderId="28" xfId="0" applyNumberFormat="1" applyFont="1" applyFill="1" applyBorder="1" applyAlignment="1">
      <alignment vertical="center"/>
    </xf>
    <xf numFmtId="10" fontId="31" fillId="45" borderId="29" xfId="0" applyNumberFormat="1" applyFont="1" applyFill="1" applyBorder="1" applyAlignment="1">
      <alignment vertical="center"/>
    </xf>
    <xf numFmtId="0" fontId="21" fillId="2" borderId="25" xfId="0" applyFont="1" applyFill="1" applyBorder="1" applyAlignment="1">
      <alignment vertical="center"/>
    </xf>
    <xf numFmtId="0" fontId="34" fillId="2" borderId="27" xfId="0" applyFont="1" applyFill="1" applyBorder="1" applyAlignment="1">
      <alignment vertical="center" wrapText="1"/>
    </xf>
    <xf numFmtId="0" fontId="34" fillId="10" borderId="0" xfId="0" applyFont="1" applyFill="1" applyAlignment="1">
      <alignment vertical="center"/>
    </xf>
    <xf numFmtId="164" fontId="21" fillId="46" borderId="13" xfId="0" applyNumberFormat="1" applyFont="1" applyFill="1" applyBorder="1" applyAlignment="1">
      <alignment horizontal="center" vertical="center"/>
    </xf>
    <xf numFmtId="0" fontId="34" fillId="46" borderId="28" xfId="0" applyFont="1" applyFill="1" applyBorder="1" applyAlignment="1">
      <alignment vertical="center"/>
    </xf>
    <xf numFmtId="10" fontId="34" fillId="46" borderId="28" xfId="0" applyNumberFormat="1" applyFont="1" applyFill="1" applyBorder="1" applyAlignment="1">
      <alignment vertical="center"/>
    </xf>
    <xf numFmtId="164" fontId="21" fillId="47" borderId="13" xfId="0" applyNumberFormat="1" applyFont="1" applyFill="1" applyBorder="1" applyAlignment="1">
      <alignment horizontal="center" vertical="center"/>
    </xf>
    <xf numFmtId="164" fontId="21" fillId="47" borderId="26" xfId="0" applyNumberFormat="1" applyFont="1" applyFill="1" applyBorder="1" applyAlignment="1">
      <alignment horizontal="center" vertical="center"/>
    </xf>
    <xf numFmtId="10" fontId="34" fillId="47" borderId="28" xfId="0" applyNumberFormat="1" applyFont="1" applyFill="1" applyBorder="1" applyAlignment="1">
      <alignment vertical="center"/>
    </xf>
    <xf numFmtId="10" fontId="34" fillId="47" borderId="29" xfId="0" applyNumberFormat="1" applyFont="1" applyFill="1" applyBorder="1" applyAlignment="1">
      <alignment vertical="center"/>
    </xf>
    <xf numFmtId="0" fontId="19" fillId="20" borderId="13" xfId="0" applyFont="1" applyFill="1" applyBorder="1" applyAlignment="1">
      <alignment horizontal="left" vertical="center" wrapText="1" indent="2"/>
    </xf>
    <xf numFmtId="0" fontId="21" fillId="56" borderId="13" xfId="0" applyFont="1" applyFill="1" applyBorder="1" applyAlignment="1">
      <alignment vertical="center" wrapText="1"/>
    </xf>
    <xf numFmtId="0" fontId="30" fillId="10" borderId="21" xfId="0" applyFont="1" applyFill="1" applyBorder="1" applyAlignment="1">
      <alignment horizontal="center" vertical="center" wrapText="1"/>
    </xf>
    <xf numFmtId="0" fontId="31" fillId="10" borderId="13" xfId="0" applyFont="1" applyFill="1" applyBorder="1" applyAlignment="1">
      <alignment horizontal="left" vertical="center" wrapText="1" indent="2"/>
    </xf>
    <xf numFmtId="0" fontId="19" fillId="10" borderId="13" xfId="0" applyFont="1" applyFill="1" applyBorder="1" applyAlignment="1">
      <alignment horizontal="left" vertical="center" wrapText="1" indent="2"/>
    </xf>
    <xf numFmtId="0" fontId="20" fillId="57" borderId="13" xfId="0" applyFont="1" applyFill="1" applyBorder="1" applyAlignment="1">
      <alignment vertical="center" wrapText="1"/>
    </xf>
    <xf numFmtId="0" fontId="47" fillId="56" borderId="13" xfId="0" applyFont="1" applyFill="1" applyBorder="1" applyAlignment="1">
      <alignment vertical="center" wrapText="1"/>
    </xf>
    <xf numFmtId="43" fontId="21" fillId="44" borderId="0" xfId="0" applyNumberFormat="1" applyFont="1" applyFill="1" applyAlignment="1">
      <alignment vertical="center"/>
    </xf>
    <xf numFmtId="0" fontId="31" fillId="45" borderId="0" xfId="0" applyFont="1" applyFill="1" applyAlignment="1">
      <alignment vertical="center"/>
    </xf>
    <xf numFmtId="0" fontId="20" fillId="12" borderId="10" xfId="0" applyFont="1" applyFill="1" applyBorder="1" applyAlignment="1">
      <alignment horizontal="center" vertical="center"/>
    </xf>
    <xf numFmtId="0" fontId="21" fillId="11" borderId="13" xfId="0" applyFont="1" applyFill="1" applyBorder="1" applyAlignment="1">
      <alignment vertical="center"/>
    </xf>
    <xf numFmtId="0" fontId="21" fillId="11" borderId="38" xfId="0" applyFont="1" applyFill="1" applyBorder="1" applyAlignment="1">
      <alignment vertical="center"/>
    </xf>
    <xf numFmtId="0" fontId="4" fillId="11" borderId="13" xfId="0" applyFont="1" applyFill="1" applyBorder="1" applyAlignment="1">
      <alignment vertical="center"/>
    </xf>
    <xf numFmtId="0" fontId="19" fillId="2" borderId="3" xfId="0" applyFont="1" applyFill="1" applyBorder="1" applyAlignment="1">
      <alignment horizontal="center" vertical="center"/>
    </xf>
    <xf numFmtId="0" fontId="20" fillId="36" borderId="13" xfId="0" applyFont="1" applyFill="1" applyBorder="1" applyAlignment="1">
      <alignment horizontal="center" vertical="center"/>
    </xf>
    <xf numFmtId="0" fontId="19" fillId="0" borderId="18" xfId="0" applyFont="1" applyBorder="1" applyAlignment="1">
      <alignment horizontal="center" vertical="center"/>
    </xf>
    <xf numFmtId="0" fontId="19" fillId="0" borderId="19" xfId="0" applyFont="1" applyBorder="1" applyAlignment="1">
      <alignment vertical="center"/>
    </xf>
    <xf numFmtId="0" fontId="19" fillId="0" borderId="18" xfId="0" applyFont="1" applyBorder="1" applyAlignment="1">
      <alignment vertical="center"/>
    </xf>
    <xf numFmtId="10" fontId="19" fillId="0" borderId="18" xfId="0" applyNumberFormat="1" applyFont="1" applyBorder="1" applyAlignment="1">
      <alignment horizontal="center" vertical="center"/>
    </xf>
    <xf numFmtId="2" fontId="19" fillId="0" borderId="18" xfId="0" applyNumberFormat="1" applyFont="1" applyBorder="1" applyAlignment="1">
      <alignment horizontal="center" vertical="center"/>
    </xf>
    <xf numFmtId="0" fontId="33" fillId="3" borderId="18" xfId="0" applyFont="1" applyFill="1" applyBorder="1" applyAlignment="1">
      <alignment horizontal="center" vertical="center"/>
    </xf>
    <xf numFmtId="0" fontId="33" fillId="3" borderId="20" xfId="0" applyFont="1" applyFill="1" applyBorder="1" applyAlignment="1">
      <alignment horizontal="center" vertical="center"/>
    </xf>
    <xf numFmtId="10" fontId="50" fillId="3" borderId="18" xfId="0" applyNumberFormat="1" applyFont="1" applyFill="1" applyBorder="1" applyAlignment="1">
      <alignment horizontal="center" vertical="center"/>
    </xf>
    <xf numFmtId="0" fontId="50" fillId="3" borderId="18" xfId="0" applyFont="1" applyFill="1" applyBorder="1" applyAlignment="1">
      <alignment horizontal="center" vertical="center"/>
    </xf>
    <xf numFmtId="9" fontId="19" fillId="0" borderId="18" xfId="0" applyNumberFormat="1" applyFont="1" applyBorder="1" applyAlignment="1">
      <alignment horizontal="center" vertical="center"/>
    </xf>
    <xf numFmtId="0" fontId="19" fillId="2" borderId="0" xfId="0" applyFont="1" applyFill="1" applyAlignment="1">
      <alignment horizontal="center" vertical="center"/>
    </xf>
    <xf numFmtId="2" fontId="19" fillId="0" borderId="0" xfId="0" applyNumberFormat="1" applyFont="1" applyAlignment="1">
      <alignment horizontal="center" vertical="center"/>
    </xf>
    <xf numFmtId="10" fontId="19" fillId="0" borderId="0" xfId="0" applyNumberFormat="1" applyFont="1" applyAlignment="1">
      <alignment horizontal="center" vertical="center"/>
    </xf>
    <xf numFmtId="168" fontId="19" fillId="0" borderId="0" xfId="0" applyNumberFormat="1" applyFont="1" applyAlignment="1">
      <alignment horizontal="center" vertical="center"/>
    </xf>
    <xf numFmtId="0" fontId="19" fillId="3" borderId="18" xfId="0" applyFont="1" applyFill="1" applyBorder="1" applyAlignment="1">
      <alignment vertical="center"/>
    </xf>
    <xf numFmtId="2" fontId="19" fillId="3" borderId="18" xfId="0" applyNumberFormat="1" applyFont="1" applyFill="1" applyBorder="1" applyAlignment="1">
      <alignment horizontal="center" vertical="center"/>
    </xf>
    <xf numFmtId="176" fontId="19" fillId="0" borderId="0" xfId="0" applyNumberFormat="1" applyFont="1" applyAlignment="1">
      <alignment vertical="center"/>
    </xf>
    <xf numFmtId="173" fontId="19" fillId="0" borderId="0" xfId="0" applyNumberFormat="1" applyFont="1" applyAlignment="1">
      <alignment vertical="center"/>
    </xf>
    <xf numFmtId="0" fontId="19" fillId="0" borderId="20" xfId="0" applyFont="1" applyBorder="1" applyAlignment="1">
      <alignment horizontal="center" vertical="center"/>
    </xf>
    <xf numFmtId="0" fontId="19" fillId="0" borderId="20" xfId="0" applyFont="1" applyBorder="1" applyAlignment="1">
      <alignment vertical="center"/>
    </xf>
    <xf numFmtId="10" fontId="19" fillId="0" borderId="20" xfId="0" applyNumberFormat="1" applyFont="1" applyBorder="1" applyAlignment="1">
      <alignment horizontal="center" vertical="center"/>
    </xf>
    <xf numFmtId="2" fontId="19" fillId="3" borderId="20" xfId="0" applyNumberFormat="1" applyFont="1" applyFill="1" applyBorder="1" applyAlignment="1">
      <alignment horizontal="center" vertical="center"/>
    </xf>
    <xf numFmtId="177" fontId="33" fillId="3" borderId="18" xfId="0" applyNumberFormat="1" applyFont="1" applyFill="1" applyBorder="1" applyAlignment="1">
      <alignment horizontal="center" vertical="center"/>
    </xf>
    <xf numFmtId="168" fontId="19" fillId="0" borderId="18" xfId="0" applyNumberFormat="1" applyFont="1" applyBorder="1" applyAlignment="1">
      <alignment horizontal="center" vertical="center"/>
    </xf>
    <xf numFmtId="2" fontId="33" fillId="3" borderId="18" xfId="0" applyNumberFormat="1" applyFont="1" applyFill="1" applyBorder="1" applyAlignment="1">
      <alignment horizontal="center" vertical="center"/>
    </xf>
    <xf numFmtId="176" fontId="19" fillId="2" borderId="0" xfId="0" applyNumberFormat="1" applyFont="1" applyFill="1" applyAlignment="1">
      <alignment vertical="center"/>
    </xf>
    <xf numFmtId="0" fontId="38" fillId="36" borderId="6" xfId="0" applyFont="1" applyFill="1" applyBorder="1" applyAlignment="1">
      <alignment horizontal="center" vertical="center"/>
    </xf>
    <xf numFmtId="0" fontId="20" fillId="36" borderId="13" xfId="0" applyFont="1" applyFill="1" applyBorder="1" applyAlignment="1">
      <alignment horizontal="center" vertical="center" wrapText="1"/>
    </xf>
    <xf numFmtId="0" fontId="20" fillId="11" borderId="13" xfId="0" applyFont="1" applyFill="1" applyBorder="1" applyAlignment="1">
      <alignment horizontal="center" vertical="center" wrapText="1"/>
    </xf>
    <xf numFmtId="0" fontId="48" fillId="58" borderId="38" xfId="0" applyFont="1" applyFill="1" applyBorder="1" applyAlignment="1">
      <alignment horizontal="center" vertical="center"/>
    </xf>
    <xf numFmtId="0" fontId="47" fillId="58" borderId="39" xfId="0" applyFont="1" applyFill="1" applyBorder="1" applyAlignment="1">
      <alignment vertical="center"/>
    </xf>
    <xf numFmtId="0" fontId="47" fillId="58" borderId="39" xfId="0" applyFont="1" applyFill="1" applyBorder="1" applyAlignment="1">
      <alignment horizontal="center" vertical="center"/>
    </xf>
    <xf numFmtId="0" fontId="21" fillId="60" borderId="39" xfId="0" applyFont="1" applyFill="1" applyBorder="1" applyAlignment="1">
      <alignment horizontal="center" vertical="center"/>
    </xf>
    <xf numFmtId="0" fontId="21" fillId="61" borderId="39" xfId="0" applyFont="1" applyFill="1" applyBorder="1" applyAlignment="1">
      <alignment horizontal="center" vertical="center"/>
    </xf>
    <xf numFmtId="0" fontId="21" fillId="61" borderId="40" xfId="0" applyFont="1" applyFill="1" applyBorder="1" applyAlignment="1">
      <alignment horizontal="center" vertical="center"/>
    </xf>
    <xf numFmtId="0" fontId="19" fillId="0" borderId="45" xfId="0" applyFont="1" applyBorder="1" applyAlignment="1">
      <alignment vertical="center"/>
    </xf>
    <xf numFmtId="0" fontId="19" fillId="0" borderId="1" xfId="0" applyFont="1" applyBorder="1" applyAlignment="1">
      <alignment vertical="center"/>
    </xf>
    <xf numFmtId="10" fontId="19" fillId="0" borderId="45" xfId="0" applyNumberFormat="1" applyFont="1" applyBorder="1" applyAlignment="1">
      <alignment horizontal="center" vertical="center"/>
    </xf>
    <xf numFmtId="9" fontId="19" fillId="0" borderId="45" xfId="0" applyNumberFormat="1" applyFont="1" applyBorder="1" applyAlignment="1">
      <alignment horizontal="center" vertical="center"/>
    </xf>
    <xf numFmtId="0" fontId="19" fillId="0" borderId="45" xfId="0" applyFont="1" applyBorder="1" applyAlignment="1">
      <alignment horizontal="center" vertical="center"/>
    </xf>
    <xf numFmtId="2" fontId="19" fillId="0" borderId="45" xfId="0" applyNumberFormat="1" applyFont="1" applyBorder="1" applyAlignment="1">
      <alignment horizontal="center" vertical="center"/>
    </xf>
    <xf numFmtId="0" fontId="19" fillId="0" borderId="13" xfId="0" applyFont="1" applyBorder="1" applyAlignment="1">
      <alignment horizontal="center" vertical="center"/>
    </xf>
    <xf numFmtId="2" fontId="19" fillId="0" borderId="13" xfId="0" applyNumberFormat="1" applyFont="1" applyBorder="1" applyAlignment="1">
      <alignment horizontal="center" vertical="center"/>
    </xf>
    <xf numFmtId="0" fontId="19" fillId="0" borderId="46" xfId="0" applyFont="1" applyBorder="1" applyAlignment="1">
      <alignment vertical="center"/>
    </xf>
    <xf numFmtId="0" fontId="36" fillId="0" borderId="26" xfId="0" applyFont="1" applyBorder="1" applyAlignment="1">
      <alignment vertical="center"/>
    </xf>
    <xf numFmtId="0" fontId="19" fillId="0" borderId="48" xfId="0" applyFont="1" applyBorder="1" applyAlignment="1">
      <alignment vertical="center"/>
    </xf>
    <xf numFmtId="0" fontId="19" fillId="5" borderId="49" xfId="0" applyFont="1" applyFill="1" applyBorder="1" applyAlignment="1">
      <alignment horizontal="center" vertical="center"/>
    </xf>
    <xf numFmtId="176" fontId="19" fillId="0" borderId="49" xfId="0" applyNumberFormat="1" applyFont="1" applyBorder="1" applyAlignment="1">
      <alignment horizontal="center" vertical="center"/>
    </xf>
    <xf numFmtId="173" fontId="19" fillId="0" borderId="49" xfId="0" applyNumberFormat="1" applyFont="1" applyBorder="1" applyAlignment="1">
      <alignment horizontal="center" vertical="center"/>
    </xf>
    <xf numFmtId="3" fontId="19" fillId="0" borderId="49" xfId="0" applyNumberFormat="1" applyFont="1" applyBorder="1" applyAlignment="1">
      <alignment horizontal="center" vertical="center"/>
    </xf>
    <xf numFmtId="2" fontId="20" fillId="11" borderId="47" xfId="0" applyNumberFormat="1" applyFont="1" applyFill="1" applyBorder="1" applyAlignment="1">
      <alignment horizontal="center" vertical="center"/>
    </xf>
    <xf numFmtId="0" fontId="21" fillId="62" borderId="50" xfId="0" applyFont="1" applyFill="1" applyBorder="1" applyAlignment="1">
      <alignment vertical="center"/>
    </xf>
    <xf numFmtId="3" fontId="20" fillId="53" borderId="51" xfId="0" applyNumberFormat="1" applyFont="1" applyFill="1" applyBorder="1" applyAlignment="1">
      <alignment horizontal="center" vertical="center"/>
    </xf>
    <xf numFmtId="171" fontId="20" fillId="63" borderId="39" xfId="0" applyNumberFormat="1" applyFont="1" applyFill="1" applyBorder="1" applyAlignment="1">
      <alignment horizontal="center" vertical="center"/>
    </xf>
    <xf numFmtId="0" fontId="20" fillId="64" borderId="39" xfId="0" applyFont="1" applyFill="1" applyBorder="1" applyAlignment="1">
      <alignment horizontal="center" vertical="center"/>
    </xf>
    <xf numFmtId="171" fontId="20" fillId="65" borderId="0" xfId="0" applyNumberFormat="1" applyFont="1" applyFill="1" applyAlignment="1">
      <alignment horizontal="center" vertical="center"/>
    </xf>
    <xf numFmtId="0" fontId="19" fillId="2" borderId="13" xfId="0" applyFont="1" applyFill="1" applyBorder="1" applyAlignment="1">
      <alignment horizontal="center" vertical="center"/>
    </xf>
    <xf numFmtId="0" fontId="20" fillId="11" borderId="52" xfId="0" applyFont="1" applyFill="1" applyBorder="1" applyAlignment="1">
      <alignment vertical="center"/>
    </xf>
    <xf numFmtId="0" fontId="36" fillId="0" borderId="13" xfId="0" applyFont="1" applyBorder="1" applyAlignment="1">
      <alignment vertical="center"/>
    </xf>
    <xf numFmtId="0" fontId="21" fillId="62" borderId="44" xfId="0" applyFont="1" applyFill="1" applyBorder="1" applyAlignment="1">
      <alignment vertical="center"/>
    </xf>
    <xf numFmtId="0" fontId="19" fillId="0" borderId="13" xfId="0" applyFont="1" applyBorder="1" applyAlignment="1">
      <alignment vertical="center"/>
    </xf>
    <xf numFmtId="0" fontId="20" fillId="36" borderId="26" xfId="0" applyFont="1" applyFill="1" applyBorder="1" applyAlignment="1">
      <alignment horizontal="center" vertical="center"/>
    </xf>
    <xf numFmtId="0" fontId="33" fillId="3" borderId="53" xfId="0" applyFont="1" applyFill="1" applyBorder="1" applyAlignment="1">
      <alignment horizontal="center" vertical="center"/>
    </xf>
    <xf numFmtId="0" fontId="33" fillId="3" borderId="49" xfId="0" applyFont="1" applyFill="1" applyBorder="1" applyAlignment="1">
      <alignment horizontal="center" vertical="center"/>
    </xf>
    <xf numFmtId="2" fontId="19" fillId="0" borderId="54" xfId="0" applyNumberFormat="1" applyFont="1" applyBorder="1" applyAlignment="1">
      <alignment horizontal="center" vertical="center"/>
    </xf>
    <xf numFmtId="0" fontId="19" fillId="0" borderId="26" xfId="0" applyFont="1" applyBorder="1" applyAlignment="1">
      <alignment horizontal="center" vertical="center"/>
    </xf>
    <xf numFmtId="2" fontId="19" fillId="0" borderId="26" xfId="0" applyNumberFormat="1" applyFont="1" applyBorder="1" applyAlignment="1">
      <alignment horizontal="center" vertical="center"/>
    </xf>
    <xf numFmtId="0" fontId="21" fillId="0" borderId="38" xfId="0" applyFont="1" applyBorder="1" applyAlignment="1">
      <alignment vertical="center"/>
    </xf>
    <xf numFmtId="0" fontId="21" fillId="0" borderId="39" xfId="0" applyFont="1" applyBorder="1" applyAlignment="1">
      <alignment horizontal="center" vertical="center"/>
    </xf>
    <xf numFmtId="2" fontId="21" fillId="0" borderId="39" xfId="0" applyNumberFormat="1" applyFont="1" applyBorder="1" applyAlignment="1">
      <alignment horizontal="center" vertical="center"/>
    </xf>
    <xf numFmtId="2" fontId="21" fillId="0" borderId="40" xfId="0" applyNumberFormat="1" applyFont="1" applyBorder="1" applyAlignment="1">
      <alignment horizontal="center" vertical="center"/>
    </xf>
    <xf numFmtId="0" fontId="21" fillId="0" borderId="13" xfId="0" applyFont="1" applyBorder="1" applyAlignment="1">
      <alignment vertical="center"/>
    </xf>
    <xf numFmtId="0" fontId="21" fillId="0" borderId="38" xfId="0" applyFont="1" applyBorder="1" applyAlignment="1">
      <alignment horizontal="centerContinuous" vertical="center"/>
    </xf>
    <xf numFmtId="0" fontId="21" fillId="0" borderId="39" xfId="0" applyFont="1" applyBorder="1" applyAlignment="1">
      <alignment horizontal="centerContinuous" vertical="center"/>
    </xf>
    <xf numFmtId="0" fontId="19" fillId="0" borderId="48" xfId="0" applyFont="1" applyBorder="1" applyAlignment="1">
      <alignment horizontal="center" vertical="center"/>
    </xf>
    <xf numFmtId="2" fontId="19" fillId="0" borderId="49" xfId="0" applyNumberFormat="1" applyFont="1" applyBorder="1" applyAlignment="1">
      <alignment horizontal="center" vertical="center"/>
    </xf>
    <xf numFmtId="0" fontId="19" fillId="0" borderId="25" xfId="0" applyFont="1" applyBorder="1" applyAlignment="1">
      <alignment vertical="center"/>
    </xf>
    <xf numFmtId="10" fontId="19" fillId="0" borderId="13" xfId="0" applyNumberFormat="1" applyFont="1" applyBorder="1" applyAlignment="1">
      <alignment horizontal="center" vertical="center"/>
    </xf>
    <xf numFmtId="0" fontId="20" fillId="66" borderId="22" xfId="0" applyFont="1" applyFill="1" applyBorder="1" applyAlignment="1">
      <alignment horizontal="center" vertical="center"/>
    </xf>
    <xf numFmtId="0" fontId="20" fillId="66" borderId="55" xfId="0" applyFont="1" applyFill="1" applyBorder="1" applyAlignment="1">
      <alignment vertical="center"/>
    </xf>
    <xf numFmtId="0" fontId="20" fillId="66" borderId="55" xfId="0" applyFont="1" applyFill="1" applyBorder="1" applyAlignment="1">
      <alignment horizontal="center" vertical="center"/>
    </xf>
    <xf numFmtId="0" fontId="20" fillId="50" borderId="55" xfId="0" applyFont="1" applyFill="1" applyBorder="1" applyAlignment="1">
      <alignment horizontal="center" vertical="center" wrapText="1"/>
    </xf>
    <xf numFmtId="0" fontId="20" fillId="50" borderId="55" xfId="0" applyFont="1" applyFill="1" applyBorder="1" applyAlignment="1">
      <alignment horizontal="center" vertical="center"/>
    </xf>
    <xf numFmtId="0" fontId="20" fillId="50" borderId="47" xfId="0" applyFont="1" applyFill="1" applyBorder="1" applyAlignment="1">
      <alignment horizontal="center" vertical="center"/>
    </xf>
    <xf numFmtId="0" fontId="19" fillId="0" borderId="56" xfId="0" applyFont="1" applyBorder="1" applyAlignment="1">
      <alignment vertical="center"/>
    </xf>
    <xf numFmtId="171" fontId="21" fillId="68" borderId="13" xfId="0" applyNumberFormat="1" applyFont="1" applyFill="1" applyBorder="1" applyAlignment="1">
      <alignment horizontal="center" vertical="center"/>
    </xf>
    <xf numFmtId="171" fontId="21" fillId="67" borderId="39" xfId="0" applyNumberFormat="1" applyFont="1" applyFill="1" applyBorder="1" applyAlignment="1">
      <alignment horizontal="center" vertical="center"/>
    </xf>
    <xf numFmtId="0" fontId="21" fillId="69" borderId="39" xfId="0" applyFont="1" applyFill="1" applyBorder="1" applyAlignment="1">
      <alignment horizontal="center" vertical="center"/>
    </xf>
    <xf numFmtId="4" fontId="21" fillId="0" borderId="39" xfId="0" applyNumberFormat="1" applyFont="1" applyBorder="1" applyAlignment="1">
      <alignment horizontal="center" vertical="center"/>
    </xf>
    <xf numFmtId="0" fontId="21" fillId="2" borderId="39" xfId="0" applyFont="1" applyFill="1" applyBorder="1" applyAlignment="1">
      <alignment horizontal="center" vertical="center"/>
    </xf>
    <xf numFmtId="0" fontId="21" fillId="0" borderId="19" xfId="0" applyFont="1" applyBorder="1" applyAlignment="1">
      <alignment vertical="center" wrapText="1"/>
    </xf>
    <xf numFmtId="3" fontId="21" fillId="0" borderId="49" xfId="0" applyNumberFormat="1" applyFont="1" applyBorder="1" applyAlignment="1">
      <alignment horizontal="center" vertical="center"/>
    </xf>
    <xf numFmtId="0" fontId="21" fillId="0" borderId="40" xfId="0" applyFont="1" applyBorder="1" applyAlignment="1">
      <alignment horizontal="center" vertical="center"/>
    </xf>
    <xf numFmtId="0" fontId="21" fillId="0" borderId="0" xfId="0" applyFont="1" applyAlignment="1">
      <alignment horizontal="center" vertical="center"/>
    </xf>
    <xf numFmtId="0" fontId="19" fillId="52" borderId="48" xfId="0" applyFont="1" applyFill="1" applyBorder="1" applyAlignment="1">
      <alignment vertical="center" wrapText="1"/>
    </xf>
    <xf numFmtId="0" fontId="21" fillId="19" borderId="50" xfId="0" applyFont="1" applyFill="1" applyBorder="1" applyAlignment="1">
      <alignment vertical="center"/>
    </xf>
    <xf numFmtId="0" fontId="20" fillId="40" borderId="48" xfId="0" applyFont="1" applyFill="1" applyBorder="1" applyAlignment="1">
      <alignment vertical="center"/>
    </xf>
    <xf numFmtId="0" fontId="21" fillId="0" borderId="48" xfId="0" applyFont="1" applyBorder="1" applyAlignment="1">
      <alignment vertical="center"/>
    </xf>
    <xf numFmtId="0" fontId="19" fillId="0" borderId="50" xfId="0" applyFont="1" applyBorder="1" applyAlignment="1">
      <alignment vertical="center"/>
    </xf>
    <xf numFmtId="0" fontId="19" fillId="0" borderId="59" xfId="0" applyFont="1" applyBorder="1" applyAlignment="1">
      <alignment horizontal="center" vertical="center"/>
    </xf>
    <xf numFmtId="177" fontId="33" fillId="3" borderId="49" xfId="0" applyNumberFormat="1" applyFont="1" applyFill="1" applyBorder="1" applyAlignment="1">
      <alignment horizontal="center" vertical="center"/>
    </xf>
    <xf numFmtId="173" fontId="19" fillId="0" borderId="13" xfId="0" applyNumberFormat="1" applyFont="1" applyBorder="1" applyAlignment="1">
      <alignment horizontal="center" vertical="center"/>
    </xf>
    <xf numFmtId="0" fontId="21" fillId="72" borderId="46" xfId="0" applyFont="1" applyFill="1" applyBorder="1" applyAlignment="1">
      <alignment horizontal="center" vertical="center" wrapText="1"/>
    </xf>
    <xf numFmtId="0" fontId="21" fillId="72" borderId="55" xfId="0" applyFont="1" applyFill="1" applyBorder="1" applyAlignment="1">
      <alignment horizontal="center" vertical="center"/>
    </xf>
    <xf numFmtId="0" fontId="21" fillId="49" borderId="55" xfId="0" applyFont="1" applyFill="1" applyBorder="1" applyAlignment="1">
      <alignment horizontal="center" vertical="center" wrapText="1"/>
    </xf>
    <xf numFmtId="0" fontId="21" fillId="49" borderId="55" xfId="0" applyFont="1" applyFill="1" applyBorder="1" applyAlignment="1">
      <alignment horizontal="center" vertical="center"/>
    </xf>
    <xf numFmtId="0" fontId="21" fillId="49" borderId="47" xfId="0" applyFont="1" applyFill="1" applyBorder="1" applyAlignment="1">
      <alignment horizontal="center" vertical="center"/>
    </xf>
    <xf numFmtId="0" fontId="35" fillId="0" borderId="0" xfId="0" applyFont="1" applyAlignment="1">
      <alignment horizontal="center" vertical="center"/>
    </xf>
    <xf numFmtId="0" fontId="21" fillId="74" borderId="39" xfId="0" applyFont="1" applyFill="1" applyBorder="1" applyAlignment="1">
      <alignment horizontal="center" vertical="center"/>
    </xf>
    <xf numFmtId="2" fontId="21" fillId="73" borderId="39" xfId="0" applyNumberFormat="1" applyFont="1" applyFill="1" applyBorder="1" applyAlignment="1">
      <alignment horizontal="center" vertical="center"/>
    </xf>
    <xf numFmtId="2" fontId="21" fillId="75" borderId="13" xfId="0" applyNumberFormat="1" applyFont="1" applyFill="1" applyBorder="1" applyAlignment="1">
      <alignment horizontal="center" vertical="center"/>
    </xf>
    <xf numFmtId="0" fontId="21" fillId="0" borderId="46" xfId="0" applyFont="1" applyBorder="1" applyAlignment="1">
      <alignment horizontal="center" vertical="center"/>
    </xf>
    <xf numFmtId="164" fontId="21" fillId="0" borderId="47" xfId="0" applyNumberFormat="1" applyFont="1" applyBorder="1" applyAlignment="1">
      <alignment horizontal="center" vertical="center"/>
    </xf>
    <xf numFmtId="0" fontId="19" fillId="0" borderId="26" xfId="0" applyFont="1" applyBorder="1" applyAlignment="1">
      <alignment vertical="center"/>
    </xf>
    <xf numFmtId="2" fontId="20" fillId="71" borderId="51" xfId="0" applyNumberFormat="1" applyFont="1" applyFill="1" applyBorder="1" applyAlignment="1">
      <alignment horizontal="center" vertical="center"/>
    </xf>
    <xf numFmtId="3" fontId="20" fillId="40" borderId="51" xfId="0" applyNumberFormat="1" applyFont="1" applyFill="1" applyBorder="1" applyAlignment="1">
      <alignment horizontal="center" vertical="center"/>
    </xf>
    <xf numFmtId="177" fontId="19" fillId="70" borderId="49" xfId="0" applyNumberFormat="1" applyFont="1" applyFill="1" applyBorder="1" applyAlignment="1">
      <alignment horizontal="center" vertical="center" wrapText="1"/>
    </xf>
    <xf numFmtId="9" fontId="19" fillId="70" borderId="49" xfId="0" applyNumberFormat="1" applyFont="1" applyFill="1" applyBorder="1" applyAlignment="1">
      <alignment horizontal="center" vertical="center" wrapText="1"/>
    </xf>
    <xf numFmtId="168" fontId="19" fillId="70" borderId="49" xfId="0" applyNumberFormat="1" applyFont="1" applyFill="1" applyBorder="1" applyAlignment="1">
      <alignment horizontal="center" vertical="center" wrapText="1"/>
    </xf>
    <xf numFmtId="2" fontId="19" fillId="70" borderId="49" xfId="0" applyNumberFormat="1" applyFont="1" applyFill="1" applyBorder="1" applyAlignment="1">
      <alignment horizontal="center" vertical="center" wrapText="1"/>
    </xf>
    <xf numFmtId="164" fontId="19" fillId="0" borderId="47" xfId="0" applyNumberFormat="1" applyFont="1" applyBorder="1" applyAlignment="1">
      <alignment horizontal="center" vertical="center"/>
    </xf>
    <xf numFmtId="2" fontId="20" fillId="40" borderId="49" xfId="0" applyNumberFormat="1" applyFont="1" applyFill="1" applyBorder="1" applyAlignment="1">
      <alignment horizontal="center" vertical="center"/>
    </xf>
    <xf numFmtId="4" fontId="21" fillId="0" borderId="49" xfId="0" applyNumberFormat="1" applyFont="1" applyBorder="1" applyAlignment="1">
      <alignment horizontal="center" vertical="center"/>
    </xf>
    <xf numFmtId="0" fontId="19" fillId="0" borderId="49" xfId="0" applyFont="1" applyBorder="1" applyAlignment="1">
      <alignment horizontal="center" vertical="center"/>
    </xf>
    <xf numFmtId="3" fontId="21" fillId="76" borderId="51" xfId="0" applyNumberFormat="1" applyFont="1" applyFill="1" applyBorder="1" applyAlignment="1">
      <alignment horizontal="center" vertical="center"/>
    </xf>
    <xf numFmtId="4" fontId="19" fillId="3" borderId="13" xfId="0" applyNumberFormat="1" applyFont="1" applyFill="1" applyBorder="1" applyAlignment="1">
      <alignment horizontal="right" vertical="center" wrapText="1" readingOrder="1"/>
    </xf>
    <xf numFmtId="3" fontId="19" fillId="3" borderId="13" xfId="0" applyNumberFormat="1" applyFont="1" applyFill="1" applyBorder="1" applyAlignment="1">
      <alignment horizontal="right" vertical="center" wrapText="1" readingOrder="1"/>
    </xf>
    <xf numFmtId="168" fontId="19" fillId="0" borderId="13" xfId="0" applyNumberFormat="1" applyFont="1" applyBorder="1" applyAlignment="1">
      <alignment vertical="center"/>
    </xf>
    <xf numFmtId="177" fontId="19" fillId="0" borderId="13" xfId="0" applyNumberFormat="1" applyFont="1" applyBorder="1" applyAlignment="1">
      <alignment vertical="center"/>
    </xf>
    <xf numFmtId="2" fontId="19" fillId="0" borderId="13" xfId="0" applyNumberFormat="1" applyFont="1" applyBorder="1" applyAlignment="1">
      <alignment vertical="center"/>
    </xf>
    <xf numFmtId="9" fontId="19" fillId="0" borderId="13" xfId="0" applyNumberFormat="1" applyFont="1" applyBorder="1" applyAlignment="1">
      <alignment vertical="center"/>
    </xf>
    <xf numFmtId="0" fontId="21" fillId="7" borderId="22" xfId="0" applyFont="1" applyFill="1" applyBorder="1" applyAlignment="1">
      <alignment vertical="center" wrapText="1"/>
    </xf>
    <xf numFmtId="177" fontId="19" fillId="6" borderId="24" xfId="0" applyNumberFormat="1" applyFont="1" applyFill="1" applyBorder="1" applyAlignment="1">
      <alignment horizontal="right" vertical="center" wrapText="1"/>
    </xf>
    <xf numFmtId="0" fontId="21" fillId="7" borderId="25" xfId="0" applyFont="1" applyFill="1" applyBorder="1" applyAlignment="1">
      <alignment vertical="center" wrapText="1"/>
    </xf>
    <xf numFmtId="177" fontId="19" fillId="6" borderId="26" xfId="0" applyNumberFormat="1" applyFont="1" applyFill="1" applyBorder="1" applyAlignment="1">
      <alignment horizontal="right" vertical="center" wrapText="1"/>
    </xf>
    <xf numFmtId="168" fontId="19" fillId="6" borderId="26" xfId="0" applyNumberFormat="1" applyFont="1" applyFill="1" applyBorder="1" applyAlignment="1">
      <alignment horizontal="right" vertical="center" wrapText="1"/>
    </xf>
    <xf numFmtId="0" fontId="21" fillId="7" borderId="27" xfId="0" applyFont="1" applyFill="1" applyBorder="1" applyAlignment="1">
      <alignment vertical="center" wrapText="1"/>
    </xf>
    <xf numFmtId="2" fontId="19" fillId="6" borderId="29" xfId="0" applyNumberFormat="1" applyFont="1" applyFill="1" applyBorder="1" applyAlignment="1">
      <alignment horizontal="right" vertical="center" wrapText="1"/>
    </xf>
    <xf numFmtId="168" fontId="19" fillId="0" borderId="26" xfId="0" applyNumberFormat="1" applyFont="1" applyBorder="1" applyAlignment="1">
      <alignment vertical="center"/>
    </xf>
    <xf numFmtId="4" fontId="19" fillId="3" borderId="28" xfId="0" applyNumberFormat="1" applyFont="1" applyFill="1" applyBorder="1" applyAlignment="1">
      <alignment horizontal="right" vertical="center" wrapText="1" readingOrder="1"/>
    </xf>
    <xf numFmtId="3" fontId="19" fillId="3" borderId="28" xfId="0" applyNumberFormat="1" applyFont="1" applyFill="1" applyBorder="1" applyAlignment="1">
      <alignment horizontal="right" vertical="center" wrapText="1" readingOrder="1"/>
    </xf>
    <xf numFmtId="168" fontId="19" fillId="0" borderId="28" xfId="0" applyNumberFormat="1" applyFont="1" applyBorder="1" applyAlignment="1">
      <alignment vertical="center"/>
    </xf>
    <xf numFmtId="168" fontId="19" fillId="0" borderId="29" xfId="0" applyNumberFormat="1" applyFont="1" applyBorder="1" applyAlignment="1">
      <alignment vertical="center"/>
    </xf>
    <xf numFmtId="14" fontId="51" fillId="3" borderId="60" xfId="0" applyNumberFormat="1" applyFont="1" applyFill="1" applyBorder="1" applyAlignment="1">
      <alignment horizontal="center" vertical="center" readingOrder="1"/>
    </xf>
    <xf numFmtId="0" fontId="51" fillId="3" borderId="60" xfId="0" applyFont="1" applyFill="1" applyBorder="1" applyAlignment="1">
      <alignment horizontal="center" vertical="center" readingOrder="1"/>
    </xf>
    <xf numFmtId="14" fontId="51" fillId="3" borderId="61" xfId="0" applyNumberFormat="1" applyFont="1" applyFill="1" applyBorder="1" applyAlignment="1">
      <alignment horizontal="center" vertical="center" readingOrder="1"/>
    </xf>
    <xf numFmtId="0" fontId="20" fillId="78" borderId="62" xfId="0" applyFont="1" applyFill="1" applyBorder="1" applyAlignment="1">
      <alignment horizontal="center" vertical="center" wrapText="1"/>
    </xf>
    <xf numFmtId="0" fontId="20" fillId="78" borderId="30" xfId="0" applyFont="1" applyFill="1" applyBorder="1" applyAlignment="1">
      <alignment horizontal="center" vertical="center" wrapText="1"/>
    </xf>
    <xf numFmtId="0" fontId="20" fillId="78" borderId="31" xfId="0" applyFont="1" applyFill="1" applyBorder="1" applyAlignment="1">
      <alignment horizontal="center" vertical="center" wrapText="1"/>
    </xf>
    <xf numFmtId="0" fontId="3" fillId="0" borderId="63" xfId="0" quotePrefix="1" applyFont="1" applyBorder="1" applyAlignment="1">
      <alignment vertical="center" wrapText="1"/>
    </xf>
    <xf numFmtId="0" fontId="1" fillId="0" borderId="25" xfId="0" applyFont="1" applyBorder="1" applyAlignment="1">
      <alignment horizontal="center" vertical="center"/>
    </xf>
    <xf numFmtId="0" fontId="1" fillId="0" borderId="13" xfId="0" applyFont="1" applyBorder="1" applyAlignment="1">
      <alignment horizontal="center" vertical="center"/>
    </xf>
    <xf numFmtId="0" fontId="28" fillId="0" borderId="13" xfId="1" applyFont="1" applyBorder="1" applyAlignment="1">
      <alignment horizontal="left" vertical="center" wrapText="1"/>
    </xf>
    <xf numFmtId="0" fontId="4" fillId="25" borderId="7" xfId="0" applyFont="1" applyFill="1" applyBorder="1" applyAlignment="1">
      <alignment horizontal="centerContinuous" vertical="center" wrapText="1"/>
    </xf>
    <xf numFmtId="0" fontId="4" fillId="0" borderId="64" xfId="0" applyFont="1" applyBorder="1"/>
    <xf numFmtId="0" fontId="3" fillId="0" borderId="64" xfId="0" applyFont="1" applyBorder="1"/>
    <xf numFmtId="0" fontId="3" fillId="0" borderId="64" xfId="0" quotePrefix="1" applyFont="1" applyBorder="1"/>
    <xf numFmtId="0" fontId="4" fillId="79" borderId="64" xfId="0" applyFont="1" applyFill="1" applyBorder="1"/>
    <xf numFmtId="0" fontId="3" fillId="0" borderId="13" xfId="0" applyFont="1" applyBorder="1" applyAlignment="1">
      <alignment horizontal="center" vertical="center"/>
    </xf>
    <xf numFmtId="0" fontId="13" fillId="0" borderId="26" xfId="0" applyFont="1" applyBorder="1" applyAlignment="1">
      <alignment vertical="center"/>
    </xf>
    <xf numFmtId="0" fontId="12" fillId="8" borderId="23" xfId="0" applyFont="1" applyFill="1" applyBorder="1" applyAlignment="1">
      <alignment horizontal="center" vertical="center"/>
    </xf>
    <xf numFmtId="0" fontId="13" fillId="9" borderId="23" xfId="0" applyFont="1" applyFill="1" applyBorder="1" applyAlignment="1">
      <alignment vertical="center"/>
    </xf>
    <xf numFmtId="0" fontId="13" fillId="9" borderId="24" xfId="0" applyFont="1" applyFill="1" applyBorder="1" applyAlignment="1">
      <alignment vertical="center"/>
    </xf>
    <xf numFmtId="0" fontId="13" fillId="9" borderId="13" xfId="0" applyFont="1" applyFill="1" applyBorder="1" applyAlignment="1">
      <alignment vertical="center"/>
    </xf>
    <xf numFmtId="0" fontId="6" fillId="9" borderId="13" xfId="0" applyFont="1" applyFill="1" applyBorder="1" applyAlignment="1">
      <alignment vertical="center"/>
    </xf>
    <xf numFmtId="0" fontId="13" fillId="9" borderId="26" xfId="0" applyFont="1" applyFill="1" applyBorder="1" applyAlignment="1">
      <alignment vertical="center"/>
    </xf>
    <xf numFmtId="0" fontId="6" fillId="0" borderId="25" xfId="0" applyFont="1" applyBorder="1" applyAlignment="1">
      <alignment vertical="center"/>
    </xf>
    <xf numFmtId="0" fontId="13" fillId="0" borderId="25" xfId="0" applyFont="1" applyBorder="1" applyAlignment="1">
      <alignment vertical="center"/>
    </xf>
    <xf numFmtId="3" fontId="17" fillId="11" borderId="13" xfId="0" applyNumberFormat="1" applyFont="1" applyFill="1" applyBorder="1" applyAlignment="1">
      <alignment horizontal="center" vertical="center"/>
    </xf>
    <xf numFmtId="0" fontId="17" fillId="11" borderId="13" xfId="0" applyFont="1" applyFill="1" applyBorder="1" applyAlignment="1">
      <alignment vertical="center"/>
    </xf>
    <xf numFmtId="0" fontId="3" fillId="0" borderId="23" xfId="0" applyFont="1" applyBorder="1" applyAlignment="1">
      <alignment horizontal="left" vertical="center" wrapText="1"/>
    </xf>
    <xf numFmtId="0" fontId="1" fillId="0" borderId="13" xfId="0" applyFont="1" applyBorder="1" applyAlignment="1">
      <alignment horizontal="left" vertical="center"/>
    </xf>
    <xf numFmtId="0" fontId="3" fillId="0" borderId="24" xfId="0" applyFont="1" applyBorder="1" applyAlignment="1">
      <alignment horizontal="left" vertical="center" wrapText="1"/>
    </xf>
    <xf numFmtId="0" fontId="25" fillId="0" borderId="26" xfId="0" applyFont="1" applyBorder="1" applyAlignment="1">
      <alignment horizontal="left" vertical="center"/>
    </xf>
    <xf numFmtId="0" fontId="4" fillId="3" borderId="32" xfId="0" applyFont="1" applyFill="1" applyBorder="1" applyAlignment="1">
      <alignment horizontal="center" vertical="center" wrapText="1"/>
    </xf>
    <xf numFmtId="0" fontId="25" fillId="0" borderId="25" xfId="0" applyFont="1" applyBorder="1" applyAlignment="1">
      <alignment vertical="center"/>
    </xf>
    <xf numFmtId="0" fontId="25" fillId="0" borderId="27" xfId="0" applyFont="1" applyBorder="1" applyAlignment="1">
      <alignment vertical="center"/>
    </xf>
    <xf numFmtId="0" fontId="3" fillId="0" borderId="33" xfId="0" applyFont="1" applyBorder="1" applyAlignment="1">
      <alignment horizontal="left" vertical="center" wrapText="1"/>
    </xf>
    <xf numFmtId="0" fontId="1" fillId="0" borderId="28" xfId="0" applyFont="1" applyBorder="1" applyAlignment="1">
      <alignment horizontal="left" vertical="center"/>
    </xf>
    <xf numFmtId="0" fontId="3" fillId="0" borderId="34" xfId="0" applyFont="1" applyBorder="1" applyAlignment="1">
      <alignment horizontal="left" vertical="center" wrapText="1"/>
    </xf>
    <xf numFmtId="0" fontId="25" fillId="0" borderId="29" xfId="0" applyFont="1" applyBorder="1" applyAlignment="1">
      <alignment horizontal="left" vertical="center"/>
    </xf>
    <xf numFmtId="0" fontId="3" fillId="3" borderId="24" xfId="0" applyFont="1" applyFill="1" applyBorder="1" applyAlignment="1">
      <alignment horizontal="left" vertical="center"/>
    </xf>
    <xf numFmtId="0" fontId="3" fillId="3" borderId="25" xfId="0" applyFont="1" applyFill="1" applyBorder="1" applyAlignment="1">
      <alignment vertical="center" wrapText="1"/>
    </xf>
    <xf numFmtId="0" fontId="29" fillId="21" borderId="2" xfId="0" applyFont="1" applyFill="1" applyBorder="1" applyAlignment="1">
      <alignment vertical="center"/>
    </xf>
    <xf numFmtId="0" fontId="28" fillId="10" borderId="2" xfId="0" applyFont="1" applyFill="1" applyBorder="1" applyAlignment="1">
      <alignment vertical="center"/>
    </xf>
    <xf numFmtId="0" fontId="28" fillId="10" borderId="7" xfId="0" applyFont="1" applyFill="1" applyBorder="1" applyAlignment="1">
      <alignment vertical="center"/>
    </xf>
    <xf numFmtId="0" fontId="3" fillId="28" borderId="2" xfId="0" applyFont="1" applyFill="1" applyBorder="1" applyAlignment="1">
      <alignment vertical="center"/>
    </xf>
    <xf numFmtId="0" fontId="28" fillId="13" borderId="2" xfId="0" applyFont="1" applyFill="1" applyBorder="1" applyAlignment="1">
      <alignment vertical="center"/>
    </xf>
    <xf numFmtId="0" fontId="28" fillId="13" borderId="7" xfId="0" applyFont="1" applyFill="1" applyBorder="1" applyAlignment="1">
      <alignment vertical="center"/>
    </xf>
    <xf numFmtId="0" fontId="16" fillId="24" borderId="12" xfId="0" applyFont="1" applyFill="1" applyBorder="1" applyAlignment="1">
      <alignment horizontal="center" vertical="center" wrapText="1"/>
    </xf>
    <xf numFmtId="0" fontId="47" fillId="58" borderId="39" xfId="0" applyFont="1" applyFill="1" applyBorder="1" applyAlignment="1">
      <alignment horizontal="center" vertical="center"/>
    </xf>
    <xf numFmtId="0" fontId="49" fillId="59" borderId="39" xfId="0" applyFont="1" applyFill="1" applyBorder="1" applyAlignment="1">
      <alignment vertical="center"/>
    </xf>
    <xf numFmtId="0" fontId="21" fillId="77" borderId="57" xfId="0" applyFont="1" applyFill="1" applyBorder="1" applyAlignment="1">
      <alignment horizontal="center" vertical="center"/>
    </xf>
    <xf numFmtId="0" fontId="21" fillId="77" borderId="58" xfId="0" applyFont="1" applyFill="1" applyBorder="1" applyAlignment="1">
      <alignment horizontal="center" vertical="center"/>
    </xf>
    <xf numFmtId="0" fontId="55" fillId="10" borderId="0" xfId="0" applyFont="1" applyFill="1" applyAlignment="1">
      <alignment vertical="center"/>
    </xf>
  </cellXfs>
  <cellStyles count="2">
    <cellStyle name="Hyperlink" xfId="1" builtinId="8"/>
    <cellStyle name="Normal" xfId="0" builtinId="0"/>
  </cellStyles>
  <dxfs count="0"/>
  <tableStyles count="0" defaultTableStyle="TableStyleMedium2" defaultPivotStyle="PivotStyleLight16"/>
  <colors>
    <mruColors>
      <color rgb="FFFF7D25"/>
      <color rgb="FF008000"/>
      <color rgb="FF003300"/>
      <color rgb="FFFF6600"/>
      <color rgb="FFF60000"/>
      <color rgb="FFE60000"/>
      <color rgb="FF33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http://hnx.vn/" TargetMode="External"/><Relationship Id="rId1" Type="http://schemas.openxmlformats.org/officeDocument/2006/relationships/hyperlink" Target="http://thegioididong.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B1:H1001"/>
  <sheetViews>
    <sheetView showGridLines="0" workbookViewId="0">
      <selection activeCell="D4" sqref="D4"/>
    </sheetView>
  </sheetViews>
  <sheetFormatPr defaultColWidth="11.25" defaultRowHeight="15" customHeight="1"/>
  <cols>
    <col min="1" max="1" width="11.25" style="2"/>
    <col min="2" max="2" width="22.375" style="2" customWidth="1"/>
    <col min="3" max="3" width="8.5" style="2" customWidth="1"/>
    <col min="4" max="4" width="9.25" style="2" bestFit="1" customWidth="1"/>
    <col min="5" max="8" width="8.5" style="2" customWidth="1"/>
    <col min="9" max="16384" width="11.25" style="2"/>
  </cols>
  <sheetData>
    <row r="1" spans="2:8" ht="15" customHeight="1" thickBot="1"/>
    <row r="2" spans="2:8" ht="15.75">
      <c r="B2" s="3"/>
      <c r="C2" s="4"/>
      <c r="D2" s="4"/>
      <c r="E2" s="4"/>
      <c r="F2" s="713" t="s">
        <v>324</v>
      </c>
      <c r="G2" s="714" t="str">
        <f t="shared" ref="G2:H5" si="0">IF(G11&lt;=-15%,"BÁN",IF(G11&lt;=-7%,"GIẢM",IF(G11&lt;=7%,"THEO DÕI",IF(G11&lt;15%,"THÊM","MUA"))))</f>
        <v>THEO DÕI</v>
      </c>
      <c r="H2" s="715" t="str">
        <f t="shared" si="0"/>
        <v>THEO DÕI</v>
      </c>
    </row>
    <row r="3" spans="2:8" ht="15.75">
      <c r="B3" s="5" t="s">
        <v>323</v>
      </c>
      <c r="C3" s="6"/>
      <c r="D3" s="7" t="s">
        <v>893</v>
      </c>
      <c r="E3" s="6"/>
      <c r="F3" s="716" t="str">
        <f>IF(F12&lt;=-15%,"BÁN",IF(F12&lt;=-7%,"GIẢM",IF(F12&lt;=7%,"THEO DÕI",IF(F12&lt;15%,"THÊM","MUA"))))</f>
        <v>THEO DÕI</v>
      </c>
      <c r="G3" s="717" t="str">
        <f t="shared" si="0"/>
        <v>MUA</v>
      </c>
      <c r="H3" s="718" t="str">
        <f t="shared" si="0"/>
        <v>THEO DÕI</v>
      </c>
    </row>
    <row r="4" spans="2:8" ht="15" customHeight="1">
      <c r="B4" s="8" t="s">
        <v>0</v>
      </c>
      <c r="C4" s="6"/>
      <c r="D4" s="17">
        <v>0.7</v>
      </c>
      <c r="E4" s="6"/>
      <c r="F4" s="716" t="str">
        <f>IF(F13&lt;=-15%,"BÁN",IF(F13&lt;=-7%,"GIẢM",IF(F13&lt;=7%,"THEO DÕI",IF(F13&lt;15%,"THÊM","MUA"))))</f>
        <v>THEO DÕI</v>
      </c>
      <c r="G4" s="717" t="str">
        <f t="shared" si="0"/>
        <v>THEO DÕI</v>
      </c>
      <c r="H4" s="718" t="str">
        <f t="shared" si="0"/>
        <v>THEO DÕI</v>
      </c>
    </row>
    <row r="5" spans="2:8" ht="15" customHeight="1">
      <c r="B5" s="8" t="s">
        <v>1</v>
      </c>
      <c r="C5" s="6"/>
      <c r="D5" s="17">
        <v>0.3</v>
      </c>
      <c r="E5" s="6"/>
      <c r="F5" s="716" t="str">
        <f>IF(F14&lt;=-15%,"BÁN",IF(F14&lt;=-7%,"GIẢM",IF(F14&lt;=7%,"THEO DÕI",IF(F14&lt;15%,"THÊM","MUA"))))</f>
        <v>THEO DÕI</v>
      </c>
      <c r="G5" s="716" t="str">
        <f t="shared" si="0"/>
        <v>THEO DÕI</v>
      </c>
      <c r="H5" s="718" t="str">
        <f t="shared" si="0"/>
        <v>THEO DÕI</v>
      </c>
    </row>
    <row r="6" spans="2:8" ht="15" customHeight="1">
      <c r="B6" s="10"/>
      <c r="C6" s="6"/>
      <c r="D6" s="9"/>
      <c r="E6" s="6"/>
      <c r="F6" s="6"/>
      <c r="G6" s="6"/>
      <c r="H6" s="11"/>
    </row>
    <row r="7" spans="2:8" ht="15.75">
      <c r="B7" s="5" t="s">
        <v>325</v>
      </c>
      <c r="C7" s="6"/>
      <c r="D7" s="6"/>
      <c r="E7" s="6"/>
      <c r="F7" s="6"/>
      <c r="G7" s="6"/>
      <c r="H7" s="11"/>
    </row>
    <row r="8" spans="2:8" ht="15.75">
      <c r="B8" s="719" t="s">
        <v>326</v>
      </c>
      <c r="C8" s="6"/>
      <c r="D8" s="721">
        <v>153000</v>
      </c>
      <c r="E8" s="6"/>
      <c r="F8" s="6"/>
      <c r="G8" s="6"/>
      <c r="H8" s="11"/>
    </row>
    <row r="9" spans="2:8" ht="15.75">
      <c r="B9" s="720"/>
      <c r="C9" s="6"/>
      <c r="D9" s="722"/>
      <c r="E9" s="6"/>
      <c r="F9" s="6"/>
      <c r="G9" s="6"/>
      <c r="H9" s="11"/>
    </row>
    <row r="10" spans="2:8" ht="15.75">
      <c r="B10" s="719" t="s">
        <v>327</v>
      </c>
      <c r="C10" s="6"/>
      <c r="D10" s="721">
        <f>D4*DCF!B41+Multiple!R38*Summary!D5</f>
        <v>191125.5488215168</v>
      </c>
      <c r="E10" s="6"/>
      <c r="F10" s="6"/>
      <c r="G10" s="6"/>
      <c r="H10" s="11"/>
    </row>
    <row r="11" spans="2:8" ht="15.75">
      <c r="B11" s="720"/>
      <c r="C11" s="6"/>
      <c r="D11" s="722"/>
      <c r="E11" s="6"/>
      <c r="F11" s="6"/>
      <c r="G11" s="6"/>
      <c r="H11" s="11"/>
    </row>
    <row r="12" spans="2:8" ht="15.75">
      <c r="B12" s="12" t="s">
        <v>328</v>
      </c>
      <c r="C12" s="6"/>
      <c r="D12" s="16">
        <f>(D10-D8)/D8</f>
        <v>0.24918659360468498</v>
      </c>
      <c r="E12" s="6"/>
      <c r="F12" s="6"/>
      <c r="G12" s="711" t="s">
        <v>329</v>
      </c>
      <c r="H12" s="712"/>
    </row>
    <row r="13" spans="2:8" ht="16.5" thickBot="1">
      <c r="B13" s="13"/>
      <c r="C13" s="14"/>
      <c r="D13" s="14"/>
      <c r="E13" s="14"/>
      <c r="F13" s="14"/>
      <c r="G13" s="14"/>
      <c r="H13" s="15"/>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6">
    <mergeCell ref="G12:H12"/>
    <mergeCell ref="F2:H5"/>
    <mergeCell ref="B8:B9"/>
    <mergeCell ref="D8:D9"/>
    <mergeCell ref="B10:B11"/>
    <mergeCell ref="D10:D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60000"/>
  </sheetPr>
  <dimension ref="B1:AA1046"/>
  <sheetViews>
    <sheetView workbookViewId="0">
      <pane xSplit="2" ySplit="3" topLeftCell="E7" activePane="bottomRight" state="frozen"/>
      <selection pane="topRight" activeCell="B1" sqref="B1"/>
      <selection pane="bottomLeft" activeCell="A4" sqref="A4"/>
      <selection pane="bottomRight" activeCell="B18" sqref="B18"/>
    </sheetView>
  </sheetViews>
  <sheetFormatPr defaultColWidth="11.25" defaultRowHeight="15" customHeight="1"/>
  <cols>
    <col min="1" max="1" width="2.75" style="21" customWidth="1"/>
    <col min="2" max="2" width="49.75" style="21" customWidth="1"/>
    <col min="3" max="3" width="19.625" style="21" customWidth="1"/>
    <col min="4" max="4" width="19.75" style="21" customWidth="1"/>
    <col min="5" max="5" width="19.25" style="21" customWidth="1"/>
    <col min="6" max="6" width="21.75" style="21" customWidth="1"/>
    <col min="7" max="7" width="23.5" style="21" customWidth="1"/>
    <col min="8" max="27" width="52.375" style="21" customWidth="1"/>
    <col min="28" max="16384" width="11.25" style="21"/>
  </cols>
  <sheetData>
    <row r="1" spans="2:7" ht="12.75">
      <c r="B1" s="22" t="s">
        <v>2</v>
      </c>
      <c r="C1" s="23">
        <v>2017</v>
      </c>
      <c r="D1" s="23">
        <v>2018</v>
      </c>
      <c r="E1" s="23">
        <v>2019</v>
      </c>
      <c r="F1" s="23">
        <v>2020</v>
      </c>
      <c r="G1" s="23">
        <v>2021</v>
      </c>
    </row>
    <row r="2" spans="2:7" ht="13.5" customHeight="1">
      <c r="B2" s="21" t="s">
        <v>330</v>
      </c>
      <c r="C2" s="24" t="s">
        <v>3</v>
      </c>
      <c r="D2" s="24" t="s">
        <v>3</v>
      </c>
      <c r="E2" s="24" t="s">
        <v>3</v>
      </c>
      <c r="F2" s="24" t="s">
        <v>3</v>
      </c>
      <c r="G2" s="24" t="s">
        <v>3</v>
      </c>
    </row>
    <row r="3" spans="2:7" ht="13.5" customHeight="1">
      <c r="B3" s="21" t="s">
        <v>331</v>
      </c>
      <c r="C3" s="21" t="s">
        <v>512</v>
      </c>
      <c r="D3" s="21" t="s">
        <v>512</v>
      </c>
      <c r="E3" s="21" t="s">
        <v>512</v>
      </c>
      <c r="F3" s="21" t="s">
        <v>512</v>
      </c>
      <c r="G3" s="21" t="s">
        <v>512</v>
      </c>
    </row>
    <row r="4" spans="2:7" ht="21" customHeight="1">
      <c r="B4" s="25" t="s">
        <v>332</v>
      </c>
      <c r="C4" s="25"/>
      <c r="D4" s="25"/>
      <c r="E4" s="25"/>
      <c r="F4" s="25"/>
      <c r="G4" s="25"/>
    </row>
    <row r="5" spans="2:7" ht="12.75">
      <c r="B5" s="26"/>
      <c r="C5" s="26"/>
      <c r="D5" s="26"/>
      <c r="E5" s="26"/>
      <c r="F5" s="26"/>
      <c r="G5" s="26"/>
    </row>
    <row r="6" spans="2:7" s="26" customFormat="1" ht="13.5" customHeight="1">
      <c r="B6" s="26" t="s">
        <v>333</v>
      </c>
      <c r="C6" s="27">
        <v>18862861.300000001</v>
      </c>
      <c r="D6" s="27">
        <v>23371994.800000001</v>
      </c>
      <c r="E6" s="27">
        <v>35011896.899999999</v>
      </c>
      <c r="F6" s="27">
        <v>37317234</v>
      </c>
      <c r="G6" s="27">
        <v>51955257.799999997</v>
      </c>
    </row>
    <row r="7" spans="2:7" s="26" customFormat="1" ht="13.5" customHeight="1">
      <c r="C7" s="27"/>
      <c r="D7" s="27"/>
      <c r="E7" s="27"/>
      <c r="F7" s="27"/>
      <c r="G7" s="27"/>
    </row>
    <row r="8" spans="2:7" s="26" customFormat="1" ht="13.5" customHeight="1">
      <c r="B8" s="26" t="s">
        <v>334</v>
      </c>
      <c r="C8" s="27">
        <v>3410983.4</v>
      </c>
      <c r="D8" s="27">
        <v>3749550.3</v>
      </c>
      <c r="E8" s="27">
        <v>3115236.8</v>
      </c>
      <c r="F8" s="27">
        <v>7347857.4000000004</v>
      </c>
      <c r="G8" s="27">
        <v>4142015.8</v>
      </c>
    </row>
    <row r="9" spans="2:7" ht="13.5" customHeight="1">
      <c r="B9" s="21" t="s">
        <v>335</v>
      </c>
      <c r="C9" s="28">
        <v>2189863.2999999998</v>
      </c>
      <c r="D9" s="28">
        <v>3363717.3</v>
      </c>
      <c r="E9" s="28">
        <v>2024347.9</v>
      </c>
      <c r="F9" s="28">
        <v>2243274.5</v>
      </c>
      <c r="G9" s="28">
        <v>2606672.2999999998</v>
      </c>
    </row>
    <row r="10" spans="2:7" ht="13.5" customHeight="1">
      <c r="B10" s="21" t="s">
        <v>336</v>
      </c>
      <c r="C10" s="28">
        <v>1221120.1000000001</v>
      </c>
      <c r="D10" s="28">
        <v>385833</v>
      </c>
      <c r="E10" s="28">
        <v>1090888.8999999999</v>
      </c>
      <c r="F10" s="28">
        <v>5104582.9000000004</v>
      </c>
      <c r="G10" s="28">
        <v>1535343.5</v>
      </c>
    </row>
    <row r="11" spans="2:7" ht="13.5" customHeight="1">
      <c r="C11" s="28"/>
      <c r="D11" s="28"/>
      <c r="E11" s="28"/>
      <c r="F11" s="28"/>
      <c r="G11" s="28"/>
    </row>
    <row r="12" spans="2:7" s="26" customFormat="1" ht="13.5" customHeight="1">
      <c r="B12" s="26" t="s">
        <v>337</v>
      </c>
      <c r="C12" s="27">
        <v>0</v>
      </c>
      <c r="D12" s="27">
        <v>50922.5</v>
      </c>
      <c r="E12" s="27">
        <v>3137000</v>
      </c>
      <c r="F12" s="27">
        <v>8057318.7999999998</v>
      </c>
      <c r="G12" s="27">
        <v>14236626.300000001</v>
      </c>
    </row>
    <row r="13" spans="2:7" ht="13.5" customHeight="1">
      <c r="B13" s="21" t="s">
        <v>338</v>
      </c>
      <c r="C13" s="28">
        <v>0</v>
      </c>
      <c r="D13" s="28">
        <v>0</v>
      </c>
      <c r="E13" s="28">
        <v>0</v>
      </c>
      <c r="F13" s="28">
        <v>0</v>
      </c>
      <c r="G13" s="28">
        <v>0</v>
      </c>
    </row>
    <row r="14" spans="2:7" ht="13.5" customHeight="1">
      <c r="B14" s="21" t="s">
        <v>339</v>
      </c>
      <c r="C14" s="28">
        <v>0</v>
      </c>
      <c r="D14" s="28">
        <v>0</v>
      </c>
      <c r="E14" s="28">
        <v>0</v>
      </c>
      <c r="F14" s="28">
        <v>0</v>
      </c>
      <c r="G14" s="28">
        <v>0</v>
      </c>
    </row>
    <row r="15" spans="2:7" ht="13.5" customHeight="1">
      <c r="B15" s="21" t="s">
        <v>340</v>
      </c>
      <c r="C15" s="28">
        <v>0</v>
      </c>
      <c r="D15" s="28">
        <v>50922.5</v>
      </c>
      <c r="E15" s="28">
        <v>3137000</v>
      </c>
      <c r="F15" s="28">
        <v>8057318.7999999998</v>
      </c>
      <c r="G15" s="28">
        <v>14236626.300000001</v>
      </c>
    </row>
    <row r="16" spans="2:7" ht="13.5" customHeight="1">
      <c r="C16" s="28"/>
      <c r="D16" s="28"/>
      <c r="E16" s="28"/>
      <c r="F16" s="28"/>
      <c r="G16" s="28"/>
    </row>
    <row r="17" spans="2:10" s="26" customFormat="1" ht="13.5" customHeight="1">
      <c r="B17" s="26" t="s">
        <v>341</v>
      </c>
      <c r="C17" s="27">
        <v>2765847.8</v>
      </c>
      <c r="D17" s="27">
        <v>1542529.7</v>
      </c>
      <c r="E17" s="27">
        <v>1815085.6</v>
      </c>
      <c r="F17" s="27">
        <v>1595251</v>
      </c>
      <c r="G17" s="27">
        <v>3162122</v>
      </c>
      <c r="I17" s="29"/>
      <c r="J17" s="29">
        <f>IS!D3/AVERAGE(D27:E27)</f>
        <v>3.8288353785301643</v>
      </c>
    </row>
    <row r="18" spans="2:10" ht="13.5" customHeight="1">
      <c r="B18" s="21" t="s">
        <v>342</v>
      </c>
      <c r="C18" s="28">
        <v>1431776.8</v>
      </c>
      <c r="D18" s="28">
        <v>369573.7</v>
      </c>
      <c r="E18" s="28">
        <v>262268.40000000002</v>
      </c>
      <c r="F18" s="28">
        <v>196394.5</v>
      </c>
      <c r="G18" s="28">
        <v>384236.6</v>
      </c>
    </row>
    <row r="19" spans="2:10" ht="13.5" customHeight="1">
      <c r="B19" s="21" t="s">
        <v>343</v>
      </c>
      <c r="C19" s="28">
        <v>117942</v>
      </c>
      <c r="D19" s="28">
        <v>21007.3</v>
      </c>
      <c r="E19" s="28">
        <v>195016.8</v>
      </c>
      <c r="F19" s="28">
        <v>287913.3</v>
      </c>
      <c r="G19" s="28">
        <v>390738.8</v>
      </c>
    </row>
    <row r="20" spans="2:10" ht="13.5" customHeight="1">
      <c r="B20" s="21" t="s">
        <v>344</v>
      </c>
      <c r="C20" s="28">
        <v>0</v>
      </c>
      <c r="D20" s="28">
        <v>0</v>
      </c>
      <c r="E20" s="28">
        <v>0</v>
      </c>
      <c r="F20" s="28">
        <v>0</v>
      </c>
      <c r="G20" s="28">
        <v>0</v>
      </c>
    </row>
    <row r="21" spans="2:10" ht="13.5" customHeight="1">
      <c r="B21" s="21" t="s">
        <v>345</v>
      </c>
      <c r="C21" s="28">
        <v>0</v>
      </c>
      <c r="D21" s="28">
        <v>0</v>
      </c>
      <c r="E21" s="28">
        <v>0</v>
      </c>
      <c r="F21" s="28">
        <v>0</v>
      </c>
      <c r="G21" s="28">
        <v>0</v>
      </c>
    </row>
    <row r="22" spans="2:10" ht="13.5" customHeight="1">
      <c r="B22" s="21" t="s">
        <v>346</v>
      </c>
      <c r="C22" s="28">
        <v>84700</v>
      </c>
      <c r="D22" s="28">
        <v>0</v>
      </c>
      <c r="E22" s="28">
        <v>0</v>
      </c>
      <c r="F22" s="28">
        <v>80000</v>
      </c>
      <c r="G22" s="28">
        <v>961917.7</v>
      </c>
    </row>
    <row r="23" spans="2:10" ht="13.5" customHeight="1">
      <c r="B23" s="21" t="s">
        <v>347</v>
      </c>
      <c r="C23" s="28">
        <v>1131428.8999999999</v>
      </c>
      <c r="D23" s="28">
        <v>1151948.8</v>
      </c>
      <c r="E23" s="28">
        <v>1357800.4</v>
      </c>
      <c r="F23" s="28">
        <v>1030943.1</v>
      </c>
      <c r="G23" s="28">
        <v>1425228.9</v>
      </c>
    </row>
    <row r="24" spans="2:10" ht="13.5" customHeight="1">
      <c r="B24" s="21" t="s">
        <v>348</v>
      </c>
      <c r="C24" s="28">
        <v>0</v>
      </c>
      <c r="D24" s="28">
        <v>0</v>
      </c>
      <c r="E24" s="28">
        <v>0</v>
      </c>
      <c r="F24" s="28">
        <v>0</v>
      </c>
      <c r="G24" s="28">
        <v>0</v>
      </c>
    </row>
    <row r="25" spans="2:10" ht="13.5" customHeight="1">
      <c r="B25" s="21" t="s">
        <v>349</v>
      </c>
      <c r="C25" s="28">
        <v>0</v>
      </c>
      <c r="D25" s="28">
        <v>0</v>
      </c>
      <c r="E25" s="28">
        <v>0</v>
      </c>
      <c r="F25" s="28">
        <v>0</v>
      </c>
      <c r="G25" s="28">
        <v>0</v>
      </c>
    </row>
    <row r="26" spans="2:10" ht="13.5" customHeight="1">
      <c r="C26" s="28"/>
      <c r="D26" s="28"/>
      <c r="E26" s="28"/>
      <c r="F26" s="28"/>
      <c r="G26" s="28"/>
    </row>
    <row r="27" spans="2:10" s="26" customFormat="1" ht="13.5" customHeight="1">
      <c r="B27" s="26" t="s">
        <v>350</v>
      </c>
      <c r="C27" s="27">
        <v>12050162.699999999</v>
      </c>
      <c r="D27" s="27">
        <v>17446005.300000001</v>
      </c>
      <c r="E27" s="27">
        <v>25745428.399999999</v>
      </c>
      <c r="F27" s="27">
        <v>19422177.5</v>
      </c>
      <c r="G27" s="27">
        <v>29167232.300000001</v>
      </c>
    </row>
    <row r="28" spans="2:10" ht="13.5" customHeight="1">
      <c r="B28" s="21" t="s">
        <v>351</v>
      </c>
      <c r="C28" s="28">
        <v>12309955.5</v>
      </c>
      <c r="D28" s="28">
        <v>17821137.600000001</v>
      </c>
      <c r="E28" s="28">
        <v>26195934.699999999</v>
      </c>
      <c r="F28" s="28">
        <v>19926363.5</v>
      </c>
      <c r="G28" s="28">
        <v>29850068.800000001</v>
      </c>
    </row>
    <row r="29" spans="2:10" ht="13.5" customHeight="1">
      <c r="B29" s="21" t="s">
        <v>352</v>
      </c>
      <c r="C29" s="28">
        <v>-259792.8</v>
      </c>
      <c r="D29" s="28">
        <v>-375132.3</v>
      </c>
      <c r="E29" s="28">
        <v>-450506.2</v>
      </c>
      <c r="F29" s="28">
        <v>-504186</v>
      </c>
      <c r="G29" s="28">
        <v>-682836.5</v>
      </c>
    </row>
    <row r="30" spans="2:10" ht="13.5" customHeight="1">
      <c r="C30" s="28"/>
      <c r="D30" s="28"/>
      <c r="E30" s="28"/>
      <c r="F30" s="28"/>
      <c r="G30" s="28"/>
    </row>
    <row r="31" spans="2:10" s="26" customFormat="1" ht="13.5" customHeight="1">
      <c r="B31" s="26" t="s">
        <v>353</v>
      </c>
      <c r="C31" s="27">
        <v>635867.5</v>
      </c>
      <c r="D31" s="27">
        <v>582987</v>
      </c>
      <c r="E31" s="27">
        <v>1199146.1000000001</v>
      </c>
      <c r="F31" s="27">
        <v>894629.3</v>
      </c>
      <c r="G31" s="27">
        <v>1247261.3999999999</v>
      </c>
    </row>
    <row r="32" spans="2:10" ht="13.5" customHeight="1">
      <c r="B32" s="21" t="s">
        <v>354</v>
      </c>
      <c r="C32" s="28">
        <v>338169.59999999998</v>
      </c>
      <c r="D32" s="28">
        <v>283034.7</v>
      </c>
      <c r="E32" s="28">
        <v>487030.6</v>
      </c>
      <c r="F32" s="28">
        <v>563786.30000000005</v>
      </c>
      <c r="G32" s="28">
        <v>569195.6</v>
      </c>
    </row>
    <row r="33" spans="2:7" ht="13.5" customHeight="1">
      <c r="B33" s="21" t="s">
        <v>355</v>
      </c>
      <c r="C33" s="28">
        <v>297598.2</v>
      </c>
      <c r="D33" s="28">
        <v>298109.3</v>
      </c>
      <c r="E33" s="28">
        <v>709225.1</v>
      </c>
      <c r="F33" s="28">
        <v>326091.3</v>
      </c>
      <c r="G33" s="28">
        <v>636081.4</v>
      </c>
    </row>
    <row r="34" spans="2:7" ht="13.5" customHeight="1">
      <c r="B34" s="21" t="s">
        <v>356</v>
      </c>
      <c r="C34" s="28">
        <v>99.7</v>
      </c>
      <c r="D34" s="28">
        <v>1842.9</v>
      </c>
      <c r="E34" s="28">
        <v>2890.4</v>
      </c>
      <c r="F34" s="28">
        <v>4751.7</v>
      </c>
      <c r="G34" s="28">
        <v>41984.4</v>
      </c>
    </row>
    <row r="35" spans="2:7" ht="13.5" customHeight="1">
      <c r="B35" s="21" t="s">
        <v>357</v>
      </c>
      <c r="C35" s="28">
        <v>0</v>
      </c>
      <c r="D35" s="28">
        <v>0</v>
      </c>
      <c r="E35" s="28">
        <v>0</v>
      </c>
      <c r="F35" s="28">
        <v>0</v>
      </c>
      <c r="G35" s="28">
        <v>0</v>
      </c>
    </row>
    <row r="36" spans="2:7" ht="13.5" customHeight="1">
      <c r="B36" s="21" t="s">
        <v>358</v>
      </c>
      <c r="C36" s="28">
        <v>0</v>
      </c>
      <c r="D36" s="28">
        <v>0</v>
      </c>
      <c r="E36" s="28">
        <v>0</v>
      </c>
      <c r="F36" s="28">
        <v>0</v>
      </c>
      <c r="G36" s="28">
        <v>0</v>
      </c>
    </row>
    <row r="37" spans="2:7" ht="13.5" customHeight="1">
      <c r="C37" s="28"/>
      <c r="D37" s="28"/>
      <c r="E37" s="28"/>
      <c r="F37" s="28"/>
      <c r="G37" s="28"/>
    </row>
    <row r="38" spans="2:7" s="26" customFormat="1" ht="13.5" customHeight="1">
      <c r="B38" s="26" t="s">
        <v>359</v>
      </c>
      <c r="C38" s="27">
        <v>3959802.9</v>
      </c>
      <c r="D38" s="27">
        <v>4750536.7</v>
      </c>
      <c r="E38" s="27">
        <v>6696198.5999999996</v>
      </c>
      <c r="F38" s="27">
        <v>8713646</v>
      </c>
      <c r="G38" s="27">
        <v>11016147</v>
      </c>
    </row>
    <row r="39" spans="2:7" s="26" customFormat="1" ht="13.5" customHeight="1">
      <c r="C39" s="27"/>
      <c r="D39" s="27"/>
      <c r="E39" s="27"/>
      <c r="F39" s="27"/>
      <c r="G39" s="27"/>
    </row>
    <row r="40" spans="2:7" s="26" customFormat="1" ht="13.5" customHeight="1">
      <c r="B40" s="26" t="s">
        <v>360</v>
      </c>
      <c r="C40" s="27">
        <v>242116</v>
      </c>
      <c r="D40" s="27">
        <v>313775.59999999998</v>
      </c>
      <c r="E40" s="27">
        <v>374563.6</v>
      </c>
      <c r="F40" s="27">
        <v>439493.3</v>
      </c>
      <c r="G40" s="27">
        <v>482389.2</v>
      </c>
    </row>
    <row r="41" spans="2:7" ht="13.5" customHeight="1">
      <c r="B41" s="21" t="s">
        <v>361</v>
      </c>
      <c r="C41" s="28">
        <v>0</v>
      </c>
      <c r="D41" s="28">
        <v>0</v>
      </c>
      <c r="E41" s="28">
        <v>0</v>
      </c>
      <c r="F41" s="28">
        <v>0</v>
      </c>
      <c r="G41" s="28">
        <v>0</v>
      </c>
    </row>
    <row r="42" spans="2:7" ht="13.5" customHeight="1">
      <c r="B42" s="21" t="s">
        <v>362</v>
      </c>
      <c r="C42" s="28">
        <v>0</v>
      </c>
      <c r="D42" s="28">
        <v>0</v>
      </c>
      <c r="E42" s="28">
        <v>0</v>
      </c>
      <c r="F42" s="28">
        <v>0</v>
      </c>
      <c r="G42" s="28">
        <v>0</v>
      </c>
    </row>
    <row r="43" spans="2:7" ht="13.5" customHeight="1">
      <c r="B43" s="21" t="s">
        <v>363</v>
      </c>
      <c r="C43" s="28">
        <v>0</v>
      </c>
      <c r="D43" s="28">
        <v>0</v>
      </c>
      <c r="E43" s="28">
        <v>0</v>
      </c>
      <c r="F43" s="28">
        <v>0</v>
      </c>
      <c r="G43" s="28">
        <v>0</v>
      </c>
    </row>
    <row r="44" spans="2:7" ht="13.5" customHeight="1">
      <c r="B44" s="21" t="s">
        <v>364</v>
      </c>
      <c r="C44" s="28">
        <v>0</v>
      </c>
      <c r="D44" s="28">
        <v>0</v>
      </c>
      <c r="E44" s="28">
        <v>0</v>
      </c>
      <c r="F44" s="28">
        <v>0</v>
      </c>
      <c r="G44" s="28">
        <v>0</v>
      </c>
    </row>
    <row r="45" spans="2:7" ht="13.5" customHeight="1">
      <c r="B45" s="21" t="s">
        <v>365</v>
      </c>
      <c r="C45" s="28">
        <v>0</v>
      </c>
      <c r="D45" s="28">
        <v>0</v>
      </c>
      <c r="E45" s="28">
        <v>0</v>
      </c>
      <c r="F45" s="28">
        <v>0</v>
      </c>
      <c r="G45" s="28">
        <v>0</v>
      </c>
    </row>
    <row r="46" spans="2:7" ht="13.5" customHeight="1">
      <c r="B46" s="21" t="s">
        <v>366</v>
      </c>
      <c r="C46" s="28">
        <v>242116</v>
      </c>
      <c r="D46" s="28">
        <v>313775.59999999998</v>
      </c>
      <c r="E46" s="28">
        <v>374563.6</v>
      </c>
      <c r="F46" s="28">
        <v>439493.3</v>
      </c>
      <c r="G46" s="28">
        <v>482389.2</v>
      </c>
    </row>
    <row r="47" spans="2:7" ht="13.5" customHeight="1">
      <c r="B47" s="21" t="s">
        <v>367</v>
      </c>
      <c r="C47" s="28">
        <v>0</v>
      </c>
      <c r="D47" s="28">
        <v>0</v>
      </c>
      <c r="E47" s="28">
        <v>0</v>
      </c>
      <c r="F47" s="28">
        <v>0</v>
      </c>
      <c r="G47" s="28">
        <v>0</v>
      </c>
    </row>
    <row r="48" spans="2:7" ht="13.5" customHeight="1">
      <c r="C48" s="28"/>
      <c r="D48" s="28"/>
      <c r="E48" s="28"/>
      <c r="F48" s="28"/>
      <c r="G48" s="28"/>
    </row>
    <row r="49" spans="2:7" s="26" customFormat="1" ht="13.5" customHeight="1">
      <c r="B49" s="26" t="s">
        <v>368</v>
      </c>
      <c r="C49" s="27">
        <v>3463658</v>
      </c>
      <c r="D49" s="27">
        <v>3333147.7</v>
      </c>
      <c r="E49" s="27">
        <v>5403777</v>
      </c>
      <c r="F49" s="27">
        <v>7294961.7000000002</v>
      </c>
      <c r="G49" s="27">
        <v>9647168.9000000004</v>
      </c>
    </row>
    <row r="50" spans="2:7" ht="13.5" customHeight="1">
      <c r="B50" s="21" t="s">
        <v>369</v>
      </c>
      <c r="C50" s="28">
        <v>3435848.3</v>
      </c>
      <c r="D50" s="28">
        <v>3304923.5</v>
      </c>
      <c r="E50" s="28">
        <v>5375279.2000000002</v>
      </c>
      <c r="F50" s="28">
        <v>7267319.2999999998</v>
      </c>
      <c r="G50" s="28">
        <v>9566954.9000000004</v>
      </c>
    </row>
    <row r="51" spans="2:7" ht="13.5" customHeight="1">
      <c r="B51" s="21" t="s">
        <v>370</v>
      </c>
      <c r="C51" s="28">
        <v>4832699.9000000004</v>
      </c>
      <c r="D51" s="28">
        <v>5788326.2999999998</v>
      </c>
      <c r="E51" s="28">
        <v>9148456</v>
      </c>
      <c r="F51" s="28">
        <v>12963311.4</v>
      </c>
      <c r="G51" s="28">
        <v>17987087.800000001</v>
      </c>
    </row>
    <row r="52" spans="2:7" ht="13.5" customHeight="1">
      <c r="B52" s="21" t="s">
        <v>371</v>
      </c>
      <c r="C52" s="28">
        <v>-1396851.6</v>
      </c>
      <c r="D52" s="28">
        <v>-2483402.7999999998</v>
      </c>
      <c r="E52" s="28">
        <v>-3773176.8</v>
      </c>
      <c r="F52" s="28">
        <v>-5695992.0999999996</v>
      </c>
      <c r="G52" s="28">
        <v>-8420132.9000000004</v>
      </c>
    </row>
    <row r="53" spans="2:7" ht="13.5" customHeight="1">
      <c r="B53" s="21" t="s">
        <v>372</v>
      </c>
      <c r="C53" s="28">
        <v>0</v>
      </c>
      <c r="D53" s="28">
        <v>0</v>
      </c>
      <c r="E53" s="28">
        <v>0</v>
      </c>
      <c r="F53" s="28">
        <v>0</v>
      </c>
      <c r="G53" s="28">
        <v>0</v>
      </c>
    </row>
    <row r="54" spans="2:7" ht="13.5" customHeight="1">
      <c r="B54" s="21" t="s">
        <v>370</v>
      </c>
      <c r="C54" s="28">
        <v>0</v>
      </c>
      <c r="D54" s="28">
        <v>0</v>
      </c>
      <c r="E54" s="28">
        <v>0</v>
      </c>
      <c r="F54" s="28">
        <v>0</v>
      </c>
      <c r="G54" s="28">
        <v>0</v>
      </c>
    </row>
    <row r="55" spans="2:7" ht="13.5" customHeight="1">
      <c r="B55" s="21" t="s">
        <v>371</v>
      </c>
      <c r="C55" s="28">
        <v>0</v>
      </c>
      <c r="D55" s="28">
        <v>0</v>
      </c>
      <c r="E55" s="28">
        <v>0</v>
      </c>
      <c r="F55" s="28">
        <v>0</v>
      </c>
      <c r="G55" s="28">
        <v>0</v>
      </c>
    </row>
    <row r="56" spans="2:7" ht="13.5" customHeight="1">
      <c r="B56" s="21" t="s">
        <v>373</v>
      </c>
      <c r="C56" s="28">
        <v>27809.7</v>
      </c>
      <c r="D56" s="28">
        <v>28224.1</v>
      </c>
      <c r="E56" s="28">
        <v>28497.8</v>
      </c>
      <c r="F56" s="28">
        <v>27642.400000000001</v>
      </c>
      <c r="G56" s="28">
        <v>80213.899999999994</v>
      </c>
    </row>
    <row r="57" spans="2:7" ht="13.5" customHeight="1">
      <c r="B57" s="21" t="s">
        <v>370</v>
      </c>
      <c r="C57" s="28">
        <v>32779.5</v>
      </c>
      <c r="D57" s="28">
        <v>33838.400000000001</v>
      </c>
      <c r="E57" s="28">
        <v>34852.199999999997</v>
      </c>
      <c r="F57" s="28">
        <v>35811.599999999999</v>
      </c>
      <c r="G57" s="28">
        <v>90297.8</v>
      </c>
    </row>
    <row r="58" spans="2:7" ht="13.5" customHeight="1">
      <c r="B58" s="21" t="s">
        <v>371</v>
      </c>
      <c r="C58" s="28">
        <v>-4969.8</v>
      </c>
      <c r="D58" s="28">
        <v>-5614.3</v>
      </c>
      <c r="E58" s="28">
        <v>-6354.4</v>
      </c>
      <c r="F58" s="28">
        <v>-8169.3</v>
      </c>
      <c r="G58" s="28">
        <v>-10083.799999999999</v>
      </c>
    </row>
    <row r="59" spans="2:7" ht="13.5" customHeight="1">
      <c r="C59" s="28"/>
      <c r="D59" s="28"/>
      <c r="E59" s="28"/>
      <c r="F59" s="28"/>
      <c r="G59" s="28"/>
    </row>
    <row r="60" spans="2:7" s="26" customFormat="1" ht="13.5" customHeight="1">
      <c r="B60" s="26" t="s">
        <v>374</v>
      </c>
      <c r="C60" s="27">
        <v>0</v>
      </c>
      <c r="D60" s="27">
        <v>0</v>
      </c>
      <c r="E60" s="27">
        <v>0</v>
      </c>
      <c r="F60" s="27">
        <v>0</v>
      </c>
      <c r="G60" s="27">
        <v>0</v>
      </c>
    </row>
    <row r="61" spans="2:7" ht="13.5" customHeight="1">
      <c r="B61" s="21" t="s">
        <v>375</v>
      </c>
      <c r="C61" s="28">
        <v>0</v>
      </c>
      <c r="D61" s="28">
        <v>0</v>
      </c>
      <c r="E61" s="28">
        <v>0</v>
      </c>
      <c r="F61" s="28">
        <v>0</v>
      </c>
      <c r="G61" s="28">
        <v>0</v>
      </c>
    </row>
    <row r="62" spans="2:7" ht="13.5" customHeight="1">
      <c r="B62" s="21" t="s">
        <v>376</v>
      </c>
      <c r="C62" s="28">
        <v>0</v>
      </c>
      <c r="D62" s="28">
        <v>0</v>
      </c>
      <c r="E62" s="28">
        <v>0</v>
      </c>
      <c r="F62" s="28">
        <v>0</v>
      </c>
      <c r="G62" s="28">
        <v>0</v>
      </c>
    </row>
    <row r="63" spans="2:7" ht="13.5" customHeight="1">
      <c r="B63" s="21" t="s">
        <v>377</v>
      </c>
      <c r="C63" s="28">
        <v>35457.4</v>
      </c>
      <c r="D63" s="28">
        <v>256832</v>
      </c>
      <c r="E63" s="28">
        <v>87430.399999999994</v>
      </c>
      <c r="F63" s="28">
        <v>132620.4</v>
      </c>
      <c r="G63" s="28">
        <v>79697.899999999994</v>
      </c>
    </row>
    <row r="64" spans="2:7" ht="13.5" customHeight="1">
      <c r="B64" s="21" t="s">
        <v>378</v>
      </c>
      <c r="C64" s="28">
        <v>0</v>
      </c>
      <c r="D64" s="28">
        <v>0</v>
      </c>
      <c r="E64" s="28">
        <v>0</v>
      </c>
      <c r="F64" s="28">
        <v>0</v>
      </c>
      <c r="G64" s="28">
        <v>0</v>
      </c>
    </row>
    <row r="65" spans="2:7" ht="13.5" customHeight="1">
      <c r="B65" s="21" t="s">
        <v>379</v>
      </c>
      <c r="C65" s="28">
        <v>35457.4</v>
      </c>
      <c r="D65" s="28">
        <v>256832</v>
      </c>
      <c r="E65" s="28">
        <v>87430.399999999994</v>
      </c>
      <c r="F65" s="28">
        <v>132620.4</v>
      </c>
      <c r="G65" s="28">
        <v>79697.899999999994</v>
      </c>
    </row>
    <row r="66" spans="2:7" ht="13.5" customHeight="1">
      <c r="C66" s="28"/>
      <c r="D66" s="28"/>
      <c r="E66" s="28"/>
      <c r="F66" s="28"/>
      <c r="G66" s="28"/>
    </row>
    <row r="67" spans="2:7" s="26" customFormat="1" ht="13.5" customHeight="1">
      <c r="B67" s="26" t="s">
        <v>380</v>
      </c>
      <c r="C67" s="27">
        <v>0</v>
      </c>
      <c r="D67" s="27">
        <v>59937.8</v>
      </c>
      <c r="E67" s="27">
        <v>56464.5</v>
      </c>
      <c r="F67" s="27">
        <v>52757.5</v>
      </c>
      <c r="G67" s="27">
        <v>0</v>
      </c>
    </row>
    <row r="68" spans="2:7" ht="13.5" customHeight="1">
      <c r="B68" s="21" t="s">
        <v>381</v>
      </c>
      <c r="C68" s="28">
        <v>0</v>
      </c>
      <c r="D68" s="28">
        <v>0</v>
      </c>
      <c r="E68" s="28">
        <v>0</v>
      </c>
      <c r="F68" s="28">
        <v>0</v>
      </c>
      <c r="G68" s="28">
        <v>0</v>
      </c>
    </row>
    <row r="69" spans="2:7" ht="13.5" customHeight="1">
      <c r="B69" s="21" t="s">
        <v>382</v>
      </c>
      <c r="C69" s="28">
        <v>0</v>
      </c>
      <c r="D69" s="28">
        <v>59937.8</v>
      </c>
      <c r="E69" s="28">
        <v>56464.5</v>
      </c>
      <c r="F69" s="28">
        <v>52757.5</v>
      </c>
      <c r="G69" s="28">
        <v>0</v>
      </c>
    </row>
    <row r="70" spans="2:7" ht="13.5" customHeight="1">
      <c r="B70" s="21" t="s">
        <v>383</v>
      </c>
      <c r="C70" s="28">
        <v>0</v>
      </c>
      <c r="D70" s="28">
        <v>0</v>
      </c>
      <c r="E70" s="28">
        <v>0</v>
      </c>
      <c r="F70" s="28">
        <v>0</v>
      </c>
      <c r="G70" s="28">
        <v>0</v>
      </c>
    </row>
    <row r="71" spans="2:7" ht="13.5" customHeight="1">
      <c r="B71" s="21" t="s">
        <v>384</v>
      </c>
      <c r="C71" s="28">
        <v>0</v>
      </c>
      <c r="D71" s="28">
        <v>0</v>
      </c>
      <c r="E71" s="28">
        <v>0</v>
      </c>
      <c r="F71" s="28">
        <v>0</v>
      </c>
      <c r="G71" s="28">
        <v>0</v>
      </c>
    </row>
    <row r="72" spans="2:7" ht="13.5" customHeight="1">
      <c r="B72" s="21" t="s">
        <v>385</v>
      </c>
      <c r="C72" s="28">
        <v>0</v>
      </c>
      <c r="D72" s="28">
        <v>0</v>
      </c>
      <c r="E72" s="28">
        <v>0</v>
      </c>
      <c r="F72" s="28">
        <v>0</v>
      </c>
      <c r="G72" s="28">
        <v>0</v>
      </c>
    </row>
    <row r="73" spans="2:7" ht="13.5" customHeight="1">
      <c r="C73" s="28"/>
      <c r="D73" s="28"/>
      <c r="E73" s="28"/>
      <c r="F73" s="28"/>
      <c r="G73" s="28"/>
    </row>
    <row r="74" spans="2:7" s="26" customFormat="1" ht="13.5" customHeight="1">
      <c r="B74" s="26" t="s">
        <v>386</v>
      </c>
      <c r="C74" s="27">
        <v>218571.5</v>
      </c>
      <c r="D74" s="27">
        <v>786843.7</v>
      </c>
      <c r="E74" s="27">
        <v>773963.1</v>
      </c>
      <c r="F74" s="27">
        <v>793813.2</v>
      </c>
      <c r="G74" s="27">
        <v>806891.1</v>
      </c>
    </row>
    <row r="75" spans="2:7" ht="13.5" customHeight="1">
      <c r="B75" s="21" t="s">
        <v>387</v>
      </c>
      <c r="C75" s="28">
        <v>97701.1</v>
      </c>
      <c r="D75" s="28">
        <v>84768.1</v>
      </c>
      <c r="E75" s="28">
        <v>104029.5</v>
      </c>
      <c r="F75" s="28">
        <v>76720.2</v>
      </c>
      <c r="G75" s="28">
        <v>88371.4</v>
      </c>
    </row>
    <row r="76" spans="2:7" ht="13.5" customHeight="1">
      <c r="B76" s="21" t="s">
        <v>388</v>
      </c>
      <c r="C76" s="28">
        <v>120870.5</v>
      </c>
      <c r="D76" s="28">
        <v>149548.70000000001</v>
      </c>
      <c r="E76" s="28">
        <v>178798.7</v>
      </c>
      <c r="F76" s="28">
        <v>287349.8</v>
      </c>
      <c r="G76" s="28">
        <v>350168.4</v>
      </c>
    </row>
    <row r="77" spans="2:7" ht="13.5" customHeight="1">
      <c r="B77" s="21" t="s">
        <v>389</v>
      </c>
      <c r="C77" s="28">
        <v>0</v>
      </c>
      <c r="D77" s="28">
        <v>0</v>
      </c>
      <c r="E77" s="28">
        <v>0</v>
      </c>
      <c r="F77" s="28">
        <v>0</v>
      </c>
      <c r="G77" s="28">
        <v>0</v>
      </c>
    </row>
    <row r="78" spans="2:7" ht="13.5" customHeight="1">
      <c r="B78" s="21" t="s">
        <v>390</v>
      </c>
      <c r="C78" s="28">
        <v>0</v>
      </c>
      <c r="D78" s="28">
        <v>0</v>
      </c>
      <c r="E78" s="28">
        <v>0</v>
      </c>
      <c r="F78" s="28">
        <v>0</v>
      </c>
      <c r="G78" s="28">
        <v>0</v>
      </c>
    </row>
    <row r="79" spans="2:7" ht="13.5" customHeight="1">
      <c r="B79" s="21" t="s">
        <v>391</v>
      </c>
      <c r="C79" s="28">
        <v>0</v>
      </c>
      <c r="D79" s="28">
        <v>552526.80000000005</v>
      </c>
      <c r="E79" s="28">
        <v>491135</v>
      </c>
      <c r="F79" s="28">
        <v>429743.1</v>
      </c>
      <c r="G79" s="28">
        <v>368351.2</v>
      </c>
    </row>
    <row r="80" spans="2:7" ht="13.5" customHeight="1">
      <c r="C80" s="28"/>
      <c r="D80" s="28"/>
      <c r="E80" s="28"/>
      <c r="F80" s="28"/>
      <c r="G80" s="28"/>
    </row>
    <row r="81" spans="2:7" s="26" customFormat="1" ht="13.5" customHeight="1">
      <c r="B81" s="26" t="s">
        <v>392</v>
      </c>
      <c r="C81" s="27">
        <v>22822664.199999999</v>
      </c>
      <c r="D81" s="27">
        <v>28122531.5</v>
      </c>
      <c r="E81" s="27">
        <v>41708095.5</v>
      </c>
      <c r="F81" s="27">
        <v>46030880</v>
      </c>
      <c r="G81" s="27">
        <v>62971404.799999997</v>
      </c>
    </row>
    <row r="82" spans="2:7" s="26" customFormat="1" ht="13.5" customHeight="1">
      <c r="C82" s="27"/>
      <c r="D82" s="27"/>
      <c r="E82" s="27"/>
      <c r="F82" s="27"/>
      <c r="G82" s="27"/>
    </row>
    <row r="83" spans="2:7" s="26" customFormat="1" ht="13.5" customHeight="1">
      <c r="B83" s="26" t="s">
        <v>393</v>
      </c>
      <c r="C83" s="27">
        <v>16913747.899999999</v>
      </c>
      <c r="D83" s="27">
        <v>19139496.199999999</v>
      </c>
      <c r="E83" s="27">
        <v>29564503.399999999</v>
      </c>
      <c r="F83" s="27">
        <v>30549190.100000001</v>
      </c>
      <c r="G83" s="27">
        <v>42593158.799999997</v>
      </c>
    </row>
    <row r="84" spans="2:7" s="26" customFormat="1" ht="13.5" customHeight="1">
      <c r="C84" s="27"/>
      <c r="D84" s="27"/>
      <c r="E84" s="27"/>
      <c r="F84" s="27"/>
      <c r="G84" s="27"/>
    </row>
    <row r="85" spans="2:7" s="26" customFormat="1" ht="13.5" customHeight="1">
      <c r="B85" s="26" t="s">
        <v>394</v>
      </c>
      <c r="C85" s="27">
        <v>15713814.9</v>
      </c>
      <c r="D85" s="27">
        <v>17929433</v>
      </c>
      <c r="E85" s="27">
        <v>28442366.699999999</v>
      </c>
      <c r="F85" s="27">
        <v>29422513.399999999</v>
      </c>
      <c r="G85" s="27">
        <v>42593158.799999997</v>
      </c>
    </row>
    <row r="86" spans="2:7" ht="13.5" customHeight="1">
      <c r="B86" s="21" t="s">
        <v>395</v>
      </c>
      <c r="C86" s="28">
        <v>7373229.7000000002</v>
      </c>
      <c r="D86" s="28">
        <v>8244614.2000000002</v>
      </c>
      <c r="E86" s="28">
        <v>12055385.5</v>
      </c>
      <c r="F86" s="28">
        <v>8728168.9000000004</v>
      </c>
      <c r="G86" s="28">
        <v>12179774.800000001</v>
      </c>
    </row>
    <row r="87" spans="2:7" ht="13.5" customHeight="1">
      <c r="B87" s="21" t="s">
        <v>396</v>
      </c>
      <c r="C87" s="28">
        <v>22475.5</v>
      </c>
      <c r="D87" s="28">
        <v>38061.599999999999</v>
      </c>
      <c r="E87" s="28">
        <v>81194.100000000006</v>
      </c>
      <c r="F87" s="28">
        <v>86907.4</v>
      </c>
      <c r="G87" s="28">
        <v>98379.3</v>
      </c>
    </row>
    <row r="88" spans="2:7" ht="13.5" customHeight="1">
      <c r="B88" s="21" t="s">
        <v>397</v>
      </c>
      <c r="C88" s="28">
        <v>137421.6</v>
      </c>
      <c r="D88" s="28">
        <v>217699.6</v>
      </c>
      <c r="E88" s="28">
        <v>374623.3</v>
      </c>
      <c r="F88" s="28">
        <v>634917.9</v>
      </c>
      <c r="G88" s="28">
        <v>696559</v>
      </c>
    </row>
    <row r="89" spans="2:7" ht="13.5" customHeight="1">
      <c r="B89" s="21" t="s">
        <v>398</v>
      </c>
      <c r="C89" s="28">
        <v>133725.1</v>
      </c>
      <c r="D89" s="28">
        <v>149775</v>
      </c>
      <c r="E89" s="28">
        <v>258242.3</v>
      </c>
      <c r="F89" s="28">
        <v>533572.30000000005</v>
      </c>
      <c r="G89" s="28">
        <v>531987.4</v>
      </c>
    </row>
    <row r="90" spans="2:7" ht="13.5" customHeight="1">
      <c r="B90" s="21" t="s">
        <v>399</v>
      </c>
      <c r="C90" s="28">
        <v>1585372.4</v>
      </c>
      <c r="D90" s="28">
        <v>2173064.9</v>
      </c>
      <c r="E90" s="28">
        <v>1851967</v>
      </c>
      <c r="F90" s="28">
        <v>3191005.4</v>
      </c>
      <c r="G90" s="28">
        <v>3885356.4</v>
      </c>
    </row>
    <row r="91" spans="2:7" ht="13.5" customHeight="1">
      <c r="B91" s="21" t="s">
        <v>400</v>
      </c>
      <c r="C91" s="28">
        <v>0</v>
      </c>
      <c r="D91" s="28">
        <v>0</v>
      </c>
      <c r="E91" s="28">
        <v>0</v>
      </c>
      <c r="F91" s="28">
        <v>0</v>
      </c>
      <c r="G91" s="28">
        <v>0</v>
      </c>
    </row>
    <row r="92" spans="2:7" ht="13.5" customHeight="1">
      <c r="B92" s="21" t="s">
        <v>401</v>
      </c>
      <c r="C92" s="28">
        <v>0</v>
      </c>
      <c r="D92" s="28">
        <v>0</v>
      </c>
      <c r="E92" s="28">
        <v>0</v>
      </c>
      <c r="F92" s="28">
        <v>0</v>
      </c>
      <c r="G92" s="28">
        <v>0</v>
      </c>
    </row>
    <row r="93" spans="2:7" ht="13.5" customHeight="1">
      <c r="B93" s="21" t="s">
        <v>402</v>
      </c>
      <c r="C93" s="28">
        <v>0</v>
      </c>
      <c r="D93" s="28">
        <v>0</v>
      </c>
      <c r="E93" s="28">
        <v>333.6</v>
      </c>
      <c r="F93" s="28">
        <v>308.39999999999998</v>
      </c>
      <c r="G93" s="28">
        <v>0</v>
      </c>
    </row>
    <row r="94" spans="2:7" ht="13.5" customHeight="1">
      <c r="B94" s="21" t="s">
        <v>403</v>
      </c>
      <c r="C94" s="28">
        <v>807310.1</v>
      </c>
      <c r="D94" s="28">
        <v>1208214.3</v>
      </c>
      <c r="E94" s="28">
        <v>717884.7</v>
      </c>
      <c r="F94" s="28">
        <v>546045.4</v>
      </c>
      <c r="G94" s="28">
        <v>476319.9</v>
      </c>
    </row>
    <row r="95" spans="2:7" ht="13.5" customHeight="1">
      <c r="B95" s="21" t="s">
        <v>404</v>
      </c>
      <c r="C95" s="28">
        <v>5603506</v>
      </c>
      <c r="D95" s="28">
        <v>5836454.5999999996</v>
      </c>
      <c r="E95" s="28">
        <v>13031015.6</v>
      </c>
      <c r="F95" s="28">
        <v>15625180.300000001</v>
      </c>
      <c r="G95" s="28">
        <v>24647474.300000001</v>
      </c>
    </row>
    <row r="96" spans="2:7" ht="13.5" customHeight="1">
      <c r="B96" s="21" t="s">
        <v>405</v>
      </c>
      <c r="C96" s="28">
        <v>45824.5</v>
      </c>
      <c r="D96" s="28">
        <v>56568.6</v>
      </c>
      <c r="E96" s="28">
        <v>71690.5</v>
      </c>
      <c r="F96" s="28">
        <v>76377.399999999994</v>
      </c>
      <c r="G96" s="28">
        <v>77277.600000000006</v>
      </c>
    </row>
    <row r="97" spans="2:7" ht="13.5" customHeight="1">
      <c r="B97" s="21" t="s">
        <v>406</v>
      </c>
      <c r="C97" s="28">
        <v>4950</v>
      </c>
      <c r="D97" s="28">
        <v>4980.1000000000004</v>
      </c>
      <c r="E97" s="28">
        <v>30.1</v>
      </c>
      <c r="F97" s="28">
        <v>30.1</v>
      </c>
      <c r="G97" s="28">
        <v>30.1</v>
      </c>
    </row>
    <row r="98" spans="2:7" ht="13.5" customHeight="1">
      <c r="B98" s="21" t="s">
        <v>407</v>
      </c>
      <c r="C98" s="28">
        <v>0</v>
      </c>
      <c r="D98" s="28">
        <v>0</v>
      </c>
      <c r="E98" s="28">
        <v>0</v>
      </c>
      <c r="F98" s="28">
        <v>0</v>
      </c>
      <c r="G98" s="28">
        <v>0</v>
      </c>
    </row>
    <row r="99" spans="2:7" ht="13.5" customHeight="1">
      <c r="B99" s="21" t="s">
        <v>408</v>
      </c>
      <c r="C99" s="28">
        <v>0</v>
      </c>
      <c r="D99" s="28">
        <v>0</v>
      </c>
      <c r="E99" s="28">
        <v>0</v>
      </c>
      <c r="F99" s="28">
        <v>0</v>
      </c>
      <c r="G99" s="28">
        <v>0</v>
      </c>
    </row>
    <row r="100" spans="2:7" ht="13.5" customHeight="1">
      <c r="C100" s="28"/>
      <c r="D100" s="28"/>
      <c r="E100" s="28"/>
      <c r="F100" s="28"/>
      <c r="G100" s="28"/>
    </row>
    <row r="101" spans="2:7" s="26" customFormat="1" ht="13.5" customHeight="1">
      <c r="B101" s="26" t="s">
        <v>409</v>
      </c>
      <c r="C101" s="27">
        <v>1199933</v>
      </c>
      <c r="D101" s="27">
        <v>1210063.2</v>
      </c>
      <c r="E101" s="27">
        <v>1122136.7</v>
      </c>
      <c r="F101" s="27">
        <v>1126676.7</v>
      </c>
      <c r="G101" s="27">
        <v>0</v>
      </c>
    </row>
    <row r="102" spans="2:7" ht="13.5" customHeight="1">
      <c r="B102" s="21" t="s">
        <v>410</v>
      </c>
      <c r="C102" s="28">
        <v>0</v>
      </c>
      <c r="D102" s="28">
        <v>0</v>
      </c>
      <c r="E102" s="28">
        <v>0</v>
      </c>
      <c r="F102" s="28">
        <v>0</v>
      </c>
      <c r="G102" s="28">
        <v>0</v>
      </c>
    </row>
    <row r="103" spans="2:7" ht="13.5" customHeight="1">
      <c r="B103" s="21" t="s">
        <v>411</v>
      </c>
      <c r="C103" s="28">
        <v>0</v>
      </c>
      <c r="D103" s="28">
        <v>0</v>
      </c>
      <c r="E103" s="28">
        <v>0</v>
      </c>
      <c r="F103" s="28">
        <v>0</v>
      </c>
      <c r="G103" s="28">
        <v>0</v>
      </c>
    </row>
    <row r="104" spans="2:7" ht="13.5" customHeight="1">
      <c r="B104" s="21" t="s">
        <v>412</v>
      </c>
      <c r="C104" s="28">
        <v>0</v>
      </c>
      <c r="D104" s="28">
        <v>0</v>
      </c>
      <c r="E104" s="28">
        <v>0</v>
      </c>
      <c r="F104" s="28">
        <v>0</v>
      </c>
      <c r="G104" s="28">
        <v>0</v>
      </c>
    </row>
    <row r="105" spans="2:7" ht="13.5" customHeight="1">
      <c r="B105" s="21" t="s">
        <v>413</v>
      </c>
      <c r="C105" s="28">
        <v>0</v>
      </c>
      <c r="D105" s="28">
        <v>0</v>
      </c>
      <c r="E105" s="28">
        <v>0</v>
      </c>
      <c r="F105" s="28">
        <v>0</v>
      </c>
      <c r="G105" s="28">
        <v>0</v>
      </c>
    </row>
    <row r="106" spans="2:7" ht="13.5" customHeight="1">
      <c r="B106" s="21" t="s">
        <v>414</v>
      </c>
      <c r="C106" s="28">
        <v>0</v>
      </c>
      <c r="D106" s="28">
        <v>0</v>
      </c>
      <c r="E106" s="28">
        <v>0</v>
      </c>
      <c r="F106" s="28">
        <v>0</v>
      </c>
      <c r="G106" s="28">
        <v>0</v>
      </c>
    </row>
    <row r="107" spans="2:7" ht="13.5" customHeight="1">
      <c r="B107" s="21" t="s">
        <v>415</v>
      </c>
      <c r="C107" s="28">
        <v>0</v>
      </c>
      <c r="D107" s="28">
        <v>0</v>
      </c>
      <c r="E107" s="28">
        <v>0</v>
      </c>
      <c r="F107" s="28">
        <v>0</v>
      </c>
      <c r="G107" s="28">
        <v>0</v>
      </c>
    </row>
    <row r="108" spans="2:7" ht="13.5" customHeight="1">
      <c r="B108" s="21" t="s">
        <v>416</v>
      </c>
      <c r="C108" s="28">
        <v>0</v>
      </c>
      <c r="D108" s="28">
        <v>0</v>
      </c>
      <c r="E108" s="28">
        <v>0</v>
      </c>
      <c r="F108" s="28">
        <v>0</v>
      </c>
      <c r="G108" s="28">
        <v>0</v>
      </c>
    </row>
    <row r="109" spans="2:7" ht="13.5" customHeight="1">
      <c r="B109" s="21" t="s">
        <v>417</v>
      </c>
      <c r="C109" s="28">
        <v>1199933</v>
      </c>
      <c r="D109" s="28">
        <v>1208167.1000000001</v>
      </c>
      <c r="E109" s="28">
        <v>1122136.7</v>
      </c>
      <c r="F109" s="28">
        <v>1126676.7</v>
      </c>
      <c r="G109" s="28">
        <v>0</v>
      </c>
    </row>
    <row r="110" spans="2:7" ht="13.5" customHeight="1">
      <c r="B110" s="21" t="s">
        <v>418</v>
      </c>
      <c r="C110" s="28">
        <v>0</v>
      </c>
      <c r="D110" s="28">
        <v>0</v>
      </c>
      <c r="E110" s="28">
        <v>0</v>
      </c>
      <c r="F110" s="28">
        <v>0</v>
      </c>
      <c r="G110" s="28">
        <v>0</v>
      </c>
    </row>
    <row r="111" spans="2:7" ht="13.5" customHeight="1">
      <c r="B111" s="21" t="s">
        <v>419</v>
      </c>
      <c r="C111" s="28">
        <v>0</v>
      </c>
      <c r="D111" s="28">
        <v>0</v>
      </c>
      <c r="E111" s="28">
        <v>0</v>
      </c>
      <c r="F111" s="28">
        <v>0</v>
      </c>
      <c r="G111" s="28">
        <v>0</v>
      </c>
    </row>
    <row r="112" spans="2:7" ht="13.5" customHeight="1">
      <c r="B112" s="21" t="s">
        <v>420</v>
      </c>
      <c r="C112" s="28">
        <v>0</v>
      </c>
      <c r="D112" s="28">
        <v>1896</v>
      </c>
      <c r="E112" s="28">
        <v>0</v>
      </c>
      <c r="F112" s="28">
        <v>0</v>
      </c>
      <c r="G112" s="28">
        <v>0</v>
      </c>
    </row>
    <row r="113" spans="2:27" ht="13.5" customHeight="1">
      <c r="B113" s="21" t="s">
        <v>421</v>
      </c>
      <c r="C113" s="28">
        <v>0</v>
      </c>
      <c r="D113" s="28">
        <v>0</v>
      </c>
      <c r="E113" s="28">
        <v>0</v>
      </c>
      <c r="F113" s="28">
        <v>0</v>
      </c>
      <c r="G113" s="28">
        <v>0</v>
      </c>
    </row>
    <row r="114" spans="2:27" ht="13.5" customHeight="1">
      <c r="B114" s="21" t="s">
        <v>422</v>
      </c>
      <c r="C114" s="28">
        <v>0</v>
      </c>
      <c r="D114" s="28">
        <v>0</v>
      </c>
      <c r="E114" s="28">
        <v>0</v>
      </c>
      <c r="F114" s="28">
        <v>0</v>
      </c>
      <c r="G114" s="28">
        <v>0</v>
      </c>
    </row>
    <row r="115" spans="2:27" ht="13.5" customHeight="1">
      <c r="C115" s="28"/>
      <c r="D115" s="28"/>
      <c r="E115" s="28"/>
      <c r="F115" s="28"/>
      <c r="G115" s="28"/>
    </row>
    <row r="116" spans="2:27" s="26" customFormat="1" ht="13.5" customHeight="1">
      <c r="B116" s="26" t="s">
        <v>423</v>
      </c>
      <c r="C116" s="27">
        <v>5908916.2999999998</v>
      </c>
      <c r="D116" s="27">
        <v>8983035.3000000007</v>
      </c>
      <c r="E116" s="27">
        <v>12143592.199999999</v>
      </c>
      <c r="F116" s="27">
        <v>15481689.800000001</v>
      </c>
      <c r="G116" s="27">
        <v>20378246</v>
      </c>
    </row>
    <row r="117" spans="2:27" s="26" customFormat="1" ht="13.5" customHeight="1">
      <c r="C117" s="27"/>
      <c r="D117" s="27"/>
      <c r="E117" s="27"/>
      <c r="F117" s="27"/>
      <c r="G117" s="27"/>
    </row>
    <row r="118" spans="2:27" s="26" customFormat="1" ht="13.5" customHeight="1">
      <c r="B118" s="26" t="s">
        <v>424</v>
      </c>
      <c r="C118" s="27">
        <v>5908916.2999999998</v>
      </c>
      <c r="D118" s="27">
        <v>8983035.3000000007</v>
      </c>
      <c r="E118" s="27">
        <v>12143592.199999999</v>
      </c>
      <c r="F118" s="27">
        <v>15481689.800000001</v>
      </c>
      <c r="G118" s="27">
        <v>20378246</v>
      </c>
    </row>
    <row r="119" spans="2:27" ht="13.5" customHeight="1">
      <c r="B119" s="21" t="s">
        <v>425</v>
      </c>
      <c r="C119" s="28">
        <v>3169884.4</v>
      </c>
      <c r="D119" s="28">
        <v>4434961.8</v>
      </c>
      <c r="E119" s="28">
        <v>4435461.8</v>
      </c>
      <c r="F119" s="28">
        <v>4532099.9000000004</v>
      </c>
      <c r="G119" s="28">
        <v>7130655</v>
      </c>
    </row>
    <row r="120" spans="2:27" ht="13.5" customHeight="1">
      <c r="B120" s="21" t="s">
        <v>426</v>
      </c>
      <c r="C120" s="28">
        <v>3169884.4</v>
      </c>
      <c r="D120" s="28">
        <v>4434961.8</v>
      </c>
      <c r="E120" s="28">
        <v>4435461.8</v>
      </c>
      <c r="F120" s="28">
        <v>4532099.9000000004</v>
      </c>
      <c r="G120" s="28">
        <v>7130655</v>
      </c>
    </row>
    <row r="121" spans="2:27" ht="13.5" customHeight="1">
      <c r="B121" s="21" t="s">
        <v>427</v>
      </c>
      <c r="C121" s="28">
        <v>0</v>
      </c>
      <c r="D121" s="28">
        <v>0</v>
      </c>
      <c r="E121" s="28">
        <v>0</v>
      </c>
      <c r="F121" s="28">
        <v>0</v>
      </c>
      <c r="G121" s="28">
        <v>0</v>
      </c>
    </row>
    <row r="122" spans="2:27" ht="13.5" customHeight="1">
      <c r="B122" s="21" t="s">
        <v>428</v>
      </c>
      <c r="C122" s="28">
        <v>36717.699999999997</v>
      </c>
      <c r="D122" s="28">
        <v>551452</v>
      </c>
      <c r="E122" s="28">
        <v>555207</v>
      </c>
      <c r="F122" s="28">
        <v>558110.4</v>
      </c>
      <c r="G122" s="28">
        <v>558110.4</v>
      </c>
    </row>
    <row r="123" spans="2:27" ht="13.5" customHeight="1">
      <c r="B123" s="21" t="s">
        <v>429</v>
      </c>
      <c r="C123" s="28">
        <v>0</v>
      </c>
      <c r="D123" s="28">
        <v>0</v>
      </c>
      <c r="E123" s="28">
        <v>0</v>
      </c>
      <c r="F123" s="28">
        <v>0</v>
      </c>
      <c r="G123" s="28">
        <v>0</v>
      </c>
    </row>
    <row r="124" spans="2:27" ht="13.5" customHeight="1">
      <c r="B124" s="21" t="s">
        <v>430</v>
      </c>
      <c r="C124" s="28">
        <v>1130.5</v>
      </c>
      <c r="D124" s="28">
        <v>1130.5</v>
      </c>
      <c r="E124" s="28">
        <v>1130.5</v>
      </c>
      <c r="F124" s="28">
        <v>0</v>
      </c>
      <c r="G124" s="28">
        <v>0</v>
      </c>
    </row>
    <row r="125" spans="2:27" ht="13.5" customHeight="1">
      <c r="B125" s="21" t="s">
        <v>431</v>
      </c>
      <c r="C125" s="28">
        <v>-79.2</v>
      </c>
      <c r="D125" s="28">
        <v>-808.9</v>
      </c>
      <c r="E125" s="28">
        <v>-5658.9</v>
      </c>
      <c r="F125" s="28">
        <v>-6040.9</v>
      </c>
      <c r="G125" s="28">
        <v>-2320</v>
      </c>
    </row>
    <row r="126" spans="2:27" ht="13.5" customHeight="1">
      <c r="B126" s="21" t="s">
        <v>432</v>
      </c>
      <c r="C126" s="28">
        <v>0</v>
      </c>
      <c r="D126" s="28">
        <v>0</v>
      </c>
      <c r="E126" s="28">
        <v>0</v>
      </c>
      <c r="F126" s="28">
        <v>0</v>
      </c>
      <c r="G126" s="28">
        <v>0</v>
      </c>
    </row>
    <row r="127" spans="2:27" ht="13.5" customHeight="1">
      <c r="B127" s="30" t="s">
        <v>433</v>
      </c>
      <c r="C127" s="31">
        <v>-86.1</v>
      </c>
      <c r="D127" s="31">
        <v>446.6</v>
      </c>
      <c r="E127" s="31">
        <v>-28.4</v>
      </c>
      <c r="F127" s="31">
        <v>-1443.8</v>
      </c>
      <c r="G127" s="31">
        <v>5388.4</v>
      </c>
      <c r="H127" s="30"/>
      <c r="I127" s="30"/>
      <c r="J127" s="30"/>
      <c r="K127" s="30"/>
      <c r="L127" s="30"/>
      <c r="M127" s="30"/>
      <c r="N127" s="30"/>
      <c r="O127" s="30"/>
      <c r="P127" s="30"/>
      <c r="Q127" s="30"/>
      <c r="R127" s="30"/>
      <c r="S127" s="30"/>
      <c r="T127" s="30"/>
      <c r="U127" s="30"/>
      <c r="V127" s="30"/>
      <c r="W127" s="30"/>
      <c r="X127" s="30"/>
      <c r="Y127" s="30"/>
      <c r="Z127" s="30"/>
      <c r="AA127" s="30"/>
    </row>
    <row r="128" spans="2:27" ht="13.5" customHeight="1">
      <c r="B128" s="21" t="s">
        <v>434</v>
      </c>
      <c r="C128" s="28">
        <v>0</v>
      </c>
      <c r="D128" s="28">
        <v>0</v>
      </c>
      <c r="E128" s="28">
        <v>0</v>
      </c>
      <c r="F128" s="28">
        <v>0</v>
      </c>
      <c r="G128" s="28">
        <v>0</v>
      </c>
    </row>
    <row r="129" spans="2:7" ht="13.5" customHeight="1">
      <c r="B129" s="21" t="s">
        <v>435</v>
      </c>
      <c r="C129" s="28">
        <v>0</v>
      </c>
      <c r="D129" s="28">
        <v>0</v>
      </c>
      <c r="E129" s="28">
        <v>0</v>
      </c>
      <c r="F129" s="28">
        <v>0</v>
      </c>
      <c r="G129" s="28">
        <v>0</v>
      </c>
    </row>
    <row r="130" spans="2:7" ht="13.5" customHeight="1">
      <c r="B130" s="21" t="s">
        <v>436</v>
      </c>
      <c r="C130" s="28">
        <v>0</v>
      </c>
      <c r="D130" s="28">
        <v>0</v>
      </c>
      <c r="E130" s="28">
        <v>0</v>
      </c>
      <c r="F130" s="28">
        <v>0</v>
      </c>
      <c r="G130" s="28">
        <v>0</v>
      </c>
    </row>
    <row r="131" spans="2:7" ht="13.5" customHeight="1">
      <c r="B131" s="21" t="s">
        <v>437</v>
      </c>
      <c r="C131" s="28">
        <v>2698572.7</v>
      </c>
      <c r="D131" s="28">
        <v>3989603.9</v>
      </c>
      <c r="E131" s="28">
        <v>7149694.2000000002</v>
      </c>
      <c r="F131" s="28">
        <v>10389683.6</v>
      </c>
      <c r="G131" s="28">
        <v>12674574.199999999</v>
      </c>
    </row>
    <row r="132" spans="2:7" ht="13.5" customHeight="1">
      <c r="B132" s="21" t="s">
        <v>438</v>
      </c>
      <c r="C132" s="28">
        <v>492893.1</v>
      </c>
      <c r="D132" s="28">
        <v>1138290.7</v>
      </c>
      <c r="E132" s="28">
        <v>3315424.6</v>
      </c>
      <c r="F132" s="28">
        <v>6470785.2999999998</v>
      </c>
      <c r="G132" s="28">
        <v>7775704.9000000004</v>
      </c>
    </row>
    <row r="133" spans="2:7" ht="13.5" customHeight="1">
      <c r="B133" s="21" t="s">
        <v>439</v>
      </c>
      <c r="C133" s="28">
        <v>2205679.6</v>
      </c>
      <c r="D133" s="28">
        <v>2851313.2</v>
      </c>
      <c r="E133" s="28">
        <v>3834269.5</v>
      </c>
      <c r="F133" s="28">
        <v>3918898.3</v>
      </c>
      <c r="G133" s="28">
        <v>4898869.3</v>
      </c>
    </row>
    <row r="134" spans="2:7" ht="13.5" customHeight="1">
      <c r="B134" s="21" t="s">
        <v>440</v>
      </c>
      <c r="C134" s="28">
        <v>0</v>
      </c>
      <c r="D134" s="28">
        <v>0</v>
      </c>
      <c r="E134" s="28">
        <v>0</v>
      </c>
      <c r="F134" s="28">
        <v>0</v>
      </c>
      <c r="G134" s="28">
        <v>0</v>
      </c>
    </row>
    <row r="135" spans="2:7" ht="13.5" customHeight="1">
      <c r="B135" s="21" t="s">
        <v>441</v>
      </c>
      <c r="C135" s="28">
        <v>2776.3</v>
      </c>
      <c r="D135" s="28">
        <v>6249.4</v>
      </c>
      <c r="E135" s="28">
        <v>7786.1</v>
      </c>
      <c r="F135" s="28">
        <v>9280.6</v>
      </c>
      <c r="G135" s="28">
        <v>11838</v>
      </c>
    </row>
    <row r="136" spans="2:7" ht="13.5" customHeight="1">
      <c r="C136" s="28"/>
      <c r="D136" s="28"/>
      <c r="E136" s="28"/>
      <c r="F136" s="28"/>
      <c r="G136" s="28"/>
    </row>
    <row r="137" spans="2:7" s="26" customFormat="1" ht="13.5" customHeight="1">
      <c r="B137" s="26" t="s">
        <v>442</v>
      </c>
      <c r="C137" s="27">
        <v>0</v>
      </c>
      <c r="D137" s="27">
        <v>0</v>
      </c>
      <c r="E137" s="27">
        <v>0</v>
      </c>
      <c r="F137" s="27">
        <v>0</v>
      </c>
      <c r="G137" s="27">
        <v>0</v>
      </c>
    </row>
    <row r="138" spans="2:7" ht="13.5" customHeight="1">
      <c r="B138" s="21" t="s">
        <v>443</v>
      </c>
      <c r="C138" s="28">
        <v>0</v>
      </c>
      <c r="D138" s="28">
        <v>0</v>
      </c>
      <c r="E138" s="28">
        <v>0</v>
      </c>
      <c r="F138" s="28">
        <v>0</v>
      </c>
      <c r="G138" s="28">
        <v>0</v>
      </c>
    </row>
    <row r="139" spans="2:7" ht="13.5" customHeight="1">
      <c r="B139" s="21" t="s">
        <v>444</v>
      </c>
      <c r="C139" s="28">
        <v>0</v>
      </c>
      <c r="D139" s="28">
        <v>0</v>
      </c>
      <c r="E139" s="28">
        <v>0</v>
      </c>
      <c r="F139" s="28">
        <v>0</v>
      </c>
      <c r="G139" s="28">
        <v>0</v>
      </c>
    </row>
    <row r="140" spans="2:7" ht="13.5" customHeight="1">
      <c r="C140" s="28"/>
      <c r="D140" s="28"/>
      <c r="E140" s="28"/>
      <c r="F140" s="28"/>
      <c r="G140" s="28"/>
    </row>
    <row r="141" spans="2:7" s="26" customFormat="1" ht="13.5" customHeight="1">
      <c r="B141" s="26" t="s">
        <v>445</v>
      </c>
      <c r="C141" s="27">
        <v>22822664.199999999</v>
      </c>
      <c r="D141" s="27">
        <v>28122531.5</v>
      </c>
      <c r="E141" s="27">
        <v>41708095.5</v>
      </c>
      <c r="F141" s="27">
        <v>46030880</v>
      </c>
      <c r="G141" s="27">
        <v>62971404.799999997</v>
      </c>
    </row>
    <row r="142" spans="2:7" ht="18" customHeight="1"/>
    <row r="143" spans="2:7" ht="13.5" customHeight="1"/>
    <row r="144" spans="2:7" s="25" customFormat="1" ht="21" customHeight="1">
      <c r="B144" s="25" t="s">
        <v>446</v>
      </c>
    </row>
    <row r="145" spans="2:7" ht="13.5" customHeight="1">
      <c r="B145" s="21" t="s">
        <v>330</v>
      </c>
      <c r="C145" s="21" t="s">
        <v>3</v>
      </c>
      <c r="D145" s="21" t="s">
        <v>3</v>
      </c>
      <c r="E145" s="21" t="s">
        <v>3</v>
      </c>
      <c r="F145" s="21" t="s">
        <v>3</v>
      </c>
      <c r="G145" s="21" t="s">
        <v>3</v>
      </c>
    </row>
    <row r="146" spans="2:7" ht="13.5" customHeight="1">
      <c r="B146" s="21" t="s">
        <v>331</v>
      </c>
      <c r="C146" s="21" t="s">
        <v>512</v>
      </c>
      <c r="D146" s="21" t="s">
        <v>512</v>
      </c>
      <c r="E146" s="21" t="s">
        <v>512</v>
      </c>
      <c r="F146" s="21" t="s">
        <v>512</v>
      </c>
      <c r="G146" s="21" t="s">
        <v>512</v>
      </c>
    </row>
    <row r="147" spans="2:7" ht="13.5" customHeight="1"/>
    <row r="148" spans="2:7" s="26" customFormat="1" ht="13.5" customHeight="1">
      <c r="B148" s="26" t="s">
        <v>447</v>
      </c>
      <c r="C148" s="27">
        <v>67698540.700000003</v>
      </c>
      <c r="D148" s="27">
        <v>87738379</v>
      </c>
      <c r="E148" s="27">
        <v>103485046.7</v>
      </c>
      <c r="F148" s="27">
        <v>109801253.7</v>
      </c>
      <c r="G148" s="27">
        <v>124141525.7</v>
      </c>
    </row>
    <row r="149" spans="2:7" s="26" customFormat="1" ht="13.5" customHeight="1">
      <c r="C149" s="27"/>
      <c r="D149" s="27"/>
      <c r="E149" s="27"/>
      <c r="F149" s="27"/>
      <c r="G149" s="27"/>
    </row>
    <row r="150" spans="2:7" ht="13.5" customHeight="1">
      <c r="B150" s="21" t="s">
        <v>448</v>
      </c>
      <c r="C150" s="28">
        <v>1358736.5</v>
      </c>
      <c r="D150" s="28">
        <v>1222092</v>
      </c>
      <c r="E150" s="28">
        <v>1310802.7</v>
      </c>
      <c r="F150" s="28">
        <v>1255234</v>
      </c>
      <c r="G150" s="28">
        <v>1183419.6000000001</v>
      </c>
    </row>
    <row r="151" spans="2:7" ht="13.5" customHeight="1">
      <c r="C151" s="28"/>
      <c r="D151" s="28"/>
      <c r="E151" s="28"/>
      <c r="F151" s="28"/>
      <c r="G151" s="28"/>
    </row>
    <row r="152" spans="2:7" s="26" customFormat="1" ht="13.5" customHeight="1">
      <c r="B152" s="26" t="s">
        <v>449</v>
      </c>
      <c r="C152" s="27">
        <v>66339804.200000003</v>
      </c>
      <c r="D152" s="27">
        <v>86516287</v>
      </c>
      <c r="E152" s="27">
        <v>102174244</v>
      </c>
      <c r="F152" s="27">
        <v>108546019.7</v>
      </c>
      <c r="G152" s="27">
        <v>122958106.09999999</v>
      </c>
    </row>
    <row r="153" spans="2:7" s="26" customFormat="1" ht="13.5" customHeight="1">
      <c r="C153" s="27"/>
      <c r="D153" s="27"/>
      <c r="E153" s="27"/>
      <c r="F153" s="27"/>
      <c r="G153" s="27"/>
    </row>
    <row r="154" spans="2:7" s="26" customFormat="1" ht="13.5" customHeight="1">
      <c r="B154" s="26" t="s">
        <v>450</v>
      </c>
      <c r="C154" s="27">
        <v>55198024.899999999</v>
      </c>
      <c r="D154" s="27">
        <v>71224159.200000003</v>
      </c>
      <c r="E154" s="27">
        <v>82686444.700000003</v>
      </c>
      <c r="F154" s="27">
        <v>84591522.400000006</v>
      </c>
      <c r="G154" s="27">
        <v>95325974.099999994</v>
      </c>
    </row>
    <row r="155" spans="2:7" ht="13.5" customHeight="1">
      <c r="C155" s="28"/>
      <c r="D155" s="28"/>
      <c r="E155" s="28"/>
      <c r="F155" s="28"/>
      <c r="G155" s="28"/>
    </row>
    <row r="156" spans="2:7" s="26" customFormat="1" ht="13.5" customHeight="1">
      <c r="B156" s="26" t="s">
        <v>451</v>
      </c>
      <c r="C156" s="27">
        <v>11141779.300000001</v>
      </c>
      <c r="D156" s="27">
        <v>15292127.800000001</v>
      </c>
      <c r="E156" s="27">
        <v>19487799.300000001</v>
      </c>
      <c r="F156" s="27">
        <v>23954497.300000001</v>
      </c>
      <c r="G156" s="27">
        <v>27632132</v>
      </c>
    </row>
    <row r="157" spans="2:7" ht="13.5" customHeight="1">
      <c r="C157" s="28"/>
      <c r="D157" s="28"/>
      <c r="E157" s="28"/>
      <c r="F157" s="28"/>
      <c r="G157" s="28"/>
    </row>
    <row r="158" spans="2:7" ht="13.5" customHeight="1">
      <c r="B158" s="21" t="s">
        <v>452</v>
      </c>
      <c r="C158" s="28">
        <v>250509.8</v>
      </c>
      <c r="D158" s="28">
        <v>342083.9</v>
      </c>
      <c r="E158" s="28">
        <v>631177.9</v>
      </c>
      <c r="F158" s="28">
        <v>794121.8</v>
      </c>
      <c r="G158" s="28">
        <v>1287956</v>
      </c>
    </row>
    <row r="159" spans="2:7" ht="13.5" customHeight="1">
      <c r="C159" s="28"/>
      <c r="D159" s="28"/>
      <c r="E159" s="28"/>
      <c r="F159" s="28"/>
      <c r="G159" s="28"/>
    </row>
    <row r="160" spans="2:7" ht="13.5" customHeight="1">
      <c r="B160" s="21" t="s">
        <v>453</v>
      </c>
      <c r="C160" s="28">
        <v>234286.6</v>
      </c>
      <c r="D160" s="28">
        <v>436573.2</v>
      </c>
      <c r="E160" s="28">
        <v>569754.80000000005</v>
      </c>
      <c r="F160" s="28">
        <v>594151.5</v>
      </c>
      <c r="G160" s="28">
        <v>714707.2</v>
      </c>
    </row>
    <row r="161" spans="2:7" ht="13.5" customHeight="1">
      <c r="B161" s="21" t="s">
        <v>454</v>
      </c>
      <c r="C161" s="28">
        <v>233202.3</v>
      </c>
      <c r="D161" s="28">
        <v>436416.6</v>
      </c>
      <c r="E161" s="28">
        <v>568136.69999999995</v>
      </c>
      <c r="F161" s="28">
        <v>594003.80000000005</v>
      </c>
      <c r="G161" s="28">
        <v>674427.7</v>
      </c>
    </row>
    <row r="162" spans="2:7" ht="13.5" customHeight="1">
      <c r="C162" s="28"/>
      <c r="D162" s="28"/>
      <c r="E162" s="28"/>
      <c r="F162" s="28"/>
      <c r="G162" s="28"/>
    </row>
    <row r="163" spans="2:7" ht="13.5" customHeight="1">
      <c r="B163" s="21" t="s">
        <v>455</v>
      </c>
      <c r="C163" s="28">
        <v>0</v>
      </c>
      <c r="D163" s="28">
        <v>-2101</v>
      </c>
      <c r="E163" s="28">
        <v>-3473.3</v>
      </c>
      <c r="F163" s="28">
        <v>-3706.9</v>
      </c>
      <c r="G163" s="28">
        <v>-2210.5</v>
      </c>
    </row>
    <row r="164" spans="2:7" ht="13.5" customHeight="1">
      <c r="C164" s="28"/>
      <c r="D164" s="28"/>
      <c r="E164" s="28"/>
      <c r="F164" s="28"/>
      <c r="G164" s="28"/>
    </row>
    <row r="165" spans="2:7" ht="13.5" customHeight="1">
      <c r="B165" s="21" t="s">
        <v>456</v>
      </c>
      <c r="C165" s="28">
        <v>7017061.2999999998</v>
      </c>
      <c r="D165" s="28">
        <v>9659741.1999999993</v>
      </c>
      <c r="E165" s="28">
        <v>12437282.699999999</v>
      </c>
      <c r="F165" s="28">
        <v>15333798.800000001</v>
      </c>
      <c r="G165" s="28">
        <v>17914173.300000001</v>
      </c>
    </row>
    <row r="166" spans="2:7" ht="13.5" customHeight="1">
      <c r="C166" s="28"/>
      <c r="D166" s="28"/>
      <c r="E166" s="28"/>
      <c r="F166" s="28"/>
      <c r="G166" s="28"/>
    </row>
    <row r="167" spans="2:7" ht="13.5" customHeight="1">
      <c r="B167" s="21" t="s">
        <v>457</v>
      </c>
      <c r="C167" s="28">
        <v>1345497.4</v>
      </c>
      <c r="D167" s="28">
        <v>1761613.9</v>
      </c>
      <c r="E167" s="28">
        <v>2073782.9</v>
      </c>
      <c r="F167" s="28">
        <v>3404431.8</v>
      </c>
      <c r="G167" s="28">
        <v>3823390.1</v>
      </c>
    </row>
    <row r="168" spans="2:7" ht="13.5" customHeight="1">
      <c r="C168" s="28"/>
      <c r="D168" s="28"/>
      <c r="E168" s="28"/>
      <c r="F168" s="28"/>
      <c r="G168" s="28"/>
    </row>
    <row r="169" spans="2:7" s="26" customFormat="1" ht="13.5" customHeight="1">
      <c r="B169" s="26" t="s">
        <v>458</v>
      </c>
      <c r="C169" s="27">
        <v>2795443.8</v>
      </c>
      <c r="D169" s="27">
        <v>3774182.4</v>
      </c>
      <c r="E169" s="27">
        <v>5034683.4000000004</v>
      </c>
      <c r="F169" s="27">
        <v>5412529.9000000004</v>
      </c>
      <c r="G169" s="27">
        <v>6465606.9000000004</v>
      </c>
    </row>
    <row r="170" spans="2:7" ht="13.5" customHeight="1">
      <c r="C170" s="28"/>
      <c r="D170" s="28"/>
      <c r="E170" s="28"/>
      <c r="F170" s="28"/>
      <c r="G170" s="28"/>
    </row>
    <row r="171" spans="2:7" ht="13.5" customHeight="1">
      <c r="B171" s="21" t="s">
        <v>459</v>
      </c>
      <c r="C171" s="28">
        <v>17684.599999999999</v>
      </c>
      <c r="D171" s="28">
        <v>33233.300000000003</v>
      </c>
      <c r="E171" s="28">
        <v>41557</v>
      </c>
      <c r="F171" s="28">
        <v>43512.7</v>
      </c>
      <c r="G171" s="28">
        <v>54872.800000000003</v>
      </c>
    </row>
    <row r="172" spans="2:7" ht="13.5" customHeight="1">
      <c r="C172" s="28"/>
      <c r="D172" s="28"/>
      <c r="E172" s="28"/>
      <c r="F172" s="28"/>
      <c r="G172" s="28"/>
    </row>
    <row r="173" spans="2:7" ht="13.5" customHeight="1">
      <c r="B173" s="21" t="s">
        <v>460</v>
      </c>
      <c r="C173" s="28">
        <v>3816.4</v>
      </c>
      <c r="D173" s="28">
        <v>21097.200000000001</v>
      </c>
      <c r="E173" s="28">
        <v>22793.3</v>
      </c>
      <c r="F173" s="28">
        <v>46307.199999999997</v>
      </c>
      <c r="G173" s="28">
        <v>48896</v>
      </c>
    </row>
    <row r="174" spans="2:7" ht="13.5" customHeight="1">
      <c r="C174" s="28"/>
      <c r="D174" s="28"/>
      <c r="E174" s="28"/>
      <c r="F174" s="28"/>
      <c r="G174" s="28"/>
    </row>
    <row r="175" spans="2:7" ht="13.5" customHeight="1">
      <c r="B175" s="21" t="s">
        <v>461</v>
      </c>
      <c r="C175" s="28">
        <v>13868.3</v>
      </c>
      <c r="D175" s="28">
        <v>12136.2</v>
      </c>
      <c r="E175" s="28">
        <v>18763.8</v>
      </c>
      <c r="F175" s="28">
        <v>-2794.5</v>
      </c>
      <c r="G175" s="28">
        <v>5976.8</v>
      </c>
    </row>
    <row r="176" spans="2:7" ht="13.5" customHeight="1">
      <c r="C176" s="28"/>
      <c r="D176" s="28"/>
      <c r="E176" s="28"/>
      <c r="F176" s="28"/>
      <c r="G176" s="28"/>
    </row>
    <row r="177" spans="2:27" s="26" customFormat="1" ht="13.5" customHeight="1">
      <c r="B177" s="26" t="s">
        <v>462</v>
      </c>
      <c r="C177" s="27">
        <v>2809312</v>
      </c>
      <c r="D177" s="27">
        <v>3786318.6</v>
      </c>
      <c r="E177" s="27">
        <v>5053447.2</v>
      </c>
      <c r="F177" s="27">
        <v>5409735.4000000004</v>
      </c>
      <c r="G177" s="27">
        <v>6471583.7999999998</v>
      </c>
    </row>
    <row r="178" spans="2:27" ht="13.5" customHeight="1">
      <c r="C178" s="28"/>
      <c r="D178" s="28"/>
      <c r="E178" s="28"/>
      <c r="F178" s="28"/>
      <c r="G178" s="28"/>
    </row>
    <row r="179" spans="2:27" ht="13.5" customHeight="1">
      <c r="B179" s="21" t="s">
        <v>463</v>
      </c>
      <c r="C179" s="28">
        <v>639743.6</v>
      </c>
      <c r="D179" s="28">
        <v>933836.7</v>
      </c>
      <c r="E179" s="28">
        <v>1248353.1000000001</v>
      </c>
      <c r="F179" s="28">
        <v>1598413.8</v>
      </c>
      <c r="G179" s="28">
        <v>1632975.7</v>
      </c>
    </row>
    <row r="180" spans="2:27" ht="13.5" customHeight="1">
      <c r="C180" s="28"/>
      <c r="D180" s="28"/>
      <c r="E180" s="28"/>
      <c r="F180" s="28"/>
      <c r="G180" s="28"/>
    </row>
    <row r="181" spans="2:27" ht="13.5" customHeight="1">
      <c r="B181" s="21" t="s">
        <v>464</v>
      </c>
      <c r="C181" s="28">
        <v>-37328.699999999997</v>
      </c>
      <c r="D181" s="28">
        <v>-27827.200000000001</v>
      </c>
      <c r="E181" s="28">
        <v>-31146</v>
      </c>
      <c r="F181" s="28">
        <v>-108551.1</v>
      </c>
      <c r="G181" s="28">
        <v>-62818.6</v>
      </c>
    </row>
    <row r="182" spans="2:27" ht="13.5" customHeight="1">
      <c r="C182" s="28"/>
      <c r="D182" s="28"/>
      <c r="E182" s="28"/>
      <c r="F182" s="28"/>
      <c r="G182" s="28"/>
    </row>
    <row r="183" spans="2:27" s="26" customFormat="1" ht="13.5" customHeight="1">
      <c r="B183" s="26" t="s">
        <v>465</v>
      </c>
      <c r="C183" s="27">
        <v>2206897.1</v>
      </c>
      <c r="D183" s="27">
        <v>2880309.1</v>
      </c>
      <c r="E183" s="27">
        <v>3836240.1</v>
      </c>
      <c r="F183" s="27">
        <v>3919872.7</v>
      </c>
      <c r="G183" s="27">
        <v>4901426.7</v>
      </c>
    </row>
    <row r="184" spans="2:27" ht="13.5" customHeight="1">
      <c r="C184" s="28"/>
      <c r="D184" s="28"/>
      <c r="E184" s="28"/>
      <c r="F184" s="28"/>
      <c r="G184" s="28"/>
    </row>
    <row r="185" spans="2:27" s="26" customFormat="1" ht="13.5" customHeight="1">
      <c r="B185" s="26" t="s">
        <v>466</v>
      </c>
      <c r="C185" s="27">
        <v>1217.5</v>
      </c>
      <c r="D185" s="27">
        <v>1584.9</v>
      </c>
      <c r="E185" s="27">
        <v>1970.5</v>
      </c>
      <c r="F185" s="27">
        <v>2104.9</v>
      </c>
      <c r="G185" s="27">
        <v>2557.4</v>
      </c>
    </row>
    <row r="186" spans="2:27" s="26" customFormat="1" ht="13.5" customHeight="1">
      <c r="B186" s="26" t="s">
        <v>467</v>
      </c>
      <c r="C186" s="27">
        <v>2205679.6</v>
      </c>
      <c r="D186" s="27">
        <v>2878724.1</v>
      </c>
      <c r="E186" s="27">
        <v>3834269.5</v>
      </c>
      <c r="F186" s="27">
        <v>3917767.8</v>
      </c>
      <c r="G186" s="27">
        <v>4898869.3</v>
      </c>
    </row>
    <row r="187" spans="2:27" ht="13.5" customHeight="1"/>
    <row r="188" spans="2:27" ht="13.5" customHeight="1"/>
    <row r="189" spans="2:27" ht="13.5" customHeight="1"/>
    <row r="190" spans="2:27" s="25" customFormat="1" ht="21" customHeight="1">
      <c r="B190" s="32" t="s">
        <v>468</v>
      </c>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c r="AA190" s="32"/>
    </row>
    <row r="191" spans="2:27" ht="13.5" customHeight="1">
      <c r="B191" s="21" t="s">
        <v>330</v>
      </c>
      <c r="C191" s="24" t="s">
        <v>3</v>
      </c>
      <c r="D191" s="24" t="s">
        <v>3</v>
      </c>
      <c r="E191" s="24" t="s">
        <v>3</v>
      </c>
      <c r="F191" s="24" t="s">
        <v>3</v>
      </c>
      <c r="G191" s="24" t="s">
        <v>3</v>
      </c>
    </row>
    <row r="192" spans="2:27" ht="13.5" customHeight="1">
      <c r="B192" s="21" t="s">
        <v>331</v>
      </c>
      <c r="C192" s="21" t="s">
        <v>512</v>
      </c>
      <c r="D192" s="21" t="s">
        <v>512</v>
      </c>
      <c r="E192" s="21" t="s">
        <v>512</v>
      </c>
      <c r="F192" s="21" t="s">
        <v>512</v>
      </c>
      <c r="G192" s="21" t="s">
        <v>512</v>
      </c>
    </row>
    <row r="193" spans="2:7" ht="13.5" customHeight="1">
      <c r="C193" s="24"/>
      <c r="D193" s="24"/>
      <c r="E193" s="24"/>
      <c r="F193" s="24"/>
      <c r="G193" s="24"/>
    </row>
    <row r="194" spans="2:7" s="26" customFormat="1" ht="13.5" customHeight="1">
      <c r="B194" s="26" t="s">
        <v>469</v>
      </c>
      <c r="C194" s="27">
        <v>2663664</v>
      </c>
      <c r="D194" s="27">
        <v>2261134.5</v>
      </c>
      <c r="E194" s="27">
        <v>-1286080.8</v>
      </c>
      <c r="F194" s="27">
        <v>10792429.199999999</v>
      </c>
      <c r="G194" s="27">
        <v>171390.4</v>
      </c>
    </row>
    <row r="195" spans="2:7" ht="13.5" customHeight="1">
      <c r="B195" s="21" t="s">
        <v>470</v>
      </c>
      <c r="C195" s="28">
        <v>2809312</v>
      </c>
      <c r="D195" s="28">
        <v>3786318.6</v>
      </c>
      <c r="E195" s="28">
        <v>5053447.2</v>
      </c>
      <c r="F195" s="28">
        <v>5409735.4000000004</v>
      </c>
      <c r="G195" s="28">
        <v>6471583.7999999998</v>
      </c>
    </row>
    <row r="196" spans="2:7" ht="13.5" customHeight="1">
      <c r="B196" s="21" t="s">
        <v>471</v>
      </c>
      <c r="C196" s="28">
        <v>0</v>
      </c>
      <c r="D196" s="28">
        <v>0</v>
      </c>
      <c r="E196" s="28">
        <v>0</v>
      </c>
      <c r="F196" s="28">
        <v>0</v>
      </c>
      <c r="G196" s="28">
        <v>0</v>
      </c>
    </row>
    <row r="197" spans="2:7" ht="13.5" customHeight="1">
      <c r="B197" s="21" t="s">
        <v>472</v>
      </c>
      <c r="C197" s="28">
        <v>689713.7</v>
      </c>
      <c r="D197" s="28">
        <v>1222868.7</v>
      </c>
      <c r="E197" s="28">
        <v>1442826.9</v>
      </c>
      <c r="F197" s="28">
        <v>2195583.1</v>
      </c>
      <c r="G197" s="28">
        <v>2920713.6</v>
      </c>
    </row>
    <row r="198" spans="2:7" ht="13.5" customHeight="1">
      <c r="B198" s="21" t="s">
        <v>473</v>
      </c>
      <c r="C198" s="28">
        <v>125969</v>
      </c>
      <c r="D198" s="28">
        <v>126083.6</v>
      </c>
      <c r="E198" s="28">
        <v>90495.8</v>
      </c>
      <c r="F198" s="28">
        <v>58366.7</v>
      </c>
      <c r="G198" s="28">
        <v>179550.7</v>
      </c>
    </row>
    <row r="199" spans="2:7" ht="13.5" customHeight="1">
      <c r="B199" s="21" t="s">
        <v>474</v>
      </c>
      <c r="C199" s="28">
        <v>-35336.699999999997</v>
      </c>
      <c r="D199" s="28">
        <v>-84857.3</v>
      </c>
      <c r="E199" s="28">
        <v>-341194.6</v>
      </c>
      <c r="F199" s="28">
        <v>-557627.1</v>
      </c>
      <c r="G199" s="28">
        <v>-959323.6</v>
      </c>
    </row>
    <row r="200" spans="2:7" ht="13.5" customHeight="1">
      <c r="B200" s="21" t="s">
        <v>475</v>
      </c>
      <c r="C200" s="28">
        <v>911.8</v>
      </c>
      <c r="D200" s="28">
        <v>-107.1</v>
      </c>
      <c r="E200" s="28">
        <v>-27.2</v>
      </c>
      <c r="F200" s="28">
        <v>-36.9</v>
      </c>
      <c r="G200" s="28">
        <v>-146.69999999999999</v>
      </c>
    </row>
    <row r="201" spans="2:7" ht="13.5" customHeight="1">
      <c r="B201" s="21" t="s">
        <v>476</v>
      </c>
      <c r="C201" s="28">
        <v>0</v>
      </c>
      <c r="D201" s="28">
        <v>0</v>
      </c>
      <c r="E201" s="28">
        <v>0</v>
      </c>
      <c r="F201" s="28">
        <v>0</v>
      </c>
      <c r="G201" s="28">
        <v>0</v>
      </c>
    </row>
    <row r="202" spans="2:7" ht="13.5" customHeight="1">
      <c r="B202" s="21" t="s">
        <v>477</v>
      </c>
      <c r="C202" s="28">
        <v>233202.3</v>
      </c>
      <c r="D202" s="28">
        <v>436416.6</v>
      </c>
      <c r="E202" s="28">
        <v>568136.69999999995</v>
      </c>
      <c r="F202" s="28">
        <v>594003.80000000005</v>
      </c>
      <c r="G202" s="28">
        <v>674427.7</v>
      </c>
    </row>
    <row r="203" spans="2:7" ht="13.5" customHeight="1">
      <c r="B203" s="21" t="s">
        <v>478</v>
      </c>
      <c r="C203" s="28">
        <v>0</v>
      </c>
      <c r="D203" s="28">
        <v>0</v>
      </c>
      <c r="E203" s="28">
        <v>0</v>
      </c>
      <c r="F203" s="28">
        <v>0</v>
      </c>
      <c r="G203" s="28">
        <v>0</v>
      </c>
    </row>
    <row r="204" spans="2:7" ht="13.5" customHeight="1">
      <c r="B204" s="21" t="s">
        <v>479</v>
      </c>
      <c r="C204" s="28">
        <v>0</v>
      </c>
      <c r="D204" s="28">
        <v>0</v>
      </c>
      <c r="E204" s="28">
        <v>0</v>
      </c>
      <c r="F204" s="28">
        <v>0</v>
      </c>
      <c r="G204" s="28">
        <v>0</v>
      </c>
    </row>
    <row r="205" spans="2:7" ht="13.5" customHeight="1">
      <c r="B205" s="21" t="s">
        <v>480</v>
      </c>
      <c r="C205" s="28">
        <v>0</v>
      </c>
      <c r="D205" s="28">
        <v>0</v>
      </c>
      <c r="E205" s="28">
        <v>0</v>
      </c>
      <c r="F205" s="28">
        <v>0</v>
      </c>
      <c r="G205" s="28">
        <v>0</v>
      </c>
    </row>
    <row r="206" spans="2:7" ht="13.5" customHeight="1">
      <c r="B206" s="21" t="s">
        <v>481</v>
      </c>
      <c r="C206" s="28">
        <v>0</v>
      </c>
      <c r="D206" s="28">
        <v>0</v>
      </c>
      <c r="E206" s="28">
        <v>0</v>
      </c>
      <c r="F206" s="28">
        <v>0</v>
      </c>
      <c r="G206" s="28">
        <v>0</v>
      </c>
    </row>
    <row r="207" spans="2:7" ht="13.5" customHeight="1">
      <c r="B207" s="21" t="s">
        <v>482</v>
      </c>
      <c r="C207" s="28">
        <v>3823772.1</v>
      </c>
      <c r="D207" s="28">
        <v>5486723.0999999996</v>
      </c>
      <c r="E207" s="28">
        <v>6813684.9000000004</v>
      </c>
      <c r="F207" s="28">
        <v>7700024.9000000004</v>
      </c>
      <c r="G207" s="28">
        <v>9286805.5999999996</v>
      </c>
    </row>
    <row r="208" spans="2:7" ht="13.5" customHeight="1">
      <c r="B208" s="21" t="s">
        <v>483</v>
      </c>
      <c r="C208" s="28">
        <v>-1322949.2</v>
      </c>
      <c r="D208" s="28">
        <v>1246646.8</v>
      </c>
      <c r="E208" s="28">
        <v>-675979.9</v>
      </c>
      <c r="F208" s="28">
        <v>850493.2</v>
      </c>
      <c r="G208" s="28">
        <v>-827596.1</v>
      </c>
    </row>
    <row r="209" spans="2:7" ht="13.5" customHeight="1">
      <c r="B209" s="21" t="s">
        <v>484</v>
      </c>
      <c r="C209" s="28">
        <v>0</v>
      </c>
      <c r="D209" s="28">
        <v>0</v>
      </c>
      <c r="E209" s="28">
        <v>0</v>
      </c>
      <c r="F209" s="28">
        <v>0</v>
      </c>
      <c r="G209" s="28">
        <v>0</v>
      </c>
    </row>
    <row r="210" spans="2:7" ht="13.5" customHeight="1">
      <c r="B210" s="21" t="s">
        <v>485</v>
      </c>
      <c r="C210" s="28">
        <v>-2796297.9</v>
      </c>
      <c r="D210" s="28">
        <v>-4672944.2</v>
      </c>
      <c r="E210" s="28">
        <v>-8374797</v>
      </c>
      <c r="F210" s="28">
        <v>6269571.2000000002</v>
      </c>
      <c r="G210" s="28">
        <v>-9923705.3000000007</v>
      </c>
    </row>
    <row r="211" spans="2:7" ht="13.5" customHeight="1">
      <c r="B211" s="21" t="s">
        <v>486</v>
      </c>
      <c r="C211" s="28">
        <v>3970336.8</v>
      </c>
      <c r="D211" s="28">
        <v>1331042.8999999999</v>
      </c>
      <c r="E211" s="28">
        <v>2823942.3</v>
      </c>
      <c r="F211" s="28">
        <v>-1894206.9</v>
      </c>
      <c r="G211" s="28">
        <v>3781614.9</v>
      </c>
    </row>
    <row r="212" spans="2:7" ht="13.5" customHeight="1">
      <c r="B212" s="21" t="s">
        <v>487</v>
      </c>
      <c r="C212" s="28">
        <v>-96805.7</v>
      </c>
      <c r="D212" s="28">
        <v>126753.3</v>
      </c>
      <c r="E212" s="28">
        <v>-227805</v>
      </c>
      <c r="F212" s="28">
        <v>-75119.199999999997</v>
      </c>
      <c r="G212" s="28">
        <v>-27490.5</v>
      </c>
    </row>
    <row r="213" spans="2:7" ht="13.5" customHeight="1">
      <c r="B213" s="21" t="s">
        <v>488</v>
      </c>
      <c r="C213" s="28">
        <v>-223723.9</v>
      </c>
      <c r="D213" s="28">
        <v>-427564.4</v>
      </c>
      <c r="E213" s="28">
        <v>-537997.5</v>
      </c>
      <c r="F213" s="28">
        <v>-563748.6</v>
      </c>
      <c r="G213" s="28">
        <v>-585136</v>
      </c>
    </row>
    <row r="214" spans="2:7" ht="13.5" customHeight="1">
      <c r="B214" s="21" t="s">
        <v>489</v>
      </c>
      <c r="C214" s="28">
        <v>-690668.2</v>
      </c>
      <c r="D214" s="28">
        <v>-829523</v>
      </c>
      <c r="E214" s="28">
        <v>-1092128.5</v>
      </c>
      <c r="F214" s="28">
        <v>-1494585.4</v>
      </c>
      <c r="G214" s="28">
        <v>-1533102.1</v>
      </c>
    </row>
    <row r="215" spans="2:7" ht="13.5" customHeight="1">
      <c r="B215" s="21" t="s">
        <v>490</v>
      </c>
      <c r="C215" s="28">
        <v>0</v>
      </c>
      <c r="D215" s="28">
        <v>0</v>
      </c>
      <c r="E215" s="28">
        <v>0</v>
      </c>
      <c r="F215" s="28">
        <v>0</v>
      </c>
      <c r="G215" s="28">
        <v>0</v>
      </c>
    </row>
    <row r="216" spans="2:7" ht="13.5" customHeight="1">
      <c r="B216" s="21" t="s">
        <v>491</v>
      </c>
      <c r="C216" s="28">
        <v>0</v>
      </c>
      <c r="D216" s="28">
        <v>0</v>
      </c>
      <c r="E216" s="28">
        <v>-15000</v>
      </c>
      <c r="F216" s="28">
        <v>0</v>
      </c>
      <c r="G216" s="28">
        <v>0</v>
      </c>
    </row>
    <row r="217" spans="2:7" ht="13.5" customHeight="1">
      <c r="C217" s="28"/>
      <c r="D217" s="28"/>
      <c r="E217" s="28"/>
      <c r="F217" s="28"/>
      <c r="G217" s="28"/>
    </row>
    <row r="218" spans="2:7" s="26" customFormat="1" ht="13.5" customHeight="1">
      <c r="B218" s="26" t="s">
        <v>492</v>
      </c>
      <c r="C218" s="27">
        <v>-2120215</v>
      </c>
      <c r="D218" s="27">
        <v>-2344394</v>
      </c>
      <c r="E218" s="27">
        <v>-5872761.5999999996</v>
      </c>
      <c r="F218" s="27">
        <v>-8574260.9000000004</v>
      </c>
      <c r="G218" s="27">
        <v>-11254869.6</v>
      </c>
    </row>
    <row r="219" spans="2:7" ht="13.5" customHeight="1">
      <c r="B219" s="21" t="s">
        <v>493</v>
      </c>
      <c r="C219" s="28">
        <v>-2065069.6</v>
      </c>
      <c r="D219" s="28">
        <v>-1495931.9</v>
      </c>
      <c r="E219" s="28">
        <v>-3066921.2</v>
      </c>
      <c r="F219" s="28">
        <v>-3911358.2</v>
      </c>
      <c r="G219" s="28">
        <v>-4976876.5999999996</v>
      </c>
    </row>
    <row r="220" spans="2:7" ht="13.5" customHeight="1">
      <c r="B220" s="21" t="s">
        <v>494</v>
      </c>
      <c r="C220" s="28">
        <v>180</v>
      </c>
      <c r="D220" s="28">
        <v>1340</v>
      </c>
      <c r="E220" s="28">
        <v>1290.8</v>
      </c>
      <c r="F220" s="28">
        <v>2018.1</v>
      </c>
      <c r="G220" s="28">
        <v>1107</v>
      </c>
    </row>
    <row r="221" spans="2:7" ht="13.5" customHeight="1">
      <c r="B221" s="21" t="s">
        <v>495</v>
      </c>
      <c r="C221" s="28">
        <v>-210280</v>
      </c>
      <c r="D221" s="28">
        <v>-85922.5</v>
      </c>
      <c r="E221" s="28">
        <v>-8997469.9000000004</v>
      </c>
      <c r="F221" s="28">
        <v>-11512469</v>
      </c>
      <c r="G221" s="28">
        <v>-19225219.199999999</v>
      </c>
    </row>
    <row r="222" spans="2:7" ht="13.5" customHeight="1">
      <c r="B222" s="21" t="s">
        <v>496</v>
      </c>
      <c r="C222" s="28">
        <v>125580</v>
      </c>
      <c r="D222" s="28">
        <v>0</v>
      </c>
      <c r="E222" s="28">
        <v>5911392.2999999998</v>
      </c>
      <c r="F222" s="28">
        <v>6512150.0999999996</v>
      </c>
      <c r="G222" s="28">
        <v>12163994</v>
      </c>
    </row>
    <row r="223" spans="2:7" ht="13.5" customHeight="1">
      <c r="B223" s="21" t="s">
        <v>497</v>
      </c>
      <c r="C223" s="28">
        <v>0</v>
      </c>
      <c r="D223" s="28">
        <v>-828166.5</v>
      </c>
      <c r="E223" s="28">
        <v>0</v>
      </c>
      <c r="F223" s="28">
        <v>0</v>
      </c>
      <c r="G223" s="28">
        <v>-16385</v>
      </c>
    </row>
    <row r="224" spans="2:7" ht="13.5" customHeight="1">
      <c r="B224" s="21" t="s">
        <v>498</v>
      </c>
      <c r="C224" s="28">
        <v>0</v>
      </c>
      <c r="D224" s="28">
        <v>0</v>
      </c>
      <c r="E224" s="28">
        <v>0</v>
      </c>
      <c r="F224" s="28">
        <v>0</v>
      </c>
      <c r="G224" s="28">
        <v>0</v>
      </c>
    </row>
    <row r="225" spans="2:7" ht="13.5" customHeight="1">
      <c r="B225" s="21" t="s">
        <v>499</v>
      </c>
      <c r="C225" s="28">
        <v>29374.6</v>
      </c>
      <c r="D225" s="28">
        <v>64286.8</v>
      </c>
      <c r="E225" s="28">
        <v>278946.3</v>
      </c>
      <c r="F225" s="28">
        <v>335398</v>
      </c>
      <c r="G225" s="28">
        <v>798510.2</v>
      </c>
    </row>
    <row r="226" spans="2:7" ht="13.5" customHeight="1">
      <c r="B226" s="21" t="s">
        <v>500</v>
      </c>
      <c r="C226" s="28">
        <v>0</v>
      </c>
      <c r="D226" s="28">
        <v>0</v>
      </c>
      <c r="E226" s="28">
        <v>0</v>
      </c>
      <c r="F226" s="28">
        <v>0</v>
      </c>
      <c r="G226" s="28">
        <v>0</v>
      </c>
    </row>
    <row r="227" spans="2:7" ht="13.5" customHeight="1">
      <c r="C227" s="28"/>
      <c r="D227" s="28"/>
      <c r="E227" s="28"/>
      <c r="F227" s="28"/>
      <c r="G227" s="28"/>
    </row>
    <row r="228" spans="2:7" s="26" customFormat="1" ht="13.5" customHeight="1">
      <c r="B228" s="26" t="s">
        <v>501</v>
      </c>
      <c r="C228" s="27">
        <v>1870536.6</v>
      </c>
      <c r="D228" s="27">
        <v>421719.4</v>
      </c>
      <c r="E228" s="27">
        <v>6524501.7999999998</v>
      </c>
      <c r="F228" s="27">
        <v>2014415.4</v>
      </c>
      <c r="G228" s="27">
        <v>7877490.9000000004</v>
      </c>
    </row>
    <row r="229" spans="2:7" ht="13.5" customHeight="1">
      <c r="B229" s="21" t="s">
        <v>502</v>
      </c>
      <c r="C229" s="28">
        <v>92466.5</v>
      </c>
      <c r="D229" s="28">
        <v>703840.2</v>
      </c>
      <c r="E229" s="28">
        <v>90454.8</v>
      </c>
      <c r="F229" s="28">
        <v>105200.4</v>
      </c>
      <c r="G229" s="28">
        <v>228253</v>
      </c>
    </row>
    <row r="230" spans="2:7" ht="13.5" customHeight="1">
      <c r="B230" s="21" t="s">
        <v>503</v>
      </c>
      <c r="C230" s="28">
        <v>0</v>
      </c>
      <c r="D230" s="28">
        <v>-729.7</v>
      </c>
      <c r="E230" s="28">
        <v>-4850.1000000000004</v>
      </c>
      <c r="F230" s="28">
        <v>-6040.9</v>
      </c>
      <c r="G230" s="28">
        <v>-2320</v>
      </c>
    </row>
    <row r="231" spans="2:7" ht="13.5" customHeight="1">
      <c r="B231" s="21" t="s">
        <v>504</v>
      </c>
      <c r="C231" s="28">
        <v>29465789.300000001</v>
      </c>
      <c r="D231" s="28">
        <v>31893805.199999999</v>
      </c>
      <c r="E231" s="28">
        <v>45905952.299999997</v>
      </c>
      <c r="F231" s="28">
        <v>51168161.399999999</v>
      </c>
      <c r="G231" s="28">
        <v>63936208.200000003</v>
      </c>
    </row>
    <row r="232" spans="2:7" ht="13.5" customHeight="1">
      <c r="B232" s="21" t="s">
        <v>505</v>
      </c>
      <c r="C232" s="28">
        <v>-27456000.300000001</v>
      </c>
      <c r="D232" s="28">
        <v>-31690848.699999999</v>
      </c>
      <c r="E232" s="28">
        <v>-38801961.799999997</v>
      </c>
      <c r="F232" s="28">
        <v>-48573996.700000003</v>
      </c>
      <c r="G232" s="28">
        <v>-56045131</v>
      </c>
    </row>
    <row r="233" spans="2:7" ht="13.5" customHeight="1">
      <c r="B233" s="21" t="s">
        <v>506</v>
      </c>
      <c r="C233" s="28">
        <v>0</v>
      </c>
      <c r="D233" s="28">
        <v>0</v>
      </c>
      <c r="E233" s="28">
        <v>0</v>
      </c>
      <c r="F233" s="28">
        <v>0</v>
      </c>
      <c r="G233" s="28">
        <v>0</v>
      </c>
    </row>
    <row r="234" spans="2:7" ht="13.5" customHeight="1">
      <c r="B234" s="21" t="s">
        <v>507</v>
      </c>
      <c r="C234" s="28">
        <v>-231718.9</v>
      </c>
      <c r="D234" s="28">
        <v>-485862.40000000002</v>
      </c>
      <c r="E234" s="28">
        <v>-665093.5</v>
      </c>
      <c r="F234" s="28">
        <v>-678908.8</v>
      </c>
      <c r="G234" s="28">
        <v>-239519.4</v>
      </c>
    </row>
    <row r="235" spans="2:7" ht="13.5" customHeight="1">
      <c r="B235" s="21" t="s">
        <v>508</v>
      </c>
      <c r="C235" s="28">
        <v>0</v>
      </c>
      <c r="D235" s="28">
        <v>1514.8</v>
      </c>
      <c r="E235" s="28">
        <v>0</v>
      </c>
      <c r="F235" s="28">
        <v>0</v>
      </c>
      <c r="G235" s="28">
        <v>0</v>
      </c>
    </row>
    <row r="236" spans="2:7" ht="13.5" customHeight="1">
      <c r="C236" s="28"/>
      <c r="D236" s="28"/>
      <c r="E236" s="28"/>
      <c r="F236" s="28"/>
      <c r="G236" s="28"/>
    </row>
    <row r="237" spans="2:7" s="26" customFormat="1" ht="13.5" customHeight="1">
      <c r="B237" s="26" t="s">
        <v>509</v>
      </c>
      <c r="C237" s="27">
        <v>2413985.5</v>
      </c>
      <c r="D237" s="27">
        <v>338459.8</v>
      </c>
      <c r="E237" s="27">
        <v>-634340.6</v>
      </c>
      <c r="F237" s="27">
        <v>4232583.7</v>
      </c>
      <c r="G237" s="27">
        <v>-3205988.3</v>
      </c>
    </row>
    <row r="238" spans="2:7" s="26" customFormat="1" ht="13.5" customHeight="1">
      <c r="C238" s="27"/>
      <c r="D238" s="27"/>
      <c r="E238" s="27"/>
      <c r="F238" s="27"/>
      <c r="G238" s="27"/>
    </row>
    <row r="239" spans="2:7" s="26" customFormat="1" ht="13.5" customHeight="1">
      <c r="B239" s="26" t="s">
        <v>510</v>
      </c>
      <c r="C239" s="27">
        <v>996983.5</v>
      </c>
      <c r="D239" s="27">
        <v>3410983.4</v>
      </c>
      <c r="E239" s="27">
        <v>3749550.3</v>
      </c>
      <c r="F239" s="27">
        <v>3115236.8</v>
      </c>
      <c r="G239" s="27">
        <v>7347857.4000000004</v>
      </c>
    </row>
    <row r="240" spans="2:7" s="26" customFormat="1" ht="13.5" customHeight="1">
      <c r="C240" s="27"/>
      <c r="D240" s="27"/>
      <c r="E240" s="27"/>
      <c r="F240" s="27"/>
      <c r="G240" s="27"/>
    </row>
    <row r="241" spans="2:7" s="26" customFormat="1" ht="13.5" customHeight="1">
      <c r="B241" s="26" t="s">
        <v>511</v>
      </c>
      <c r="C241" s="27">
        <v>3410983.4</v>
      </c>
      <c r="D241" s="27">
        <v>3749550.3</v>
      </c>
      <c r="E241" s="27">
        <v>3115236.8</v>
      </c>
      <c r="F241" s="27">
        <v>7347857.4000000004</v>
      </c>
      <c r="G241" s="27">
        <v>4142015.8</v>
      </c>
    </row>
    <row r="242" spans="2:7" ht="13.5" customHeight="1"/>
    <row r="243" spans="2:7" ht="13.5" customHeight="1"/>
    <row r="244" spans="2:7" ht="13.5" customHeight="1"/>
    <row r="245" spans="2:7" ht="13.5" customHeight="1"/>
    <row r="246" spans="2:7" ht="13.5" customHeight="1"/>
    <row r="247" spans="2:7" ht="13.5" customHeight="1"/>
    <row r="248" spans="2:7" ht="13.5" customHeight="1"/>
    <row r="249" spans="2:7" ht="13.5" customHeight="1"/>
    <row r="250" spans="2:7" ht="13.5" customHeight="1"/>
    <row r="251" spans="2:7" ht="13.5" customHeight="1"/>
    <row r="252" spans="2:7" ht="13.5" customHeight="1"/>
    <row r="253" spans="2:7" ht="13.5" customHeight="1"/>
    <row r="254" spans="2:7" ht="13.5" customHeight="1"/>
    <row r="255" spans="2:7" ht="13.5" customHeight="1"/>
    <row r="256" spans="2:7"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sheetPr>
  <dimension ref="A1:Y93"/>
  <sheetViews>
    <sheetView showGridLines="0" zoomScale="80" zoomScaleNormal="80" workbookViewId="0">
      <pane xSplit="1" ySplit="3" topLeftCell="B6" activePane="bottomRight" state="frozen"/>
      <selection activeCell="A15" sqref="A15"/>
      <selection pane="topRight" activeCell="B15" sqref="B15"/>
      <selection pane="bottomLeft" activeCell="A17" sqref="A17"/>
      <selection pane="bottomRight" activeCell="F49" sqref="F49"/>
    </sheetView>
  </sheetViews>
  <sheetFormatPr defaultColWidth="11.25" defaultRowHeight="15"/>
  <cols>
    <col min="1" max="1" width="32.125" style="42" customWidth="1"/>
    <col min="2" max="2" width="41.25" style="43" customWidth="1"/>
    <col min="3" max="3" width="68.375" style="43" customWidth="1"/>
    <col min="4" max="6" width="8.5" style="42" customWidth="1"/>
    <col min="7" max="7" width="10.625" style="42" customWidth="1"/>
    <col min="8" max="8" width="9.875" style="42" customWidth="1"/>
    <col min="9" max="9" width="8.5" style="42" customWidth="1"/>
    <col min="10" max="16384" width="11.25" style="42"/>
  </cols>
  <sheetData>
    <row r="1" spans="1:25">
      <c r="B1" s="91"/>
      <c r="C1" s="45"/>
      <c r="D1" s="46"/>
      <c r="E1" s="46"/>
      <c r="F1" s="46"/>
      <c r="G1" s="46"/>
      <c r="H1" s="46"/>
      <c r="I1" s="46"/>
    </row>
    <row r="2" spans="1:25" ht="15.75" thickBot="1">
      <c r="B2" s="91"/>
      <c r="C2" s="45"/>
      <c r="D2" s="46"/>
      <c r="E2" s="46"/>
      <c r="F2" s="46"/>
      <c r="G2" s="46"/>
      <c r="H2" s="46"/>
      <c r="I2" s="46"/>
    </row>
    <row r="3" spans="1:25" s="110" customFormat="1">
      <c r="A3" s="47" t="s">
        <v>514</v>
      </c>
      <c r="B3" s="48" t="s">
        <v>515</v>
      </c>
      <c r="C3" s="90" t="s">
        <v>516</v>
      </c>
      <c r="D3" s="49"/>
      <c r="E3" s="109"/>
      <c r="F3" s="109"/>
      <c r="G3" s="50" t="s">
        <v>4</v>
      </c>
      <c r="H3" s="51" t="s">
        <v>5</v>
      </c>
      <c r="I3" s="52" t="s">
        <v>6</v>
      </c>
      <c r="J3" s="52" t="s">
        <v>7</v>
      </c>
      <c r="K3" s="52" t="s">
        <v>8</v>
      </c>
      <c r="L3" s="109"/>
      <c r="M3" s="109"/>
      <c r="N3" s="109"/>
      <c r="O3" s="109"/>
      <c r="P3" s="109"/>
      <c r="Q3" s="109"/>
      <c r="R3" s="109"/>
      <c r="S3" s="109"/>
      <c r="T3" s="109"/>
      <c r="U3" s="109"/>
      <c r="V3" s="109"/>
      <c r="W3" s="109"/>
      <c r="X3" s="109"/>
      <c r="Y3" s="109"/>
    </row>
    <row r="4" spans="1:25" ht="15.75" thickBot="1">
      <c r="A4" s="53" t="s">
        <v>446</v>
      </c>
      <c r="B4" s="92"/>
      <c r="C4" s="54"/>
      <c r="D4" s="55"/>
      <c r="G4" s="56"/>
      <c r="H4" s="56"/>
      <c r="I4" s="56"/>
      <c r="J4" s="56"/>
      <c r="K4" s="56"/>
    </row>
    <row r="5" spans="1:25" ht="274.89999999999998" customHeight="1" thickBot="1">
      <c r="A5" s="34" t="s">
        <v>9</v>
      </c>
      <c r="B5" s="93" t="s">
        <v>513</v>
      </c>
      <c r="C5" s="702" t="s">
        <v>519</v>
      </c>
      <c r="D5" s="55"/>
      <c r="G5" s="56"/>
      <c r="H5" s="56"/>
      <c r="I5" s="56"/>
      <c r="J5" s="56"/>
      <c r="K5" s="56"/>
    </row>
    <row r="6" spans="1:25" ht="237" customHeight="1" thickBot="1">
      <c r="A6" s="36" t="s">
        <v>10</v>
      </c>
      <c r="B6" s="93" t="s">
        <v>517</v>
      </c>
      <c r="C6" s="38" t="s">
        <v>518</v>
      </c>
    </row>
    <row r="7" spans="1:25" ht="120.75" thickBot="1">
      <c r="A7" s="37" t="s">
        <v>11</v>
      </c>
      <c r="B7" s="94" t="s">
        <v>888</v>
      </c>
      <c r="C7" s="39" t="s">
        <v>889</v>
      </c>
    </row>
    <row r="8" spans="1:25" ht="210.75" thickBot="1">
      <c r="A8" s="37" t="s">
        <v>12</v>
      </c>
      <c r="B8" s="94" t="s">
        <v>520</v>
      </c>
      <c r="C8" s="39" t="s">
        <v>521</v>
      </c>
    </row>
    <row r="9" spans="1:25" ht="255.75" thickBot="1">
      <c r="A9" s="37" t="s">
        <v>44</v>
      </c>
      <c r="B9" s="94" t="s">
        <v>890</v>
      </c>
      <c r="C9" s="38" t="s">
        <v>522</v>
      </c>
    </row>
    <row r="10" spans="1:25" ht="285">
      <c r="A10" s="35" t="s">
        <v>13</v>
      </c>
      <c r="B10" s="95" t="s">
        <v>523</v>
      </c>
      <c r="C10" s="40" t="s">
        <v>891</v>
      </c>
    </row>
    <row r="11" spans="1:25" s="110" customFormat="1" ht="14.45" customHeight="1">
      <c r="A11" s="727" t="s">
        <v>558</v>
      </c>
      <c r="B11" s="730" t="s">
        <v>892</v>
      </c>
      <c r="C11" s="732" t="s">
        <v>524</v>
      </c>
      <c r="D11" s="703"/>
      <c r="E11" s="704"/>
      <c r="F11" s="704"/>
      <c r="G11" s="704"/>
      <c r="H11" s="704"/>
      <c r="I11" s="704"/>
      <c r="J11" s="704"/>
      <c r="K11" s="704"/>
      <c r="L11" s="704"/>
      <c r="M11" s="704"/>
      <c r="N11" s="704"/>
      <c r="O11" s="704"/>
      <c r="P11" s="704"/>
      <c r="Q11" s="704"/>
      <c r="R11" s="704"/>
      <c r="S11" s="704"/>
      <c r="T11" s="704"/>
      <c r="U11" s="704"/>
      <c r="V11" s="704"/>
      <c r="W11" s="704"/>
      <c r="X11" s="704"/>
      <c r="Y11" s="704"/>
    </row>
    <row r="12" spans="1:25" s="110" customFormat="1" ht="14.45" customHeight="1">
      <c r="A12" s="728"/>
      <c r="B12" s="724"/>
      <c r="C12" s="726"/>
      <c r="D12" s="703"/>
      <c r="E12" s="704"/>
      <c r="F12" s="704"/>
      <c r="G12" s="704"/>
      <c r="H12" s="704"/>
      <c r="I12" s="704"/>
      <c r="J12" s="704"/>
      <c r="K12" s="704"/>
      <c r="L12" s="704"/>
      <c r="M12" s="704"/>
      <c r="N12" s="704"/>
      <c r="O12" s="704"/>
      <c r="P12" s="704"/>
      <c r="Q12" s="704"/>
      <c r="R12" s="704"/>
      <c r="S12" s="704"/>
      <c r="T12" s="704"/>
      <c r="U12" s="704"/>
      <c r="V12" s="704"/>
      <c r="W12" s="704"/>
      <c r="X12" s="704"/>
      <c r="Y12" s="704"/>
    </row>
    <row r="13" spans="1:25" s="110" customFormat="1" ht="14.45" customHeight="1">
      <c r="A13" s="728"/>
      <c r="B13" s="724"/>
      <c r="C13" s="726"/>
      <c r="D13" s="703"/>
      <c r="E13" s="704"/>
      <c r="F13" s="704"/>
      <c r="G13" s="704"/>
      <c r="H13" s="704"/>
      <c r="I13" s="704"/>
      <c r="J13" s="704"/>
      <c r="K13" s="704"/>
      <c r="L13" s="704"/>
      <c r="M13" s="704"/>
      <c r="N13" s="704"/>
      <c r="O13" s="704"/>
      <c r="P13" s="704"/>
      <c r="Q13" s="704"/>
      <c r="R13" s="704"/>
      <c r="S13" s="704"/>
      <c r="T13" s="704"/>
      <c r="U13" s="704"/>
      <c r="V13" s="704"/>
      <c r="W13" s="704"/>
      <c r="X13" s="704"/>
      <c r="Y13" s="704"/>
    </row>
    <row r="14" spans="1:25" s="110" customFormat="1" ht="284.45" customHeight="1" thickBot="1">
      <c r="A14" s="729"/>
      <c r="B14" s="731"/>
      <c r="C14" s="733"/>
      <c r="D14" s="703"/>
      <c r="E14" s="704"/>
      <c r="F14" s="704"/>
      <c r="G14" s="704"/>
      <c r="H14" s="704"/>
      <c r="I14" s="704"/>
      <c r="J14" s="704"/>
      <c r="K14" s="704"/>
      <c r="L14" s="704"/>
      <c r="M14" s="704"/>
      <c r="N14" s="704"/>
      <c r="O14" s="704"/>
      <c r="P14" s="704"/>
      <c r="Q14" s="704"/>
      <c r="R14" s="704"/>
      <c r="S14" s="704"/>
      <c r="T14" s="704"/>
      <c r="U14" s="704"/>
      <c r="V14" s="704"/>
      <c r="W14" s="704"/>
      <c r="X14" s="704"/>
      <c r="Y14" s="704"/>
    </row>
    <row r="15" spans="1:25" ht="15.75" thickBot="1">
      <c r="A15" s="57"/>
      <c r="B15" s="96"/>
      <c r="C15" s="58"/>
    </row>
    <row r="16" spans="1:25">
      <c r="A16" s="59" t="s">
        <v>559</v>
      </c>
      <c r="B16" s="97" t="s">
        <v>525</v>
      </c>
      <c r="C16" s="734" t="s">
        <v>528</v>
      </c>
    </row>
    <row r="17" spans="1:25">
      <c r="A17" s="60" t="s">
        <v>560</v>
      </c>
      <c r="B17" s="98" t="s">
        <v>526</v>
      </c>
      <c r="C17" s="726"/>
    </row>
    <row r="18" spans="1:25" ht="15.75" thickBot="1">
      <c r="A18" s="61" t="s">
        <v>561</v>
      </c>
      <c r="B18" s="99" t="s">
        <v>527</v>
      </c>
      <c r="C18" s="62"/>
    </row>
    <row r="19" spans="1:25" ht="15.75" thickBot="1">
      <c r="A19" s="12"/>
      <c r="B19" s="88"/>
      <c r="C19" s="63"/>
    </row>
    <row r="20" spans="1:25">
      <c r="A20" s="64" t="s">
        <v>562</v>
      </c>
      <c r="B20" s="97" t="s">
        <v>529</v>
      </c>
      <c r="C20" s="65"/>
    </row>
    <row r="21" spans="1:25">
      <c r="A21" s="66" t="s">
        <v>563</v>
      </c>
      <c r="B21" s="100" t="s">
        <v>530</v>
      </c>
      <c r="C21" s="63"/>
    </row>
    <row r="22" spans="1:25" ht="30.75" thickBot="1">
      <c r="A22" s="67" t="s">
        <v>564</v>
      </c>
      <c r="B22" s="101" t="s">
        <v>531</v>
      </c>
      <c r="C22" s="68"/>
    </row>
    <row r="23" spans="1:25" ht="15.75" thickBot="1">
      <c r="A23" s="69"/>
      <c r="B23" s="100"/>
      <c r="C23" s="70"/>
      <c r="D23" s="71"/>
      <c r="E23" s="71"/>
      <c r="F23" s="71"/>
      <c r="G23" s="71"/>
      <c r="H23" s="71"/>
      <c r="I23" s="71"/>
      <c r="J23" s="71"/>
      <c r="K23" s="71"/>
      <c r="L23" s="71"/>
      <c r="M23" s="71"/>
      <c r="N23" s="71"/>
      <c r="O23" s="71"/>
      <c r="P23" s="71"/>
      <c r="Q23" s="71"/>
      <c r="R23" s="71"/>
      <c r="S23" s="71"/>
      <c r="T23" s="71"/>
      <c r="U23" s="71"/>
      <c r="V23" s="71"/>
      <c r="W23" s="71"/>
      <c r="X23" s="71"/>
      <c r="Y23" s="71"/>
    </row>
    <row r="24" spans="1:25">
      <c r="A24" s="72" t="s">
        <v>565</v>
      </c>
      <c r="B24" s="102"/>
      <c r="C24" s="73"/>
    </row>
    <row r="25" spans="1:25" ht="15.75" thickBot="1">
      <c r="A25" s="66" t="s">
        <v>566</v>
      </c>
      <c r="B25" s="99" t="s">
        <v>527</v>
      </c>
      <c r="C25" s="63"/>
    </row>
    <row r="26" spans="1:25">
      <c r="A26" s="66" t="s">
        <v>567</v>
      </c>
      <c r="B26" s="88"/>
      <c r="C26" s="63"/>
    </row>
    <row r="27" spans="1:25" ht="15.75" thickBot="1">
      <c r="A27" s="67" t="s">
        <v>568</v>
      </c>
      <c r="B27" s="99" t="s">
        <v>527</v>
      </c>
      <c r="C27" s="74"/>
    </row>
    <row r="28" spans="1:25" ht="15.75" thickBot="1">
      <c r="A28" s="12"/>
      <c r="B28" s="88"/>
      <c r="C28" s="63"/>
    </row>
    <row r="29" spans="1:25" ht="15.75" thickBot="1">
      <c r="A29" s="106" t="s">
        <v>332</v>
      </c>
      <c r="B29" s="107"/>
      <c r="C29" s="108"/>
    </row>
    <row r="30" spans="1:25" ht="15.75" thickBot="1">
      <c r="A30" s="12"/>
      <c r="B30" s="88"/>
      <c r="C30" s="63"/>
    </row>
    <row r="31" spans="1:25">
      <c r="A31" s="89" t="s">
        <v>569</v>
      </c>
      <c r="B31" s="102"/>
      <c r="C31" s="73"/>
    </row>
    <row r="32" spans="1:25" ht="45">
      <c r="A32" s="75" t="s">
        <v>570</v>
      </c>
      <c r="B32" s="100" t="s">
        <v>532</v>
      </c>
      <c r="C32" s="76"/>
    </row>
    <row r="33" spans="1:3">
      <c r="A33" s="735" t="s">
        <v>571</v>
      </c>
      <c r="B33" s="88"/>
      <c r="C33" s="63"/>
    </row>
    <row r="34" spans="1:3">
      <c r="A34" s="728"/>
      <c r="B34" s="88" t="s">
        <v>533</v>
      </c>
      <c r="C34" s="63"/>
    </row>
    <row r="35" spans="1:3">
      <c r="A35" s="77" t="s">
        <v>572</v>
      </c>
      <c r="B35" s="88" t="s">
        <v>534</v>
      </c>
      <c r="C35" s="63"/>
    </row>
    <row r="36" spans="1:3" ht="15.75" thickBot="1">
      <c r="A36" s="78" t="s">
        <v>573</v>
      </c>
      <c r="B36" s="103" t="s">
        <v>535</v>
      </c>
      <c r="C36" s="74"/>
    </row>
    <row r="37" spans="1:3" ht="15.75" thickBot="1">
      <c r="A37" s="75"/>
      <c r="B37" s="88"/>
      <c r="C37" s="63"/>
    </row>
    <row r="38" spans="1:3">
      <c r="A38" s="89" t="s">
        <v>574</v>
      </c>
      <c r="B38" s="102"/>
      <c r="C38" s="73"/>
    </row>
    <row r="39" spans="1:3" ht="30">
      <c r="A39" s="79" t="s">
        <v>576</v>
      </c>
      <c r="B39" s="100" t="s">
        <v>536</v>
      </c>
      <c r="C39" s="63"/>
    </row>
    <row r="40" spans="1:3" ht="30">
      <c r="A40" s="79" t="s">
        <v>577</v>
      </c>
      <c r="B40" s="88" t="s">
        <v>537</v>
      </c>
      <c r="C40" s="63"/>
    </row>
    <row r="41" spans="1:3">
      <c r="A41" s="79" t="s">
        <v>575</v>
      </c>
      <c r="B41" s="88" t="s">
        <v>538</v>
      </c>
      <c r="C41" s="63"/>
    </row>
    <row r="42" spans="1:3">
      <c r="A42" s="75" t="s">
        <v>578</v>
      </c>
      <c r="B42" s="100" t="s">
        <v>539</v>
      </c>
      <c r="C42" s="63"/>
    </row>
    <row r="43" spans="1:3">
      <c r="A43" s="79" t="s">
        <v>580</v>
      </c>
      <c r="B43" s="88" t="s">
        <v>540</v>
      </c>
      <c r="C43" s="63"/>
    </row>
    <row r="44" spans="1:3">
      <c r="A44" s="79" t="s">
        <v>579</v>
      </c>
      <c r="B44" s="88" t="s">
        <v>541</v>
      </c>
      <c r="C44" s="63"/>
    </row>
    <row r="45" spans="1:3" ht="15.75" thickBot="1">
      <c r="A45" s="13" t="s">
        <v>581</v>
      </c>
      <c r="B45" s="103" t="s">
        <v>542</v>
      </c>
      <c r="C45" s="74"/>
    </row>
    <row r="46" spans="1:3" ht="15.75" thickBot="1">
      <c r="A46" s="12"/>
      <c r="B46" s="88"/>
      <c r="C46" s="63"/>
    </row>
    <row r="47" spans="1:3">
      <c r="A47" s="89" t="s">
        <v>582</v>
      </c>
      <c r="B47" s="102"/>
      <c r="C47" s="73"/>
    </row>
    <row r="48" spans="1:3" ht="30">
      <c r="A48" s="80" t="s">
        <v>583</v>
      </c>
      <c r="B48" s="100" t="s">
        <v>543</v>
      </c>
      <c r="C48" s="70"/>
    </row>
    <row r="49" spans="1:3" ht="30">
      <c r="A49" s="33" t="s">
        <v>585</v>
      </c>
      <c r="B49" s="100" t="s">
        <v>544</v>
      </c>
      <c r="C49" s="63"/>
    </row>
    <row r="50" spans="1:3" ht="30">
      <c r="A50" s="33" t="s">
        <v>584</v>
      </c>
      <c r="B50" s="100" t="s">
        <v>545</v>
      </c>
      <c r="C50" s="63"/>
    </row>
    <row r="51" spans="1:3" ht="45">
      <c r="A51" s="33" t="s">
        <v>586</v>
      </c>
      <c r="B51" s="100" t="s">
        <v>546</v>
      </c>
      <c r="C51" s="63"/>
    </row>
    <row r="52" spans="1:3" ht="15.75" thickBot="1">
      <c r="A52" s="81" t="s">
        <v>587</v>
      </c>
      <c r="B52" s="103" t="s">
        <v>527</v>
      </c>
      <c r="C52" s="74"/>
    </row>
    <row r="53" spans="1:3" ht="15.75" thickBot="1">
      <c r="A53" s="77"/>
      <c r="B53" s="88"/>
      <c r="C53" s="63"/>
    </row>
    <row r="54" spans="1:3">
      <c r="A54" s="41" t="s">
        <v>588</v>
      </c>
      <c r="B54" s="102"/>
      <c r="C54" s="73"/>
    </row>
    <row r="55" spans="1:3" ht="45">
      <c r="A55" s="33" t="s">
        <v>589</v>
      </c>
      <c r="B55" s="100" t="s">
        <v>547</v>
      </c>
      <c r="C55" s="70"/>
    </row>
    <row r="56" spans="1:3" ht="45">
      <c r="A56" s="33" t="s">
        <v>590</v>
      </c>
      <c r="B56" s="100" t="s">
        <v>548</v>
      </c>
      <c r="C56" s="70"/>
    </row>
    <row r="57" spans="1:3" ht="45.75" thickBot="1">
      <c r="A57" s="81" t="s">
        <v>591</v>
      </c>
      <c r="B57" s="101" t="s">
        <v>549</v>
      </c>
      <c r="C57" s="68"/>
    </row>
    <row r="58" spans="1:3" ht="15.75" thickBot="1">
      <c r="A58" s="33"/>
      <c r="B58" s="100"/>
      <c r="C58" s="70"/>
    </row>
    <row r="59" spans="1:3">
      <c r="A59" s="82" t="s">
        <v>592</v>
      </c>
      <c r="B59" s="104"/>
      <c r="C59" s="83"/>
    </row>
    <row r="60" spans="1:3" ht="30.75" thickBot="1">
      <c r="A60" s="81" t="s">
        <v>593</v>
      </c>
      <c r="B60" s="101" t="s">
        <v>550</v>
      </c>
      <c r="C60" s="68"/>
    </row>
    <row r="61" spans="1:3" ht="15.75" thickBot="1">
      <c r="A61" s="77"/>
      <c r="B61" s="100"/>
      <c r="C61" s="70"/>
    </row>
    <row r="62" spans="1:3">
      <c r="A62" s="84"/>
      <c r="B62" s="723"/>
      <c r="C62" s="725"/>
    </row>
    <row r="63" spans="1:3">
      <c r="A63" s="85" t="s">
        <v>594</v>
      </c>
      <c r="B63" s="724"/>
      <c r="C63" s="726"/>
    </row>
    <row r="64" spans="1:3" ht="45">
      <c r="A64" s="69" t="s">
        <v>595</v>
      </c>
      <c r="B64" s="100" t="s">
        <v>551</v>
      </c>
      <c r="C64" s="76"/>
    </row>
    <row r="65" spans="1:3" ht="30">
      <c r="A65" s="69" t="s">
        <v>596</v>
      </c>
      <c r="B65" s="100" t="s">
        <v>552</v>
      </c>
      <c r="C65" s="70"/>
    </row>
    <row r="66" spans="1:3" ht="30.75" thickBot="1">
      <c r="A66" s="86" t="s">
        <v>597</v>
      </c>
      <c r="B66" s="103" t="s">
        <v>553</v>
      </c>
      <c r="C66" s="68" t="s">
        <v>554</v>
      </c>
    </row>
    <row r="67" spans="1:3" ht="15.75" thickBot="1">
      <c r="A67" s="12"/>
      <c r="B67" s="88"/>
      <c r="C67" s="63"/>
    </row>
    <row r="68" spans="1:3">
      <c r="A68" s="87" t="s">
        <v>14</v>
      </c>
      <c r="B68" s="102"/>
      <c r="C68" s="73"/>
    </row>
    <row r="69" spans="1:3" ht="30">
      <c r="A69" s="12" t="s">
        <v>598</v>
      </c>
      <c r="B69" s="705" t="s">
        <v>555</v>
      </c>
      <c r="C69" s="63"/>
    </row>
    <row r="70" spans="1:3" ht="30">
      <c r="A70" s="12" t="s">
        <v>599</v>
      </c>
      <c r="B70" s="100" t="s">
        <v>556</v>
      </c>
    </row>
    <row r="71" spans="1:3" ht="15.75" thickBot="1">
      <c r="A71" s="13" t="s">
        <v>600</v>
      </c>
      <c r="B71" s="101" t="s">
        <v>557</v>
      </c>
      <c r="C71" s="74"/>
    </row>
    <row r="72" spans="1:3">
      <c r="A72" s="6"/>
      <c r="B72" s="88"/>
      <c r="C72" s="88"/>
    </row>
    <row r="85" spans="2:9">
      <c r="B85" s="105"/>
    </row>
    <row r="88" spans="2:9">
      <c r="B88" s="91"/>
      <c r="C88" s="45"/>
      <c r="D88" s="46"/>
      <c r="E88" s="46"/>
      <c r="F88" s="46"/>
      <c r="G88" s="46"/>
      <c r="H88" s="44"/>
      <c r="I88" s="44"/>
    </row>
    <row r="89" spans="2:9">
      <c r="B89" s="45"/>
      <c r="C89" s="45"/>
      <c r="D89" s="46"/>
      <c r="E89" s="46"/>
      <c r="F89" s="46"/>
      <c r="G89" s="46"/>
      <c r="H89" s="46"/>
      <c r="I89" s="46"/>
    </row>
    <row r="90" spans="2:9">
      <c r="B90" s="45"/>
      <c r="C90" s="45"/>
      <c r="D90" s="46"/>
      <c r="E90" s="46"/>
      <c r="F90" s="46"/>
      <c r="G90" s="46"/>
      <c r="H90" s="46"/>
      <c r="I90" s="46"/>
    </row>
    <row r="91" spans="2:9">
      <c r="B91" s="91"/>
      <c r="C91" s="45"/>
      <c r="D91" s="46"/>
      <c r="E91" s="46"/>
      <c r="F91" s="1"/>
      <c r="G91" s="46"/>
      <c r="H91" s="46"/>
      <c r="I91" s="46"/>
    </row>
    <row r="92" spans="2:9">
      <c r="B92" s="91"/>
      <c r="C92" s="45"/>
      <c r="D92" s="46"/>
      <c r="E92" s="46"/>
      <c r="F92" s="1"/>
      <c r="G92" s="46"/>
      <c r="H92" s="46"/>
      <c r="I92" s="46"/>
    </row>
    <row r="93" spans="2:9">
      <c r="B93" s="91"/>
      <c r="C93" s="45"/>
      <c r="D93" s="46"/>
      <c r="E93" s="46"/>
      <c r="F93" s="46"/>
      <c r="G93" s="46"/>
      <c r="H93" s="46"/>
      <c r="I93" s="46"/>
    </row>
  </sheetData>
  <mergeCells count="7">
    <mergeCell ref="B62:B63"/>
    <mergeCell ref="C62:C63"/>
    <mergeCell ref="A11:A14"/>
    <mergeCell ref="B11:B14"/>
    <mergeCell ref="C11:C14"/>
    <mergeCell ref="C16:C17"/>
    <mergeCell ref="A33:A34"/>
  </mergeCells>
  <hyperlinks>
    <hyperlink ref="A5" r:id="rId1" xr:uid="{00000000-0004-0000-0200-000000000000}"/>
    <hyperlink ref="B69" r:id="rId2" display=" the current yield on 10-year Vietnamese government bonds on HNX.VN" xr:uid="{00000000-0004-0000-0200-000001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00000"/>
  </sheetPr>
  <dimension ref="A1:G62"/>
  <sheetViews>
    <sheetView showGridLines="0" workbookViewId="0">
      <selection activeCell="A17" sqref="A17:A19"/>
    </sheetView>
  </sheetViews>
  <sheetFormatPr defaultColWidth="11.25" defaultRowHeight="12.75"/>
  <cols>
    <col min="1" max="1" width="30.625" style="175" customWidth="1"/>
    <col min="2" max="2" width="14.375" style="175" customWidth="1"/>
    <col min="3" max="3" width="12.375" style="175" customWidth="1"/>
    <col min="4" max="4" width="14.25" style="175" customWidth="1"/>
    <col min="5" max="5" width="19.125" style="175" customWidth="1"/>
    <col min="6" max="6" width="17.375" style="175" customWidth="1"/>
    <col min="7" max="7" width="18.5" style="175" customWidth="1"/>
    <col min="8" max="16384" width="11.25" style="175"/>
  </cols>
  <sheetData>
    <row r="1" spans="1:3" ht="13.5" thickBot="1"/>
    <row r="2" spans="1:3">
      <c r="A2" s="257" t="s">
        <v>601</v>
      </c>
      <c r="B2" s="258">
        <v>44561</v>
      </c>
    </row>
    <row r="3" spans="1:3">
      <c r="A3" s="259" t="s">
        <v>602</v>
      </c>
      <c r="B3" s="260">
        <v>44718</v>
      </c>
    </row>
    <row r="4" spans="1:3">
      <c r="A4" s="259" t="s">
        <v>603</v>
      </c>
      <c r="B4" s="261">
        <f>1-(B3-B2)/365</f>
        <v>0.56986301369863013</v>
      </c>
    </row>
    <row r="5" spans="1:3">
      <c r="A5" s="259" t="s">
        <v>14</v>
      </c>
      <c r="B5" s="262">
        <f>C19</f>
        <v>8.8370363883956568E-2</v>
      </c>
    </row>
    <row r="6" spans="1:3" ht="13.5" thickBot="1">
      <c r="A6" s="263" t="s">
        <v>604</v>
      </c>
      <c r="B6" s="264">
        <v>0.02</v>
      </c>
    </row>
    <row r="8" spans="1:3" ht="13.5" thickBot="1"/>
    <row r="9" spans="1:3" s="268" customFormat="1" ht="13.5" thickBot="1">
      <c r="A9" s="265" t="s">
        <v>14</v>
      </c>
      <c r="B9" s="266"/>
      <c r="C9" s="267">
        <v>2022</v>
      </c>
    </row>
    <row r="10" spans="1:3">
      <c r="A10" s="269" t="s">
        <v>605</v>
      </c>
      <c r="B10" s="270"/>
      <c r="C10" s="271">
        <v>0.04</v>
      </c>
    </row>
    <row r="11" spans="1:3">
      <c r="A11" s="272" t="s">
        <v>606</v>
      </c>
      <c r="B11" s="270"/>
      <c r="C11" s="273">
        <f>Beta!I8</f>
        <v>0.50223651291535498</v>
      </c>
    </row>
    <row r="12" spans="1:3">
      <c r="A12" s="274" t="s">
        <v>129</v>
      </c>
      <c r="B12" s="275"/>
      <c r="C12" s="273">
        <f>(BS!G75+BS!G86)/BS!G92</f>
        <v>1.2094993013628357</v>
      </c>
    </row>
    <row r="13" spans="1:3">
      <c r="A13" s="272" t="s">
        <v>607</v>
      </c>
      <c r="B13" s="209"/>
      <c r="C13" s="271">
        <f>IS!G41</f>
        <v>1.3408103874785577E-2</v>
      </c>
    </row>
    <row r="14" spans="1:3">
      <c r="A14" s="274" t="s">
        <v>608</v>
      </c>
      <c r="B14" s="275"/>
      <c r="C14" s="276">
        <f>C11*(1+(1-C13)*C12)</f>
        <v>1.1015464085344975</v>
      </c>
    </row>
    <row r="15" spans="1:3">
      <c r="A15" s="272" t="s">
        <v>609</v>
      </c>
      <c r="B15" s="270"/>
      <c r="C15" s="277">
        <v>8.2100000000000006E-2</v>
      </c>
    </row>
    <row r="16" spans="1:3">
      <c r="A16" s="278" t="s">
        <v>610</v>
      </c>
      <c r="B16" s="279"/>
      <c r="C16" s="280">
        <f>C10+C15*C14</f>
        <v>0.13043696014068226</v>
      </c>
    </row>
    <row r="17" spans="1:7">
      <c r="A17" s="272" t="s">
        <v>564</v>
      </c>
      <c r="B17" s="209"/>
      <c r="C17" s="271">
        <f>'FI&amp;FE'!G11</f>
        <v>3.5000000000000003E-2</v>
      </c>
    </row>
    <row r="18" spans="1:7">
      <c r="A18" s="272" t="s">
        <v>611</v>
      </c>
      <c r="B18" s="209"/>
      <c r="C18" s="271">
        <f>(BS!H75/(BS!H75+BS!H92))</f>
        <v>0.43862208131981034</v>
      </c>
    </row>
    <row r="19" spans="1:7" ht="13.5" thickBot="1">
      <c r="A19" s="281" t="s">
        <v>14</v>
      </c>
      <c r="B19" s="282"/>
      <c r="C19" s="283">
        <f>C16*(1-C18)+C17*C18*(1-C13)</f>
        <v>8.8370363883956568E-2</v>
      </c>
    </row>
    <row r="21" spans="1:7">
      <c r="A21" s="284" t="s">
        <v>612</v>
      </c>
      <c r="B21" s="285"/>
      <c r="C21" s="285"/>
      <c r="D21" s="285"/>
      <c r="E21" s="285"/>
      <c r="F21" s="285"/>
      <c r="G21" s="285"/>
    </row>
    <row r="22" spans="1:7" ht="13.5" thickBot="1"/>
    <row r="23" spans="1:7" ht="13.5" thickBot="1">
      <c r="A23" s="286" t="s">
        <v>0</v>
      </c>
      <c r="B23" s="287"/>
      <c r="C23" s="288">
        <v>2022</v>
      </c>
      <c r="D23" s="288">
        <v>2023</v>
      </c>
      <c r="E23" s="288">
        <v>2024</v>
      </c>
      <c r="F23" s="288">
        <v>2025</v>
      </c>
      <c r="G23" s="289">
        <v>2026</v>
      </c>
    </row>
    <row r="24" spans="1:7">
      <c r="A24" s="290" t="s">
        <v>613</v>
      </c>
      <c r="B24" s="275"/>
      <c r="C24" s="291">
        <f>IS!G18</f>
        <v>6654885.5640649535</v>
      </c>
      <c r="D24" s="291">
        <f>IS!H18</f>
        <v>8282167.7944277041</v>
      </c>
      <c r="E24" s="291">
        <f>IS!I18</f>
        <v>10756201.218942776</v>
      </c>
      <c r="F24" s="291">
        <f>IS!J18</f>
        <v>12949265.681670766</v>
      </c>
      <c r="G24" s="292">
        <f>IS!K18</f>
        <v>14532889.182011819</v>
      </c>
    </row>
    <row r="25" spans="1:7">
      <c r="A25" s="290" t="s">
        <v>614</v>
      </c>
      <c r="B25" s="275"/>
      <c r="C25" s="293">
        <f>CF!G5</f>
        <v>3323046.8112906856</v>
      </c>
      <c r="D25" s="293">
        <f>CF!H5</f>
        <v>4045858.9496361418</v>
      </c>
      <c r="E25" s="293">
        <f>CF!I5</f>
        <v>4995898.7098780833</v>
      </c>
      <c r="F25" s="293">
        <f>CF!J5</f>
        <v>6130872.9726745877</v>
      </c>
      <c r="G25" s="294">
        <f>CF!K5</f>
        <v>7442515.6193199735</v>
      </c>
    </row>
    <row r="26" spans="1:7">
      <c r="A26" s="290" t="s">
        <v>615</v>
      </c>
      <c r="B26" s="275"/>
      <c r="C26" s="275">
        <f>IS!G7*(1-20%)</f>
        <v>714965.38095567178</v>
      </c>
      <c r="D26" s="275">
        <f>IS!H7*(1-20%)</f>
        <v>760235.13547351572</v>
      </c>
      <c r="E26" s="275">
        <f>IS!I7*(1-20%)</f>
        <v>874379.51644137595</v>
      </c>
      <c r="F26" s="275">
        <f>IS!J7*(1-20%)</f>
        <v>851920.36469841434</v>
      </c>
      <c r="G26" s="295">
        <f>IS!K7*(1-20%)</f>
        <v>967668.99184706365</v>
      </c>
    </row>
    <row r="27" spans="1:7">
      <c r="A27" s="290" t="s">
        <v>616</v>
      </c>
      <c r="B27" s="275"/>
      <c r="C27" s="293">
        <f>(BS!G37+BS!G43+BS!G50)-(BS!H37+BS!H43+BS!H50)</f>
        <v>-6437268.2929568999</v>
      </c>
      <c r="D27" s="293">
        <f>(BS!H37+BS!H43+BS!H50)-(BS!I37+BS!I43+BS!I50)</f>
        <v>-7928378.4512132481</v>
      </c>
      <c r="E27" s="293">
        <f>(BS!I37+BS!I43+BS!I50)-(BS!J37+BS!J43+BS!J50)</f>
        <v>-9038857.8140565641</v>
      </c>
      <c r="F27" s="293">
        <f>(BS!J37+BS!J43+BS!J50)-(BS!K37+BS!K43+BS!K50)</f>
        <v>-10034880.749439657</v>
      </c>
      <c r="G27" s="294">
        <f>(BS!K37+BS!K43+BS!K50)-(BS!L37+BS!L43+BS!L50)</f>
        <v>-11151570.829300739</v>
      </c>
    </row>
    <row r="28" spans="1:7">
      <c r="A28" s="290" t="s">
        <v>617</v>
      </c>
      <c r="B28" s="275"/>
      <c r="C28" s="293">
        <f>BS!H153</f>
        <v>2078760.3091090545</v>
      </c>
      <c r="D28" s="293">
        <f>BS!I153</f>
        <v>5694044.458205983</v>
      </c>
      <c r="E28" s="293">
        <f>BS!J153</f>
        <v>3394205.2776485458</v>
      </c>
      <c r="F28" s="293">
        <f>BS!K153</f>
        <v>3770441.2958799452</v>
      </c>
      <c r="G28" s="294">
        <f>BS!L153</f>
        <v>4232838.5283829346</v>
      </c>
    </row>
    <row r="29" spans="1:7" s="171" customFormat="1">
      <c r="A29" s="296" t="s">
        <v>0</v>
      </c>
      <c r="B29" s="297"/>
      <c r="C29" s="298">
        <f>SUM(C24:C28)</f>
        <v>6334389.7724634651</v>
      </c>
      <c r="D29" s="298">
        <f>SUM(D24:D28)</f>
        <v>10853927.886530098</v>
      </c>
      <c r="E29" s="298">
        <f>SUM(E24:E28)</f>
        <v>10981826.908854216</v>
      </c>
      <c r="F29" s="298">
        <f>SUM(F24:F28)</f>
        <v>13667619.565484058</v>
      </c>
      <c r="G29" s="299">
        <f>SUM(G24:G28)</f>
        <v>16024341.492261052</v>
      </c>
    </row>
    <row r="30" spans="1:7">
      <c r="A30" s="290" t="s">
        <v>618</v>
      </c>
      <c r="B30" s="275"/>
      <c r="C30" s="300">
        <f>B4</f>
        <v>0.56986301369863013</v>
      </c>
      <c r="D30" s="300">
        <f>1+C30</f>
        <v>1.56986301369863</v>
      </c>
      <c r="E30" s="300">
        <f>1+D30</f>
        <v>2.56986301369863</v>
      </c>
      <c r="F30" s="300">
        <f>1+E30</f>
        <v>3.56986301369863</v>
      </c>
      <c r="G30" s="301">
        <f>1+F30</f>
        <v>4.5698630136986296</v>
      </c>
    </row>
    <row r="31" spans="1:7">
      <c r="A31" s="290" t="s">
        <v>619</v>
      </c>
      <c r="B31" s="275"/>
      <c r="C31" s="302">
        <f>1/((1+$B$5)^C30)</f>
        <v>0.95288900235312046</v>
      </c>
      <c r="D31" s="302">
        <f>1/((1+$B$5)^D30)</f>
        <v>0.87551906407359581</v>
      </c>
      <c r="E31" s="302">
        <f>1/((1+$B$5)^E30)</f>
        <v>0.80443118732966956</v>
      </c>
      <c r="F31" s="302">
        <f>1/((1+$B$5)^F30)</f>
        <v>0.73911529937196918</v>
      </c>
      <c r="G31" s="303">
        <f>1/((1+$B$5)^G30)</f>
        <v>0.67910274286995798</v>
      </c>
    </row>
    <row r="32" spans="1:7">
      <c r="A32" s="290" t="s">
        <v>620</v>
      </c>
      <c r="B32" s="304"/>
      <c r="C32" s="305">
        <f>C31*C29</f>
        <v>6035970.3507985212</v>
      </c>
      <c r="D32" s="305">
        <f>D31*D29</f>
        <v>9502820.7847371325</v>
      </c>
      <c r="E32" s="305">
        <f>E31*E29</f>
        <v>8834124.0593385119</v>
      </c>
      <c r="F32" s="305">
        <f>F31*F29</f>
        <v>10101946.726844933</v>
      </c>
      <c r="G32" s="306">
        <f>G31*G29</f>
        <v>10882174.260079356</v>
      </c>
    </row>
    <row r="33" spans="1:7">
      <c r="A33" s="290" t="s">
        <v>621</v>
      </c>
      <c r="B33" s="307">
        <f>SUM(C32:G32)</f>
        <v>45357036.181798458</v>
      </c>
      <c r="C33" s="307"/>
      <c r="D33" s="307"/>
      <c r="E33" s="307"/>
      <c r="F33" s="307"/>
      <c r="G33" s="308"/>
    </row>
    <row r="34" spans="1:7">
      <c r="A34" s="296" t="s">
        <v>622</v>
      </c>
      <c r="B34" s="309">
        <f>G32*(1-B6)/(B5-B6)</f>
        <v>155981775.86093339</v>
      </c>
      <c r="C34" s="307"/>
      <c r="D34" s="307"/>
      <c r="E34" s="307"/>
      <c r="F34" s="307"/>
      <c r="G34" s="308"/>
    </row>
    <row r="35" spans="1:7">
      <c r="A35" s="296" t="s">
        <v>623</v>
      </c>
      <c r="B35" s="309">
        <f>B34*G31</f>
        <v>105927651.82488687</v>
      </c>
      <c r="C35" s="307"/>
      <c r="D35" s="307"/>
      <c r="E35" s="307"/>
      <c r="F35" s="307"/>
      <c r="G35" s="308"/>
    </row>
    <row r="36" spans="1:7" s="313" customFormat="1">
      <c r="A36" s="310" t="s">
        <v>624</v>
      </c>
      <c r="B36" s="311">
        <f>B33+B35</f>
        <v>151284688.00668532</v>
      </c>
      <c r="C36" s="311"/>
      <c r="D36" s="311"/>
      <c r="E36" s="311"/>
      <c r="F36" s="311"/>
      <c r="G36" s="312"/>
    </row>
    <row r="37" spans="1:7">
      <c r="A37" s="290" t="s">
        <v>625</v>
      </c>
      <c r="B37" s="307">
        <f>BS!G3</f>
        <v>4142015.8</v>
      </c>
      <c r="C37" s="307"/>
      <c r="D37" s="307"/>
      <c r="E37" s="307"/>
      <c r="F37" s="307"/>
      <c r="G37" s="308"/>
    </row>
    <row r="38" spans="1:7">
      <c r="A38" s="290" t="s">
        <v>626</v>
      </c>
      <c r="B38" s="307">
        <f>BS!G75</f>
        <v>24647474.300000001</v>
      </c>
      <c r="C38" s="307"/>
      <c r="D38" s="307"/>
      <c r="E38" s="307"/>
      <c r="F38" s="307"/>
      <c r="G38" s="308"/>
    </row>
    <row r="39" spans="1:7" s="313" customFormat="1">
      <c r="A39" s="310" t="s">
        <v>627</v>
      </c>
      <c r="B39" s="311">
        <f>B36+B37-B38</f>
        <v>130779229.50668533</v>
      </c>
      <c r="C39" s="311"/>
      <c r="D39" s="311"/>
      <c r="E39" s="311"/>
      <c r="F39" s="311"/>
      <c r="G39" s="312"/>
    </row>
    <row r="40" spans="1:7">
      <c r="A40" s="290" t="s">
        <v>628</v>
      </c>
      <c r="B40" s="307">
        <v>731854815</v>
      </c>
      <c r="C40" s="307"/>
      <c r="D40" s="307"/>
      <c r="E40" s="307"/>
      <c r="F40" s="307"/>
      <c r="G40" s="308"/>
    </row>
    <row r="41" spans="1:7" s="313" customFormat="1" ht="13.5" thickBot="1">
      <c r="A41" s="314" t="s">
        <v>629</v>
      </c>
      <c r="B41" s="315">
        <f>(B39*10^6)/B40</f>
        <v>178695.59211233081</v>
      </c>
      <c r="C41" s="315"/>
      <c r="D41" s="315"/>
      <c r="E41" s="315"/>
      <c r="F41" s="315"/>
      <c r="G41" s="316"/>
    </row>
    <row r="42" spans="1:7">
      <c r="B42" s="317"/>
      <c r="C42" s="317"/>
      <c r="D42" s="317"/>
      <c r="E42" s="317"/>
      <c r="F42" s="317"/>
      <c r="G42" s="317"/>
    </row>
    <row r="44" spans="1:7">
      <c r="A44" s="318"/>
      <c r="B44" s="319"/>
      <c r="C44" s="320"/>
      <c r="D44" s="320"/>
      <c r="E44" s="320"/>
      <c r="F44" s="320"/>
      <c r="G44" s="320"/>
    </row>
    <row r="45" spans="1:7">
      <c r="A45" s="321"/>
      <c r="B45" s="322"/>
      <c r="C45" s="323"/>
      <c r="D45" s="323"/>
      <c r="E45" s="323"/>
      <c r="F45" s="323"/>
      <c r="G45" s="323"/>
    </row>
    <row r="46" spans="1:7">
      <c r="A46" s="235"/>
      <c r="B46" s="322"/>
      <c r="C46" s="323"/>
      <c r="D46" s="323"/>
      <c r="E46" s="323"/>
      <c r="F46" s="323"/>
      <c r="G46" s="323"/>
    </row>
    <row r="47" spans="1:7">
      <c r="A47" s="235"/>
      <c r="B47" s="322"/>
      <c r="C47" s="323"/>
      <c r="D47" s="323"/>
      <c r="E47" s="323"/>
      <c r="F47" s="323"/>
      <c r="G47" s="323"/>
    </row>
    <row r="48" spans="1:7">
      <c r="A48" s="235"/>
      <c r="B48" s="322"/>
      <c r="C48" s="323"/>
      <c r="D48" s="323"/>
      <c r="E48" s="323"/>
      <c r="F48" s="323"/>
      <c r="G48" s="323"/>
    </row>
    <row r="49" spans="1:7">
      <c r="A49" s="235"/>
      <c r="B49" s="322"/>
      <c r="C49" s="324"/>
      <c r="D49" s="323"/>
      <c r="E49" s="323"/>
      <c r="F49" s="323"/>
      <c r="G49" s="323"/>
    </row>
    <row r="50" spans="1:7">
      <c r="A50" s="235"/>
      <c r="B50" s="322"/>
      <c r="C50" s="323"/>
      <c r="D50" s="323"/>
      <c r="E50" s="323"/>
      <c r="F50" s="323"/>
      <c r="G50" s="323"/>
    </row>
    <row r="51" spans="1:7">
      <c r="A51" s="235"/>
      <c r="B51" s="322"/>
      <c r="C51" s="325"/>
      <c r="D51" s="325"/>
      <c r="E51" s="325"/>
      <c r="F51" s="325"/>
      <c r="G51" s="325"/>
    </row>
    <row r="52" spans="1:7">
      <c r="A52" s="235"/>
      <c r="B52" s="322"/>
      <c r="C52" s="323"/>
      <c r="D52" s="323"/>
      <c r="E52" s="323"/>
      <c r="F52" s="323"/>
      <c r="G52" s="323"/>
    </row>
    <row r="53" spans="1:7">
      <c r="A53" s="235"/>
      <c r="B53" s="326"/>
      <c r="C53" s="327"/>
      <c r="D53" s="327"/>
      <c r="E53" s="327"/>
      <c r="F53" s="327"/>
      <c r="G53" s="327"/>
    </row>
    <row r="54" spans="1:7">
      <c r="A54" s="235"/>
      <c r="B54" s="326"/>
      <c r="C54" s="327"/>
      <c r="D54" s="327"/>
      <c r="E54" s="327"/>
      <c r="F54" s="327"/>
      <c r="G54" s="327"/>
    </row>
    <row r="55" spans="1:7">
      <c r="A55" s="235"/>
      <c r="B55" s="326"/>
      <c r="C55" s="327"/>
      <c r="D55" s="327"/>
      <c r="E55" s="327"/>
      <c r="F55" s="327"/>
      <c r="G55" s="327"/>
    </row>
    <row r="56" spans="1:7">
      <c r="A56" s="235"/>
      <c r="B56" s="328"/>
      <c r="C56" s="327"/>
      <c r="D56" s="327"/>
      <c r="E56" s="327"/>
      <c r="F56" s="327"/>
      <c r="G56" s="327"/>
    </row>
    <row r="57" spans="1:7">
      <c r="A57" s="235"/>
      <c r="B57" s="328"/>
      <c r="C57" s="327"/>
      <c r="D57" s="327"/>
      <c r="E57" s="327"/>
      <c r="F57" s="327"/>
      <c r="G57" s="327"/>
    </row>
    <row r="58" spans="1:7">
      <c r="A58" s="235"/>
      <c r="B58" s="328"/>
      <c r="C58" s="327"/>
      <c r="D58" s="327"/>
      <c r="E58" s="327"/>
      <c r="F58" s="327"/>
      <c r="G58" s="327"/>
    </row>
    <row r="59" spans="1:7">
      <c r="A59" s="235"/>
      <c r="B59" s="328"/>
      <c r="C59" s="327"/>
      <c r="D59" s="327"/>
      <c r="E59" s="327"/>
      <c r="F59" s="327"/>
      <c r="G59" s="327"/>
    </row>
    <row r="60" spans="1:7">
      <c r="A60" s="235"/>
      <c r="B60" s="328"/>
      <c r="C60" s="327"/>
      <c r="D60" s="327"/>
      <c r="E60" s="327"/>
      <c r="F60" s="327"/>
      <c r="G60" s="327"/>
    </row>
    <row r="61" spans="1:7">
      <c r="A61" s="329"/>
      <c r="B61" s="328"/>
      <c r="C61" s="327"/>
      <c r="D61" s="327"/>
      <c r="E61" s="327"/>
      <c r="F61" s="327"/>
      <c r="G61" s="327"/>
    </row>
    <row r="62" spans="1:7">
      <c r="A62" s="330"/>
      <c r="B62" s="330"/>
      <c r="C62" s="330"/>
      <c r="D62" s="330"/>
      <c r="E62" s="330"/>
      <c r="F62" s="330"/>
      <c r="G62" s="330"/>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outlinePr summaryBelow="0" summaryRight="0"/>
  </sheetPr>
  <dimension ref="A1:Z80"/>
  <sheetViews>
    <sheetView zoomScale="90" zoomScaleNormal="90" workbookViewId="0">
      <pane ySplit="1" topLeftCell="A2" activePane="bottomLeft" state="frozen"/>
      <selection pane="bottomLeft" activeCell="A55" sqref="A55:A61"/>
    </sheetView>
  </sheetViews>
  <sheetFormatPr defaultColWidth="11.25" defaultRowHeight="15" customHeight="1"/>
  <cols>
    <col min="1" max="1" width="36.25" style="20" customWidth="1"/>
    <col min="2" max="16384" width="11.25" style="20"/>
  </cols>
  <sheetData>
    <row r="1" spans="1:26" s="112" customFormat="1" ht="21" customHeight="1">
      <c r="A1" s="19"/>
      <c r="B1" s="166" t="s">
        <v>15</v>
      </c>
      <c r="C1" s="166" t="s">
        <v>16</v>
      </c>
      <c r="D1" s="166" t="s">
        <v>17</v>
      </c>
      <c r="E1" s="166" t="s">
        <v>18</v>
      </c>
      <c r="F1" s="166" t="s">
        <v>19</v>
      </c>
      <c r="G1" s="124" t="s">
        <v>4</v>
      </c>
      <c r="H1" s="124" t="s">
        <v>5</v>
      </c>
      <c r="I1" s="124" t="s">
        <v>6</v>
      </c>
      <c r="J1" s="124" t="s">
        <v>7</v>
      </c>
      <c r="K1" s="124" t="s">
        <v>8</v>
      </c>
      <c r="L1" s="19"/>
      <c r="M1" s="19"/>
      <c r="N1" s="19"/>
      <c r="O1" s="19"/>
      <c r="P1" s="19"/>
      <c r="Q1" s="19"/>
      <c r="R1" s="19"/>
      <c r="S1" s="19"/>
      <c r="T1" s="19"/>
      <c r="U1" s="19"/>
      <c r="V1" s="19"/>
      <c r="W1" s="19"/>
      <c r="X1" s="19"/>
      <c r="Y1" s="19"/>
      <c r="Z1" s="19"/>
    </row>
    <row r="2" spans="1:26" ht="16.5" thickBot="1">
      <c r="A2" s="119" t="s">
        <v>630</v>
      </c>
      <c r="B2" s="120"/>
      <c r="C2" s="120"/>
      <c r="D2" s="120"/>
      <c r="E2" s="120"/>
      <c r="F2" s="120"/>
      <c r="G2" s="120"/>
      <c r="H2" s="120"/>
      <c r="I2" s="120"/>
      <c r="J2" s="120"/>
      <c r="K2" s="120"/>
    </row>
    <row r="3" spans="1:26" ht="15.75">
      <c r="A3" s="113" t="s">
        <v>631</v>
      </c>
      <c r="B3" s="114">
        <f>BS!C2/BS!C65</f>
        <v>1.2003998659803483</v>
      </c>
      <c r="C3" s="114">
        <f>BS!D2/BS!D65</f>
        <v>1.3035545965117805</v>
      </c>
      <c r="D3" s="114">
        <f>BS!E2/BS!E65</f>
        <v>1.2309769179651284</v>
      </c>
      <c r="E3" s="114">
        <f>BS!F2/BS!F65</f>
        <v>1.2683224404615276</v>
      </c>
      <c r="F3" s="114">
        <f>BS!G2/BS!G65</f>
        <v>1.2198028806447669</v>
      </c>
      <c r="G3" s="114">
        <f>BS!H2/BS!H65</f>
        <v>1.4021084612607781</v>
      </c>
      <c r="H3" s="114">
        <f>BS!I2/BS!I65</f>
        <v>1.4037030558212704</v>
      </c>
      <c r="I3" s="114">
        <f>BS!J2/BS!J65</f>
        <v>1.456179579379302</v>
      </c>
      <c r="J3" s="114">
        <f>BS!K2/BS!K65</f>
        <v>1.5698934366213659</v>
      </c>
      <c r="K3" s="114">
        <f>BS!L2/BS!L65</f>
        <v>1.5874353438676274</v>
      </c>
    </row>
    <row r="4" spans="1:26" ht="15.75">
      <c r="A4" s="113" t="s">
        <v>632</v>
      </c>
      <c r="B4" s="114">
        <f>(BS!C2-BS!C17)/BS!C65</f>
        <v>0.43354835495739491</v>
      </c>
      <c r="C4" s="114">
        <f>(BS!D2-BS!D17)/BS!D65</f>
        <v>0.33051739561423943</v>
      </c>
      <c r="D4" s="114">
        <f>(BS!E2-BS!E17)/BS!E65</f>
        <v>0.32579808135305421</v>
      </c>
      <c r="E4" s="114">
        <f>(BS!F2-BS!F17)/BS!F65</f>
        <v>0.60820964737839156</v>
      </c>
      <c r="F4" s="114">
        <f>(BS!G2-BS!G17)/BS!G65</f>
        <v>0.53501609511995152</v>
      </c>
      <c r="G4" s="114">
        <f>(BS!H2-BS!H17)/BS!H65</f>
        <v>0.71443956294031541</v>
      </c>
      <c r="H4" s="114">
        <f>(BS!I2-BS!I17)/BS!I65</f>
        <v>0.65622796982401532</v>
      </c>
      <c r="I4" s="114">
        <f>(BS!J2-BS!J17)/BS!J65</f>
        <v>0.71745600856979719</v>
      </c>
      <c r="J4" s="114">
        <f>(BS!K2-BS!K17)/BS!K65</f>
        <v>0.72324539669393939</v>
      </c>
      <c r="K4" s="114">
        <f>(BS!L2-BS!L17)/BS!L65</f>
        <v>0.84783809373409191</v>
      </c>
    </row>
    <row r="5" spans="1:26" ht="15.75">
      <c r="A5" s="113" t="s">
        <v>633</v>
      </c>
      <c r="B5" s="114">
        <f>BS!C3/BS!C65</f>
        <v>0.2170690835870798</v>
      </c>
      <c r="C5" s="114">
        <f>BS!D3/BS!D65</f>
        <v>0.20912821392622954</v>
      </c>
      <c r="D5" s="114">
        <f>BS!E3/BS!E65</f>
        <v>0.10952804430300801</v>
      </c>
      <c r="E5" s="114">
        <f>BS!F3/BS!F65</f>
        <v>0.24973588422258994</v>
      </c>
      <c r="F5" s="114">
        <f>BS!G3/BS!G65</f>
        <v>9.7246034731756026E-2</v>
      </c>
      <c r="G5" s="114">
        <f>BS!H3/BS!H65</f>
        <v>0.31200993202680471</v>
      </c>
      <c r="H5" s="114">
        <f>BS!I3/BS!I65</f>
        <v>0.27722134705506163</v>
      </c>
      <c r="I5" s="114">
        <f>BS!J3/BS!J65</f>
        <v>0.35609338064174995</v>
      </c>
      <c r="J5" s="114">
        <f>BS!K3/BS!K65</f>
        <v>0.35003356634495614</v>
      </c>
      <c r="K5" s="114">
        <f>BS!L3/BS!L65</f>
        <v>0.53435514569208653</v>
      </c>
    </row>
    <row r="6" spans="1:26" ht="16.5" thickBot="1">
      <c r="A6" s="113"/>
      <c r="B6" s="114"/>
      <c r="C6" s="114"/>
      <c r="D6" s="114"/>
      <c r="E6" s="114"/>
      <c r="F6" s="114"/>
      <c r="G6" s="114"/>
      <c r="H6" s="114"/>
      <c r="I6" s="114"/>
      <c r="J6" s="114"/>
      <c r="K6" s="114"/>
    </row>
    <row r="7" spans="1:26" ht="16.5" thickBot="1">
      <c r="A7" s="121" t="s">
        <v>634</v>
      </c>
      <c r="B7" s="122"/>
      <c r="C7" s="122"/>
      <c r="D7" s="122"/>
      <c r="E7" s="122"/>
      <c r="F7" s="122"/>
      <c r="G7" s="122"/>
      <c r="H7" s="122"/>
      <c r="I7" s="122"/>
      <c r="J7" s="122"/>
      <c r="K7" s="122"/>
    </row>
    <row r="8" spans="1:26" ht="15.75">
      <c r="A8" s="113" t="s">
        <v>635</v>
      </c>
      <c r="B8" s="114">
        <f>BS!C114/BS!C92</f>
        <v>3.8624111497399278</v>
      </c>
      <c r="C8" s="114">
        <f>BS!D114/BS!D92</f>
        <v>3.130626849479262</v>
      </c>
      <c r="D8" s="114">
        <f>BS!E114/BS!E92</f>
        <v>3.4345764262406639</v>
      </c>
      <c r="E8" s="114">
        <f>BS!F114/BS!F92</f>
        <v>2.9732464992290439</v>
      </c>
      <c r="F8" s="114">
        <f>BS!G114/BS!G92</f>
        <v>3.0901287971496663</v>
      </c>
      <c r="G8" s="114">
        <f>BS!H114/BS!H92</f>
        <v>2.4398461183855811</v>
      </c>
      <c r="H8" s="114">
        <f>BS!I114/BS!I92</f>
        <v>2.3647526263661738</v>
      </c>
      <c r="I8" s="114">
        <f>BS!J114/BS!J92</f>
        <v>2.2093072336046529</v>
      </c>
      <c r="J8" s="114">
        <f>BS!K114/BS!K92</f>
        <v>2.0009344199921655</v>
      </c>
      <c r="K8" s="114">
        <f>BS!L114/BS!L92</f>
        <v>2.0123962265295452</v>
      </c>
    </row>
    <row r="9" spans="1:26" ht="15.75">
      <c r="A9" s="113" t="s">
        <v>636</v>
      </c>
      <c r="B9" s="114">
        <f>(IS!B15+IS!B7)/IS!B7</f>
        <v>13.046673639153644</v>
      </c>
      <c r="C9" s="114">
        <f>(IS!C15+IS!C7)/IS!C7</f>
        <v>9.6759270843501373</v>
      </c>
      <c r="D9" s="114">
        <f>(IS!D15+IS!D7)/IS!D7</f>
        <v>9.8947733881652091</v>
      </c>
      <c r="E9" s="114">
        <f>(IS!E15+IS!E7)/IS!E7</f>
        <v>10.107240391391436</v>
      </c>
      <c r="F9" s="114">
        <f>(IS!F15+IS!F7)/IS!F7</f>
        <v>10.595667259811542</v>
      </c>
      <c r="G9" s="114">
        <f>(IS!G15+IS!G7)/IS!G7</f>
        <v>10.612011221436889</v>
      </c>
      <c r="H9" s="114">
        <f>(IS!H15+IS!H7)/IS!H7</f>
        <v>12.32678380715557</v>
      </c>
      <c r="I9" s="114">
        <f>(IS!I15+IS!I7)/IS!I7</f>
        <v>13.357442493203569</v>
      </c>
      <c r="J9" s="114">
        <f>(IS!J15+IS!J7)/IS!J7</f>
        <v>16.078356263033211</v>
      </c>
      <c r="K9" s="114">
        <f>(IS!K15+IS!K7)/IS!K7</f>
        <v>15.878480792527883</v>
      </c>
    </row>
    <row r="10" spans="1:26" ht="15.75">
      <c r="A10" s="113" t="s">
        <v>637</v>
      </c>
      <c r="B10" s="114">
        <f>(IS!B15+IS!B7+CF!B5)/IS!B7</f>
        <v>16.004250386895841</v>
      </c>
      <c r="C10" s="114">
        <f>(IS!C15+IS!C7+CF!C5)/IS!C7</f>
        <v>12.477994420927162</v>
      </c>
      <c r="D10" s="114">
        <f>(IS!D15+IS!D7+CF!D5)/IS!D7</f>
        <v>12.43435039489616</v>
      </c>
      <c r="E10" s="114">
        <f>(IS!E15+IS!E7+CF!E5)/IS!E7</f>
        <v>13.80348459050262</v>
      </c>
      <c r="F10" s="114">
        <f>(IS!F15+IS!F7+CF!F5)/IS!F7</f>
        <v>14.926322124669554</v>
      </c>
      <c r="G10" s="114">
        <f>(IS!G15+IS!G7+CF!G5)/IS!G7</f>
        <v>14.330285588063003</v>
      </c>
      <c r="H10" s="114">
        <f>(IS!H15+IS!H7+CF!H5)/IS!H7</f>
        <v>16.584265484443385</v>
      </c>
      <c r="I10" s="114">
        <f>(IS!I15+IS!I7+CF!I5)/IS!I7</f>
        <v>17.928362663164378</v>
      </c>
      <c r="J10" s="114">
        <f>(IS!J15+IS!J7+CF!J5)/IS!J7</f>
        <v>21.835582620541366</v>
      </c>
      <c r="K10" s="114">
        <f>(IS!K15+IS!K7+CF!K5)/IS!K7</f>
        <v>22.031424149833466</v>
      </c>
    </row>
    <row r="11" spans="1:26" ht="16.5" thickBot="1">
      <c r="A11" s="113"/>
      <c r="B11" s="114"/>
      <c r="C11" s="114"/>
      <c r="D11" s="114"/>
      <c r="E11" s="114"/>
      <c r="F11" s="114"/>
      <c r="G11" s="114"/>
      <c r="H11" s="114"/>
      <c r="I11" s="114"/>
      <c r="J11" s="114"/>
      <c r="K11" s="114"/>
    </row>
    <row r="12" spans="1:26" ht="16.5" thickBot="1">
      <c r="A12" s="123" t="s">
        <v>639</v>
      </c>
      <c r="B12" s="122"/>
      <c r="C12" s="122"/>
      <c r="D12" s="122"/>
      <c r="E12" s="122"/>
      <c r="F12" s="122"/>
      <c r="G12" s="122"/>
      <c r="H12" s="122"/>
      <c r="I12" s="122"/>
      <c r="J12" s="122"/>
      <c r="K12" s="122"/>
    </row>
    <row r="13" spans="1:26" ht="15.75">
      <c r="A13" s="113" t="s">
        <v>638</v>
      </c>
      <c r="C13" s="114">
        <f>IS!C3/AVERAGE(BS!C17:D17)</f>
        <v>4.8293838847134314</v>
      </c>
      <c r="D13" s="114">
        <f>IS!D3/AVERAGE(BS!D17:E17)</f>
        <v>3.8288353785301643</v>
      </c>
      <c r="E13" s="114">
        <f>IS!E3/AVERAGE(BS!E17:F17)</f>
        <v>3.7456721787417124</v>
      </c>
      <c r="F13" s="114">
        <f>IS!F3/AVERAGE(BS!F17:G17)</f>
        <v>3.9237345953520926</v>
      </c>
      <c r="G13" s="114">
        <f>IS!G3/AVERAGE(BS!G17:H17)</f>
        <v>3.7755055462861411</v>
      </c>
      <c r="H13" s="114">
        <f>IS!H3/AVERAGE(BS!H17:I17)</f>
        <v>3.8955771857923494</v>
      </c>
      <c r="I13" s="114">
        <f>IS!I3/AVERAGE(BS!I17:J17)</f>
        <v>3.8554165962480988</v>
      </c>
      <c r="J13" s="114">
        <f>IS!J3/AVERAGE(BS!J17:K17)</f>
        <v>3.8356452290878522</v>
      </c>
      <c r="K13" s="114">
        <f>IS!K3/AVERAGE(BS!K17:L17)</f>
        <v>3.8160756105720974</v>
      </c>
    </row>
    <row r="14" spans="1:26" ht="15.75">
      <c r="A14" s="113" t="s">
        <v>640</v>
      </c>
      <c r="C14" s="114">
        <f t="shared" ref="C14:K14" si="0">365/C13</f>
        <v>75.578999042785469</v>
      </c>
      <c r="D14" s="114">
        <f t="shared" si="0"/>
        <v>95.32924869183546</v>
      </c>
      <c r="E14" s="114">
        <f t="shared" si="0"/>
        <v>97.445794127828563</v>
      </c>
      <c r="F14" s="114">
        <f t="shared" si="0"/>
        <v>93.023621024817828</v>
      </c>
      <c r="G14" s="114">
        <f t="shared" si="0"/>
        <v>96.675794943286533</v>
      </c>
      <c r="H14" s="114">
        <f t="shared" si="0"/>
        <v>93.696000000000012</v>
      </c>
      <c r="I14" s="114">
        <f t="shared" si="0"/>
        <v>94.671999999999997</v>
      </c>
      <c r="J14" s="114">
        <f t="shared" si="0"/>
        <v>95.16</v>
      </c>
      <c r="K14" s="114">
        <f t="shared" si="0"/>
        <v>95.64800000000001</v>
      </c>
    </row>
    <row r="15" spans="1:26" ht="15.75">
      <c r="A15" s="113" t="s">
        <v>641</v>
      </c>
      <c r="C15" s="114">
        <f>IS!C2/AVERAGE(BS!C8:D8)</f>
        <v>40.161887856855628</v>
      </c>
      <c r="D15" s="114">
        <f>IS!D2/AVERAGE(BS!D8:E8)</f>
        <v>60.861197529091555</v>
      </c>
      <c r="E15" s="114">
        <f>IS!E2/AVERAGE(BS!E8:F8)</f>
        <v>63.657071093803467</v>
      </c>
      <c r="F15" s="114">
        <f>IS!F2/AVERAGE(BS!F8:G8)</f>
        <v>51.691597904978231</v>
      </c>
      <c r="G15" s="114">
        <f>IS!G2/AVERAGE(BS!G8:H8)</f>
        <v>43.878509558935235</v>
      </c>
      <c r="H15" s="114">
        <f>IS!H2/AVERAGE(BS!H8:I8)</f>
        <v>43.403416121383941</v>
      </c>
      <c r="I15" s="114">
        <f>IS!I2/AVERAGE(BS!I8:J8)</f>
        <v>41.782853170309835</v>
      </c>
      <c r="J15" s="114">
        <f>IS!J2/AVERAGE(BS!J8:K8)</f>
        <v>41.198986572722589</v>
      </c>
      <c r="K15" s="114">
        <f>IS!K2/AVERAGE(BS!K8:L8)</f>
        <v>41.205446536047432</v>
      </c>
    </row>
    <row r="16" spans="1:26" ht="15.75">
      <c r="A16" s="113" t="s">
        <v>642</v>
      </c>
      <c r="C16" s="114">
        <f t="shared" ref="C16:K16" si="1">365/C15</f>
        <v>9.0882181958409749</v>
      </c>
      <c r="D16" s="114">
        <f t="shared" si="1"/>
        <v>5.9972530087915308</v>
      </c>
      <c r="E16" s="114">
        <f t="shared" si="1"/>
        <v>5.7338484747773757</v>
      </c>
      <c r="F16" s="114">
        <f t="shared" si="1"/>
        <v>7.0611088608821699</v>
      </c>
      <c r="G16" s="114">
        <f t="shared" si="1"/>
        <v>8.3184229288771032</v>
      </c>
      <c r="H16" s="114">
        <f t="shared" si="1"/>
        <v>8.4094763181594878</v>
      </c>
      <c r="I16" s="114">
        <f t="shared" si="1"/>
        <v>8.7356408743135479</v>
      </c>
      <c r="J16" s="114">
        <f t="shared" si="1"/>
        <v>8.8594412232863657</v>
      </c>
      <c r="K16" s="114">
        <f t="shared" si="1"/>
        <v>8.8580522888082278</v>
      </c>
    </row>
    <row r="17" spans="1:11" ht="15.75">
      <c r="A17" s="113" t="s">
        <v>643</v>
      </c>
      <c r="C17" s="114">
        <f>(IS!C3+BS!D17-BS!C17)/AVERAGE(BS!C66:D66)</f>
        <v>9.8118539653223191</v>
      </c>
      <c r="D17" s="114">
        <f>(IS!D3+BS!E17-BS!D17)/AVERAGE(BS!D66:E66)</f>
        <v>8.9641250388786951</v>
      </c>
      <c r="E17" s="114">
        <f>(IS!E3+BS!F17-BS!E17)/AVERAGE(BS!E66:F66)</f>
        <v>7.5317503439161495</v>
      </c>
      <c r="F17" s="114">
        <f>(IS!F3+BS!G17-BS!F17)/AVERAGE(BS!F66:G66)</f>
        <v>10.050823783306818</v>
      </c>
      <c r="G17" s="114">
        <f>(IS!G3+BS!H17-BS!G17)/AVERAGE(BS!G66:H66)</f>
        <v>8.975295169943756</v>
      </c>
      <c r="H17" s="114">
        <f>(IS!H3+BS!I17-BS!H17)/AVERAGE(BS!H66:I66)</f>
        <v>9.0976917604512657</v>
      </c>
      <c r="I17" s="114">
        <f>(IS!I3+BS!J17-BS!I17)/AVERAGE(BS!I66:J66)</f>
        <v>8.9442071148152706</v>
      </c>
      <c r="J17" s="114">
        <f>(IS!J3+BS!K17-BS!J17)/AVERAGE(BS!J66:K66)</f>
        <v>8.9943267012703583</v>
      </c>
      <c r="K17" s="114">
        <f>(IS!K3+BS!L17-BS!K17)/AVERAGE(BS!K66:L66)</f>
        <v>8.801222674966553</v>
      </c>
    </row>
    <row r="18" spans="1:11" ht="15.75">
      <c r="A18" s="113" t="s">
        <v>642</v>
      </c>
      <c r="C18" s="114">
        <f t="shared" ref="C18:K18" si="2">365/C17</f>
        <v>37.199901393763739</v>
      </c>
      <c r="D18" s="114">
        <f t="shared" si="2"/>
        <v>40.717861299004944</v>
      </c>
      <c r="E18" s="114">
        <f t="shared" si="2"/>
        <v>48.461510715743863</v>
      </c>
      <c r="F18" s="114">
        <f t="shared" si="2"/>
        <v>36.315431239200521</v>
      </c>
      <c r="G18" s="114">
        <f t="shared" si="2"/>
        <v>40.667186213808641</v>
      </c>
      <c r="H18" s="114">
        <f t="shared" si="2"/>
        <v>40.120066673032149</v>
      </c>
      <c r="I18" s="114">
        <f t="shared" si="2"/>
        <v>40.808536219539292</v>
      </c>
      <c r="J18" s="114">
        <f t="shared" si="2"/>
        <v>40.581136545601289</v>
      </c>
      <c r="K18" s="114">
        <f t="shared" si="2"/>
        <v>41.471510661601016</v>
      </c>
    </row>
    <row r="19" spans="1:11" ht="15.75">
      <c r="A19" s="113" t="s">
        <v>644</v>
      </c>
      <c r="C19" s="114">
        <f>IS!C2/AVERAGE(BS!C63:D63)</f>
        <v>3.3964453688417175</v>
      </c>
      <c r="D19" s="114">
        <f>IS!D2/AVERAGE(BS!D63:E63)</f>
        <v>2.926344739823115</v>
      </c>
      <c r="E19" s="114">
        <f>IS!E2/AVERAGE(BS!E63:F63)</f>
        <v>2.4742942137499657</v>
      </c>
      <c r="F19" s="114">
        <f>IS!F2/AVERAGE(BS!F63:G63)</f>
        <v>2.2560647481033351</v>
      </c>
      <c r="G19" s="114">
        <f>IS!G2/AVERAGE(BS!G63:H63)</f>
        <v>2.1029667624431951</v>
      </c>
      <c r="H19" s="114">
        <f>IS!H2/AVERAGE(BS!H63:I63)</f>
        <v>2.1098670139768911</v>
      </c>
      <c r="I19" s="114">
        <f>IS!I2/AVERAGE(BS!I63:J63)</f>
        <v>2.0814815478765745</v>
      </c>
      <c r="J19" s="114">
        <f>IS!J2/AVERAGE(BS!J63:K63)</f>
        <v>2.0652428647499046</v>
      </c>
      <c r="K19" s="114">
        <f>IS!K2/AVERAGE(BS!K63:L63)</f>
        <v>1.9620484355870258</v>
      </c>
    </row>
    <row r="20" spans="1:11" ht="16.5" thickBot="1">
      <c r="A20" s="113"/>
      <c r="C20" s="114"/>
      <c r="D20" s="114"/>
      <c r="E20" s="114"/>
      <c r="F20" s="114"/>
      <c r="G20" s="114"/>
      <c r="H20" s="114"/>
      <c r="I20" s="114"/>
      <c r="J20" s="114"/>
      <c r="K20" s="114"/>
    </row>
    <row r="21" spans="1:11" ht="16.5" thickBot="1">
      <c r="A21" s="123" t="s">
        <v>645</v>
      </c>
      <c r="B21" s="122"/>
      <c r="C21" s="122"/>
      <c r="D21" s="122"/>
      <c r="E21" s="122"/>
      <c r="F21" s="122"/>
      <c r="G21" s="122"/>
      <c r="H21" s="122"/>
      <c r="I21" s="122"/>
      <c r="J21" s="122"/>
      <c r="K21" s="122"/>
    </row>
    <row r="22" spans="1:11" ht="15.75">
      <c r="A22" s="113" t="s">
        <v>646</v>
      </c>
      <c r="B22" s="115">
        <f>IS!B4/IS!B2</f>
        <v>0.16795013844795159</v>
      </c>
      <c r="C22" s="115">
        <f>IS!C4/IS!C2</f>
        <v>0.17675432372635225</v>
      </c>
      <c r="D22" s="115">
        <f>IS!D4/IS!D2</f>
        <v>0.19073103491717541</v>
      </c>
      <c r="E22" s="115">
        <f>IS!E4/IS!E2</f>
        <v>0.22068517451128611</v>
      </c>
      <c r="F22" s="115">
        <f>IS!F4/IS!F2</f>
        <v>0.22472802222187124</v>
      </c>
      <c r="G22" s="115">
        <f>IS!G4/IS!G2</f>
        <v>0.22684462622563872</v>
      </c>
      <c r="H22" s="115">
        <f>IS!H4/IS!H2</f>
        <v>0.22531397016136406</v>
      </c>
      <c r="I22" s="115">
        <f>IS!I4/IS!I2</f>
        <v>0.22772595977566851</v>
      </c>
      <c r="J22" s="115">
        <f>IS!J4/IS!J2</f>
        <v>0.23025867062850705</v>
      </c>
      <c r="K22" s="115">
        <f>IS!K4/IS!K2</f>
        <v>0.23125549055235115</v>
      </c>
    </row>
    <row r="23" spans="1:11" ht="15.75">
      <c r="A23" s="113" t="s">
        <v>648</v>
      </c>
      <c r="B23" s="115">
        <f>IS!B11/IS!B2</f>
        <v>4.2138258225368708E-2</v>
      </c>
      <c r="C23" s="115">
        <f>IS!C11/IS!C2</f>
        <v>4.3623952562827854E-2</v>
      </c>
      <c r="D23" s="115">
        <f>IS!D11/IS!D2</f>
        <v>4.9275465155386916E-2</v>
      </c>
      <c r="E23" s="115">
        <f>IS!E11/IS!E2</f>
        <v>4.9863918685910141E-2</v>
      </c>
      <c r="F23" s="115">
        <f>IS!F11/IS!F2</f>
        <v>5.2583819847888832E-2</v>
      </c>
      <c r="G23" s="115">
        <f>IS!G11/IS!G2</f>
        <v>5.6146610506840632E-2</v>
      </c>
      <c r="H23" s="115">
        <f>IS!H11/IS!H2</f>
        <v>5.7101040566625322E-2</v>
      </c>
      <c r="I23" s="115">
        <f>IS!I11/IS!I2</f>
        <v>6.2859004623255679E-2</v>
      </c>
      <c r="J23" s="115">
        <f>IS!J11/IS!J2</f>
        <v>6.6660792751795678E-2</v>
      </c>
      <c r="K23" s="115">
        <f>IS!K11/IS!K2</f>
        <v>6.7234365480090916E-2</v>
      </c>
    </row>
    <row r="24" spans="1:11" ht="15.75">
      <c r="A24" s="113" t="s">
        <v>647</v>
      </c>
      <c r="B24" s="115">
        <f>IS!B18/IS!B2</f>
        <v>3.3266560349600793E-2</v>
      </c>
      <c r="C24" s="115">
        <f>IS!C18/IS!C2</f>
        <v>3.3292102560989474E-2</v>
      </c>
      <c r="D24" s="115">
        <f>IS!D18/IS!D2</f>
        <v>3.7546058084853555E-2</v>
      </c>
      <c r="E24" s="115">
        <f>IS!E18/IS!E2</f>
        <v>3.6112542042847473E-2</v>
      </c>
      <c r="F24" s="115">
        <f>IS!F18/IS!F2</f>
        <v>3.9862574786356443E-2</v>
      </c>
      <c r="G24" s="115">
        <f>IS!G18/IS!G2</f>
        <v>4.350540899434352E-2</v>
      </c>
      <c r="H24" s="115">
        <f>IS!H18/IS!H2</f>
        <v>4.3959399423130811E-2</v>
      </c>
      <c r="I24" s="115">
        <f>IS!I18/IS!I2</f>
        <v>5.0076158346336996E-2</v>
      </c>
      <c r="J24" s="115">
        <f>IS!J18/IS!J2</f>
        <v>5.3779638157483399E-2</v>
      </c>
      <c r="K24" s="115">
        <f>IS!K18/IS!K2</f>
        <v>5.4312113950186848E-2</v>
      </c>
    </row>
    <row r="25" spans="1:11" ht="15.75">
      <c r="A25" s="113" t="s">
        <v>649</v>
      </c>
      <c r="B25" s="115">
        <f>(IS!B15+IS!B7)/IS!B2</f>
        <v>4.5862575819902704E-2</v>
      </c>
      <c r="C25" s="115">
        <f>(IS!C15+IS!C7)/IS!C2</f>
        <v>4.8808557861481042E-2</v>
      </c>
      <c r="D25" s="115">
        <f>(IS!D15+IS!D7)/IS!D2</f>
        <v>5.5019579102537824E-2</v>
      </c>
      <c r="E25" s="115">
        <f>(IS!E15+IS!E7)/IS!E2</f>
        <v>5.531054216997696E-2</v>
      </c>
      <c r="F25" s="115">
        <f>(IS!F15+IS!F7)/IS!F2</f>
        <v>5.8117449322033762E-2</v>
      </c>
      <c r="G25" s="115">
        <f>(IS!G15+IS!G7)/IS!G2</f>
        <v>6.2000528435325407E-2</v>
      </c>
      <c r="H25" s="115">
        <f>(IS!H15+IS!H7)/IS!H2</f>
        <v>6.2174951479211281E-2</v>
      </c>
      <c r="I25" s="115">
        <f>(IS!I15+IS!I7)/IS!I2</f>
        <v>6.7968140300452423E-2</v>
      </c>
      <c r="J25" s="115">
        <f>(IS!J15+IS!J7)/IS!J2</f>
        <v>7.1108807389423018E-2</v>
      </c>
      <c r="K25" s="115">
        <f>(IS!K15+IS!K7)/IS!K2</f>
        <v>7.1777864061379218E-2</v>
      </c>
    </row>
    <row r="26" spans="1:11" ht="15.75">
      <c r="A26" s="113" t="s">
        <v>650</v>
      </c>
      <c r="B26" s="115">
        <f>(IS!B15+IS!B7+CF!B5)/IS!B2</f>
        <v>5.6259255585804094E-2</v>
      </c>
      <c r="C26" s="115">
        <f>(IS!C15+IS!C7+CF!C5)/IS!C2</f>
        <v>6.2943106885758979E-2</v>
      </c>
      <c r="D26" s="115">
        <f>(IS!D15+IS!D7+CF!D5)/IS!D2</f>
        <v>6.9140817914933636E-2</v>
      </c>
      <c r="E26" s="115">
        <f>(IS!E15+IS!E7+CF!E5)/IS!E2</f>
        <v>7.5537751846279824E-2</v>
      </c>
      <c r="F26" s="115">
        <f>(IS!F15+IS!F7+CF!F5)/IS!F2</f>
        <v>8.1871178886025478E-2</v>
      </c>
      <c r="G26" s="115">
        <f>(IS!G15+IS!G7+CF!G5)/IS!G2</f>
        <v>8.3724494871833657E-2</v>
      </c>
      <c r="H26" s="115">
        <f>(IS!H15+IS!H7+CF!H5)/IS!H2</f>
        <v>8.3649224156512589E-2</v>
      </c>
      <c r="I26" s="115">
        <f>(IS!I15+IS!I7+CF!I5)/IS!I2</f>
        <v>9.1226854951265285E-2</v>
      </c>
      <c r="J26" s="115">
        <f>(IS!J15+IS!J7+CF!J5)/IS!J2</f>
        <v>9.6570956222050308E-2</v>
      </c>
      <c r="K26" s="115">
        <f>(IS!K15+IS!K7+CF!K5)/IS!K2</f>
        <v>9.9591931266465761E-2</v>
      </c>
    </row>
    <row r="27" spans="1:11" ht="15.75">
      <c r="A27" s="113" t="s">
        <v>20</v>
      </c>
      <c r="B27" s="115">
        <f>IS!B18/BS!C63</f>
        <v>9.6697610789891919E-2</v>
      </c>
      <c r="C27" s="115">
        <f>IS!C18/BS!D63</f>
        <v>0.10241997951002384</v>
      </c>
      <c r="D27" s="115">
        <f>IS!D18/BS!E63</f>
        <v>9.1978309103085271E-2</v>
      </c>
      <c r="E27" s="115">
        <f>IS!E18/BS!F63</f>
        <v>8.5157457341680204E-2</v>
      </c>
      <c r="F27" s="115">
        <f>IS!F18/BS!G63</f>
        <v>7.7835752839993819E-2</v>
      </c>
      <c r="G27" s="115">
        <f>IS!G18/BS!H63</f>
        <v>8.0659617108145579E-2</v>
      </c>
      <c r="H27" s="115">
        <f>IS!H18/BS!I63</f>
        <v>8.619326420206945E-2</v>
      </c>
      <c r="I27" s="115">
        <f>IS!I18/BS!J63</f>
        <v>9.7517612984046792E-2</v>
      </c>
      <c r="J27" s="115">
        <f>IS!J18/BS!K63</f>
        <v>0.10538384798304899</v>
      </c>
      <c r="K27" s="115">
        <f>IS!K18/BS!L63</f>
        <v>9.6963742094703265E-2</v>
      </c>
    </row>
    <row r="28" spans="1:11" ht="15.75">
      <c r="A28" s="113" t="s">
        <v>21</v>
      </c>
      <c r="B28" s="115">
        <f>IS!B18/BS!C92</f>
        <v>0.3734859300680905</v>
      </c>
      <c r="C28" s="115">
        <f>IS!C18/BS!D92</f>
        <v>0.32063873777719654</v>
      </c>
      <c r="D28" s="115">
        <f>IS!D18/BS!E92</f>
        <v>0.31590653217093378</v>
      </c>
      <c r="E28" s="115">
        <f>IS!E18/BS!F92</f>
        <v>0.25319411192439728</v>
      </c>
      <c r="F28" s="115">
        <f>IS!F18/BS!G92</f>
        <v>0.24052250129868882</v>
      </c>
      <c r="G28" s="115">
        <f>IS!G18/BS!H92</f>
        <v>0.19679705352095614</v>
      </c>
      <c r="H28" s="115">
        <f>IS!H18/BS!I92</f>
        <v>0.20382574772721865</v>
      </c>
      <c r="I28" s="115">
        <f>IS!I18/BS!J92</f>
        <v>0.21544636761325167</v>
      </c>
      <c r="J28" s="115">
        <f>IS!J18/BS!K92</f>
        <v>0.21086616860321883</v>
      </c>
      <c r="K28" s="115">
        <f>IS!K18/BS!L92</f>
        <v>0.19512946859741223</v>
      </c>
    </row>
    <row r="29" spans="1:11" ht="15.75">
      <c r="A29" s="113" t="s">
        <v>22</v>
      </c>
      <c r="C29" s="115">
        <f>IS!C18/AVERAGE(BS!C63:D63)</f>
        <v>0.11307480756227618</v>
      </c>
      <c r="D29" s="115">
        <f>IS!D18/AVERAGE(BS!D63:E63)</f>
        <v>0.10987270957770436</v>
      </c>
      <c r="E29" s="115">
        <f>IS!E18/AVERAGE(BS!E63:F63)</f>
        <v>8.9353053820419873E-2</v>
      </c>
      <c r="F29" s="115">
        <f>IS!F18/AVERAGE(BS!F63:G63)</f>
        <v>8.9932549744131604E-2</v>
      </c>
      <c r="G29" s="115">
        <f>IS!G18/AVERAGE(BS!G63:H63)</f>
        <v>9.149042910160167E-2</v>
      </c>
      <c r="H29" s="115">
        <f>IS!H18/AVERAGE(BS!H63:I63)</f>
        <v>9.2748486797098476E-2</v>
      </c>
      <c r="I29" s="115">
        <f>IS!I18/AVERAGE(BS!I63:J63)</f>
        <v>0.10423259958644597</v>
      </c>
      <c r="J29" s="115">
        <f>IS!J18/AVERAGE(BS!J63:K63)</f>
        <v>0.11106801397357428</v>
      </c>
      <c r="K29" s="115">
        <f>IS!K18/AVERAGE(BS!K63:L63)</f>
        <v>0.10656299820938837</v>
      </c>
    </row>
    <row r="30" spans="1:11" ht="15.75">
      <c r="A30" s="113" t="s">
        <v>23</v>
      </c>
      <c r="C30" s="115">
        <f>IS!C18/AVERAGE(BS!C92:D92)</f>
        <v>0.38682762036374063</v>
      </c>
      <c r="D30" s="115">
        <f>IS!D18/AVERAGE(BS!D92:E92)</f>
        <v>0.36316635014272863</v>
      </c>
      <c r="E30" s="115">
        <f>IS!E18/AVERAGE(BS!E92:F92)</f>
        <v>0.28378879173070526</v>
      </c>
      <c r="F30" s="115">
        <f>IS!F18/AVERAGE(BS!F92:G92)</f>
        <v>0.27336505716778225</v>
      </c>
      <c r="G30" s="115">
        <f>IS!G18/AVERAGE(BS!G92:H92)</f>
        <v>0.24559388865789233</v>
      </c>
      <c r="H30" s="115">
        <f>IS!H18/AVERAGE(BS!H92:I92)</f>
        <v>0.22249073633935326</v>
      </c>
      <c r="I30" s="115">
        <f>IS!I18/AVERAGE(BS!I92:J92)</f>
        <v>0.23755186146923582</v>
      </c>
      <c r="J30" s="115">
        <f>IS!J18/AVERAGE(BS!J92:K92)</f>
        <v>0.23261791117951705</v>
      </c>
      <c r="K30" s="115">
        <f>IS!K18/AVERAGE(BS!K92:L92)</f>
        <v>0.21389500415312634</v>
      </c>
    </row>
    <row r="31" spans="1:11" ht="15.75">
      <c r="A31" s="113" t="s">
        <v>24</v>
      </c>
      <c r="B31" s="115">
        <f>((IS!B15+IS!B7)*(1-(1-IS!B18/IS!B15)))/(BS!C92+BS!C75+BS!C86-BS!C3)</f>
        <v>0.25696130460630318</v>
      </c>
      <c r="C31" s="115">
        <f>((IS!C15+IS!C7)*(1-(1-IS!C18/IS!C15)))/(BS!D92+BS!D75+BS!D86-BS!D3)</f>
        <v>0.26162809976360263</v>
      </c>
      <c r="D31" s="115">
        <f>((IS!D15+IS!D7)*(1-(1-IS!D18/IS!D15)))/(BS!E92+BS!E75+BS!E86-BS!E3)</f>
        <v>0.18409206376256385</v>
      </c>
      <c r="E31" s="115">
        <f>((IS!E15+IS!E7)*(1-(1-IS!E18/IS!E15)))/(BS!F92+BS!F75+BS!F86-BS!F3)</f>
        <v>0.17481072816662827</v>
      </c>
      <c r="F31" s="115">
        <f>((IS!F15+IS!F7)*(1-(1-IS!F18/IS!F15)))/(BS!G92+BS!G75+BS!G86-BS!G3)</f>
        <v>0.1323809225078027</v>
      </c>
      <c r="G31" s="115">
        <f>((IS!G15+IS!G7)*(1-(1-IS!G18/IS!G15)))/(BS!H92+BS!H75+BS!H86-BS!H3)</f>
        <v>0.16310606689277019</v>
      </c>
      <c r="H31" s="115">
        <f>((IS!H15+IS!H7)*(1-(1-IS!H18/IS!H15)))/(BS!I92+BS!I75+BS!I86-BS!I3)</f>
        <v>0.16961122671849066</v>
      </c>
      <c r="I31" s="115">
        <f>((IS!I15+IS!I7)*(1-(1-IS!I18/IS!I15)))/(BS!J92+BS!J75+BS!J86-BS!J3)</f>
        <v>0.19499657772851425</v>
      </c>
      <c r="J31" s="115">
        <f>((IS!J15+IS!J7)*(1-(1-IS!J18/IS!J15)))/(BS!K92+BS!K75+BS!K86-BS!K3)</f>
        <v>0.20839909700236825</v>
      </c>
      <c r="K31" s="115">
        <f>((IS!K15+IS!K7)*(1-(1-IS!K18/IS!K15)))/(BS!L92+BS!L75+BS!L86-BS!L3)</f>
        <v>0.21186162351530058</v>
      </c>
    </row>
    <row r="32" spans="1:11" ht="16.5" thickBot="1">
      <c r="A32" s="113"/>
      <c r="B32" s="115"/>
      <c r="C32" s="115"/>
      <c r="D32" s="115"/>
      <c r="E32" s="115"/>
      <c r="F32" s="115"/>
      <c r="G32" s="115"/>
      <c r="H32" s="115"/>
      <c r="I32" s="115"/>
      <c r="J32" s="115"/>
      <c r="K32" s="115"/>
    </row>
    <row r="33" spans="1:11" ht="16.5" thickBot="1">
      <c r="A33" s="123" t="s">
        <v>651</v>
      </c>
      <c r="B33" s="122"/>
      <c r="C33" s="122"/>
      <c r="D33" s="122"/>
      <c r="E33" s="122"/>
      <c r="F33" s="122"/>
      <c r="G33" s="122"/>
      <c r="H33" s="122"/>
      <c r="I33" s="122"/>
      <c r="J33" s="122"/>
      <c r="K33" s="122"/>
    </row>
    <row r="34" spans="1:11" ht="15.75">
      <c r="A34" s="113" t="s">
        <v>25</v>
      </c>
      <c r="E34" s="116">
        <f>IS!E23</f>
        <v>5675.7903575868149</v>
      </c>
      <c r="F34" s="116">
        <f>IS!F23</f>
        <v>6896.7094335768943</v>
      </c>
      <c r="G34" s="116">
        <f>IS!G23</f>
        <v>4544.4885399559935</v>
      </c>
      <c r="H34" s="116">
        <f>IS!H23</f>
        <v>5655.7088093383918</v>
      </c>
      <c r="I34" s="116">
        <f>IS!I23</f>
        <v>7345.6147280201039</v>
      </c>
      <c r="J34" s="116">
        <f>IS!J23</f>
        <v>8843.5323839155953</v>
      </c>
      <c r="K34" s="116">
        <f>IS!K23</f>
        <v>9925.0923224359358</v>
      </c>
    </row>
    <row r="35" spans="1:11" ht="16.5" thickBot="1">
      <c r="A35" s="113"/>
      <c r="E35" s="116"/>
      <c r="F35" s="116"/>
      <c r="G35" s="116"/>
      <c r="H35" s="116"/>
      <c r="I35" s="116"/>
      <c r="J35" s="116"/>
      <c r="K35" s="116"/>
    </row>
    <row r="36" spans="1:11" ht="16.5" thickBot="1">
      <c r="A36" s="123" t="s">
        <v>652</v>
      </c>
      <c r="B36" s="122"/>
      <c r="C36" s="122"/>
      <c r="D36" s="122"/>
      <c r="E36" s="122"/>
      <c r="F36" s="122"/>
      <c r="G36" s="122"/>
      <c r="H36" s="122"/>
      <c r="I36" s="122"/>
      <c r="J36" s="122"/>
      <c r="K36" s="122"/>
    </row>
    <row r="37" spans="1:11" ht="15.75">
      <c r="A37" s="113" t="s">
        <v>653</v>
      </c>
      <c r="C37" s="115">
        <f>SALE!C53</f>
        <v>0.30413841348057513</v>
      </c>
      <c r="D37" s="115">
        <f>SALE!D53</f>
        <v>0.1809827668633075</v>
      </c>
      <c r="E37" s="115">
        <f>SALE!E53</f>
        <v>6.2361858043207041E-2</v>
      </c>
      <c r="F37" s="115">
        <f>SALE!F53</f>
        <v>0.13277397402348035</v>
      </c>
      <c r="G37" s="115">
        <f>SALE!G53</f>
        <v>0.24405668947374703</v>
      </c>
      <c r="H37" s="115">
        <f>SALE!H53</f>
        <v>0.2316716310533895</v>
      </c>
      <c r="I37" s="115">
        <f>SALE!I53</f>
        <v>0.14008082021012447</v>
      </c>
      <c r="J37" s="115">
        <f>SALE!J53</f>
        <v>0.12098383909836352</v>
      </c>
      <c r="K37" s="115">
        <f>SALE!K53</f>
        <v>0.11129149222636103</v>
      </c>
    </row>
    <row r="38" spans="1:11" ht="15.75">
      <c r="A38" s="113" t="s">
        <v>654</v>
      </c>
      <c r="C38" s="115">
        <f>IS!C4/IS!B4-1</f>
        <v>0.37250320512092716</v>
      </c>
      <c r="D38" s="115">
        <f>IS!D4/IS!C4-1</f>
        <v>0.27436806407019443</v>
      </c>
      <c r="E38" s="115">
        <f>IS!E4/IS!D4-1</f>
        <v>0.22920484407903352</v>
      </c>
      <c r="F38" s="115">
        <f>IS!F4/IS!E4-1</f>
        <v>0.15352585587341872</v>
      </c>
      <c r="G38" s="115">
        <f>IS!G4/IS!F4-1</f>
        <v>0.25577385471117409</v>
      </c>
      <c r="H38" s="115">
        <f>IS!H4/IS!G4-1</f>
        <v>0.22336080754994136</v>
      </c>
      <c r="I38" s="115">
        <f>IS!I4/IS!H4-1</f>
        <v>0.15228540342280827</v>
      </c>
      <c r="J38" s="115">
        <f>IS!J4/IS!I4-1</f>
        <v>0.13345113943574205</v>
      </c>
      <c r="K38" s="115">
        <f>IS!K4/IS!J4-1</f>
        <v>0.11610241855380843</v>
      </c>
    </row>
    <row r="39" spans="1:11" ht="15.75">
      <c r="A39" s="113" t="s">
        <v>655</v>
      </c>
      <c r="C39" s="115">
        <f>IS!C15/IS!B15-1</f>
        <v>0.34777433051223938</v>
      </c>
      <c r="D39" s="115">
        <f>IS!D15/IS!C15-1</f>
        <v>0.33465979328839368</v>
      </c>
      <c r="E39" s="115">
        <f>IS!E15/IS!D15-1</f>
        <v>7.0503991809788724E-2</v>
      </c>
      <c r="F39" s="115">
        <f>IS!F15/IS!E15-1</f>
        <v>0.19628472032107136</v>
      </c>
      <c r="G39" s="115">
        <f>IS!G15/IS!F15-1</f>
        <v>0.32739053473371071</v>
      </c>
      <c r="H39" s="115">
        <f>IS!H15/IS!G15-1</f>
        <v>0.25301210308099176</v>
      </c>
      <c r="I39" s="115">
        <f>IS!I15/IS!H15-1</f>
        <v>0.25479859746136513</v>
      </c>
      <c r="J39" s="115">
        <f>IS!J15/IS!I15-1</f>
        <v>0.18884278686199374</v>
      </c>
      <c r="K39" s="115">
        <f>IS!K15/IS!J15-1</f>
        <v>0.12081107332550012</v>
      </c>
    </row>
    <row r="40" spans="1:11" ht="15.75">
      <c r="A40" s="113" t="s">
        <v>656</v>
      </c>
      <c r="C40" s="115">
        <f>IS!C18/IS!B18-1</f>
        <v>0.30513973669184669</v>
      </c>
      <c r="D40" s="115">
        <f>IS!D18/IS!C18-1</f>
        <v>0.33188486610690493</v>
      </c>
      <c r="E40" s="115">
        <f>IS!E18/IS!D18-1</f>
        <v>2.1800668837177239E-2</v>
      </c>
      <c r="F40" s="115">
        <f>IS!F18/IS!E18-1</f>
        <v>0.25040456033176794</v>
      </c>
      <c r="G40" s="115">
        <f>IS!G18/IS!F18-1</f>
        <v>0.35774458568664369</v>
      </c>
      <c r="H40" s="115">
        <f>IS!H18/IS!G18-1</f>
        <v>0.24452444969899223</v>
      </c>
      <c r="I40" s="115">
        <f>IS!I18/IS!H18-1</f>
        <v>0.29871809964772966</v>
      </c>
      <c r="J40" s="115">
        <f>IS!J18/IS!I18-1</f>
        <v>0.20388838197502079</v>
      </c>
      <c r="K40" s="115">
        <f>IS!K18/IS!J18-1</f>
        <v>0.12229446358356943</v>
      </c>
    </row>
    <row r="41" spans="1:11" ht="15.75">
      <c r="A41" s="113" t="s">
        <v>657</v>
      </c>
      <c r="C41" s="115">
        <f>BS!D63/BS!C63-1</f>
        <v>0.23221948382345303</v>
      </c>
      <c r="D41" s="115">
        <f>BS!E63/BS!D63-1</f>
        <v>0.48308467536075117</v>
      </c>
      <c r="E41" s="115">
        <f>BS!F63/BS!E63-1</f>
        <v>0.10364377582284945</v>
      </c>
      <c r="F41" s="115">
        <f>BS!G63/BS!F63-1</f>
        <v>0.3680252213296813</v>
      </c>
      <c r="G41" s="115">
        <f>BS!H63/BS!G63-1</f>
        <v>0.31021043466710174</v>
      </c>
      <c r="H41" s="115">
        <f>BS!I63/BS!H63-1</f>
        <v>0.16462540923280367</v>
      </c>
      <c r="I41" s="115">
        <f>BS!J63/BS!I63-1</f>
        <v>0.1479029158072096</v>
      </c>
      <c r="J41" s="115">
        <f>BS!K63/BS!J63-1</f>
        <v>0.11402575970004647</v>
      </c>
      <c r="K41" s="115">
        <f>BS!L63/BS!K63-1</f>
        <v>0.21975190506771014</v>
      </c>
    </row>
    <row r="42" spans="1:11" ht="15.75">
      <c r="A42" s="113" t="s">
        <v>658</v>
      </c>
      <c r="C42" s="115">
        <f>BS!D65/BS!C65-1</f>
        <v>0.14099810352227071</v>
      </c>
      <c r="D42" s="115">
        <f>BS!E65/BS!D65-1</f>
        <v>0.58635059457819994</v>
      </c>
      <c r="E42" s="115">
        <f>BS!F65/BS!E65-1</f>
        <v>3.4460799635214645E-2</v>
      </c>
      <c r="F42" s="115">
        <f>BS!G65/BS!F65-1</f>
        <v>0.4476383516576119</v>
      </c>
      <c r="G42" s="115">
        <f>BS!H65/BS!G65-1</f>
        <v>0.14313686488972599</v>
      </c>
      <c r="H42" s="115">
        <f>BS!I65/BS!H65-1</f>
        <v>0.13893998354075521</v>
      </c>
      <c r="I42" s="115">
        <f>BS!J65/BS!I65-1</f>
        <v>8.8723188291191191E-2</v>
      </c>
      <c r="J42" s="115">
        <f>BS!K65/BS!J65-1</f>
        <v>1.8093034062286684E-2</v>
      </c>
      <c r="K42" s="115">
        <f>BS!L65/BS!K65-1</f>
        <v>0.2266926398824034</v>
      </c>
    </row>
    <row r="43" spans="1:11" ht="15.75">
      <c r="A43" s="113" t="s">
        <v>659</v>
      </c>
      <c r="C43" s="115">
        <f>BS!D64/BS!C64-1</f>
        <v>0.13159403304101525</v>
      </c>
      <c r="D43" s="115">
        <f>BS!E64/BS!D64-1</f>
        <v>0.5446855596961846</v>
      </c>
      <c r="E43" s="115">
        <f>BS!F64/BS!E64-1</f>
        <v>3.3306383898198844E-2</v>
      </c>
      <c r="F43" s="115">
        <f>BS!G64/BS!F64-1</f>
        <v>0.39424837976310201</v>
      </c>
      <c r="G43" s="115">
        <f>BS!H64/BS!G64-1</f>
        <v>0.14313686488972599</v>
      </c>
      <c r="H43" s="115">
        <f>BS!I64/BS!H64-1</f>
        <v>0.13893998354075521</v>
      </c>
      <c r="I43" s="115">
        <f>BS!J64/BS!I64-1</f>
        <v>8.8723188291191191E-2</v>
      </c>
      <c r="J43" s="115">
        <f>BS!K64/BS!J64-1</f>
        <v>1.8093034062286684E-2</v>
      </c>
      <c r="K43" s="115">
        <f>BS!L64/BS!K64-1</f>
        <v>0.2266926398824034</v>
      </c>
    </row>
    <row r="44" spans="1:11" ht="15.75">
      <c r="A44" s="113" t="s">
        <v>660</v>
      </c>
      <c r="C44" s="115">
        <f>BS!D92/BS!C92-1</f>
        <v>0.52025089609070974</v>
      </c>
      <c r="D44" s="115">
        <f>BS!E92/BS!D92-1</f>
        <v>0.35183618837610475</v>
      </c>
      <c r="E44" s="115">
        <f>BS!F92/BS!E92-1</f>
        <v>0.27488551534199268</v>
      </c>
      <c r="F44" s="115">
        <f>BS!G92/BS!F92-1</f>
        <v>0.31628047475799437</v>
      </c>
      <c r="G44" s="115">
        <f>BS!H92/BS!G92-1</f>
        <v>0.65941571802714272</v>
      </c>
      <c r="H44" s="115">
        <f>BS!I92/BS!H92-1</f>
        <v>0.201608469325119</v>
      </c>
      <c r="I44" s="115">
        <f>BS!J92/BS!I92-1</f>
        <v>0.2286686040711372</v>
      </c>
      <c r="J44" s="115">
        <f>BS!K92/BS!J92-1</f>
        <v>0.23003789857048607</v>
      </c>
      <c r="K44" s="115">
        <f>BS!L92/BS!K92-1</f>
        <v>0.2128046844053697</v>
      </c>
    </row>
    <row r="45" spans="1:11" ht="16.5" thickBot="1">
      <c r="A45" s="113"/>
      <c r="C45" s="115"/>
      <c r="D45" s="115"/>
      <c r="E45" s="115"/>
      <c r="F45" s="115"/>
      <c r="G45" s="115"/>
      <c r="H45" s="115"/>
      <c r="I45" s="115"/>
      <c r="J45" s="115"/>
      <c r="K45" s="115"/>
    </row>
    <row r="46" spans="1:11" ht="16.5" thickBot="1">
      <c r="A46" s="123" t="s">
        <v>661</v>
      </c>
      <c r="B46" s="122"/>
      <c r="C46" s="122"/>
      <c r="D46" s="122"/>
      <c r="E46" s="122"/>
      <c r="F46" s="122"/>
      <c r="G46" s="122"/>
      <c r="H46" s="122"/>
      <c r="I46" s="122"/>
      <c r="J46" s="122"/>
      <c r="K46" s="122"/>
    </row>
    <row r="47" spans="1:11" ht="15.75">
      <c r="A47" s="113" t="s">
        <v>662</v>
      </c>
      <c r="B47" s="115">
        <f>BS!C65/BS!C64</f>
        <v>0.92905575942751295</v>
      </c>
      <c r="C47" s="115">
        <f>BS!D65/BS!D64</f>
        <v>0.93677664305500374</v>
      </c>
      <c r="D47" s="115">
        <f>BS!E65/BS!E64</f>
        <v>0.96204445970839481</v>
      </c>
      <c r="E47" s="115">
        <f>BS!F65/BS!F64</f>
        <v>0.96311926122061076</v>
      </c>
      <c r="F47" s="115">
        <f>BS!G65/BS!G64</f>
        <v>1</v>
      </c>
      <c r="G47" s="115">
        <f>BS!H65/BS!H64</f>
        <v>1</v>
      </c>
      <c r="H47" s="115">
        <f>BS!I65/BS!I64</f>
        <v>1</v>
      </c>
      <c r="I47" s="115">
        <f>BS!J65/BS!J64</f>
        <v>1</v>
      </c>
      <c r="J47" s="115">
        <f>BS!K65/BS!K64</f>
        <v>1</v>
      </c>
      <c r="K47" s="115">
        <f>BS!L65/BS!L64</f>
        <v>1</v>
      </c>
    </row>
    <row r="48" spans="1:11" ht="15.75">
      <c r="A48" s="113" t="s">
        <v>664</v>
      </c>
      <c r="B48" s="115">
        <f>(BS!C86+BS!C75)/BS!C64</f>
        <v>0.40224313618863861</v>
      </c>
      <c r="C48" s="115">
        <f>(BS!D86+BS!D75)/BS!D64</f>
        <v>0.36806724829047482</v>
      </c>
      <c r="D48" s="115">
        <f>(BS!E86+BS!E75)/BS!E64</f>
        <v>0.47872112406258105</v>
      </c>
      <c r="E48" s="115">
        <f>(BS!F86+BS!F75)/BS!F64</f>
        <v>0.54835682861523716</v>
      </c>
      <c r="F48" s="115">
        <f>(BS!G86+BS!G75)/BS!G64</f>
        <v>0.57867213877548807</v>
      </c>
      <c r="G48" s="115">
        <f>(BS!H86+BS!H75)/BS!H64</f>
        <v>0.54264909790484239</v>
      </c>
      <c r="H48" s="115">
        <f>(BS!I86+BS!I75)/BS!I64</f>
        <v>0.50277059089544018</v>
      </c>
      <c r="I48" s="115">
        <f>(BS!J86+BS!J75)/BS!J64</f>
        <v>0.51674903254324345</v>
      </c>
      <c r="J48" s="115">
        <f>(BS!K86+BS!K75)/BS!K64</f>
        <v>0.42890341443044272</v>
      </c>
      <c r="K48" s="115">
        <f>(BS!L86+BS!L75)/BS!L64</f>
        <v>0.5174904357012049</v>
      </c>
    </row>
    <row r="49" spans="1:11" ht="15.75">
      <c r="A49" s="113" t="s">
        <v>663</v>
      </c>
      <c r="B49" s="115">
        <f>BS!C64/BS!C63</f>
        <v>0.74109436793974293</v>
      </c>
      <c r="C49" s="115">
        <f>BS!D64/BS!D63</f>
        <v>0.68057515376949618</v>
      </c>
      <c r="D49" s="115">
        <f>BS!E64/BS!E63</f>
        <v>0.7088432843930742</v>
      </c>
      <c r="E49" s="115">
        <f>BS!F64/BS!F63</f>
        <v>0.66366730551316855</v>
      </c>
      <c r="F49" s="115">
        <f>BS!G64/BS!G63</f>
        <v>0.67638889326477281</v>
      </c>
      <c r="G49" s="115">
        <f>BS!H64/BS!H63</f>
        <v>0.59013808655048583</v>
      </c>
      <c r="H49" s="115">
        <f>BS!I64/BS!I63</f>
        <v>0.57712278751100721</v>
      </c>
      <c r="I49" s="115">
        <f>BS!J64/BS!J63</f>
        <v>0.54736942698036573</v>
      </c>
      <c r="J49" s="115">
        <f>BS!K64/BS!K63</f>
        <v>0.50023349623210023</v>
      </c>
      <c r="K49" s="115">
        <f>BS!L64/BS!L63</f>
        <v>0.503079966918761</v>
      </c>
    </row>
    <row r="50" spans="1:11" ht="15.75">
      <c r="A50" s="113" t="s">
        <v>665</v>
      </c>
      <c r="B50" s="114">
        <f>BS!C92/BS!C63</f>
        <v>0.25890563206025702</v>
      </c>
      <c r="C50" s="114">
        <f>BS!D92/BS!D63</f>
        <v>0.31942484623050382</v>
      </c>
      <c r="D50" s="114">
        <f>BS!E92/BS!E63</f>
        <v>0.29115671800454179</v>
      </c>
      <c r="E50" s="114">
        <f>BS!F92/BS!F63</f>
        <v>0.33633269231437679</v>
      </c>
      <c r="F50" s="114">
        <f>BS!G92/BS!G63</f>
        <v>0.32361110673522725</v>
      </c>
      <c r="G50" s="114">
        <f>BS!H92/BS!H63</f>
        <v>0.40986191441914271</v>
      </c>
      <c r="H50" s="114">
        <f>BS!I92/BS!I63</f>
        <v>0.42287721332155964</v>
      </c>
      <c r="I50" s="114">
        <f>BS!J92/BS!J63</f>
        <v>0.4526305737449281</v>
      </c>
      <c r="J50" s="114">
        <f>BS!K92/BS!K63</f>
        <v>0.49976650441895654</v>
      </c>
      <c r="K50" s="114">
        <f>BS!L92/BS!L63</f>
        <v>0.49692003361500042</v>
      </c>
    </row>
    <row r="51" spans="1:11" ht="15.75">
      <c r="A51" s="113" t="s">
        <v>666</v>
      </c>
      <c r="B51" s="114">
        <f>BS!C65/BS!C92</f>
        <v>2.6593395645154088</v>
      </c>
      <c r="C51" s="114">
        <f>BS!D65/BS!D92</f>
        <v>1.9959214676580419</v>
      </c>
      <c r="D51" s="114">
        <f>BS!E65/BS!E92</f>
        <v>2.3421707705237336</v>
      </c>
      <c r="E51" s="114">
        <f>BS!F65/BS!F92</f>
        <v>1.900471704322612</v>
      </c>
      <c r="F51" s="114">
        <f>BS!G65/BS!G92</f>
        <v>2.0901287971496663</v>
      </c>
      <c r="G51" s="114">
        <f>BS!H65/BS!H92</f>
        <v>1.4398461183855811</v>
      </c>
      <c r="H51" s="114">
        <f>BS!I65/BS!I92</f>
        <v>1.3647526263661738</v>
      </c>
      <c r="I51" s="114">
        <f>BS!J65/BS!J92</f>
        <v>1.2093072336046529</v>
      </c>
      <c r="J51" s="114">
        <f>BS!K65/BS!K92</f>
        <v>1.0009344199921655</v>
      </c>
      <c r="K51" s="114">
        <f>BS!L65/BS!L92</f>
        <v>1.0123962265295448</v>
      </c>
    </row>
    <row r="52" spans="1:11" ht="15.75">
      <c r="A52" s="113" t="s">
        <v>667</v>
      </c>
      <c r="B52" s="114">
        <f>(BS!C86+BS!C75)/BS!C92</f>
        <v>1.1513852379327154</v>
      </c>
      <c r="C52" s="114">
        <f>(BS!D86+BS!D75)/BS!D92</f>
        <v>0.7842139616216357</v>
      </c>
      <c r="D52" s="114">
        <f>(BS!E86+BS!E75)/BS!E92</f>
        <v>1.1654831673283628</v>
      </c>
      <c r="E52" s="114">
        <f>(BS!F86+BS!F75)/BS!F92</f>
        <v>1.0820431888513875</v>
      </c>
      <c r="F52" s="114">
        <f>(BS!G86+BS!G75)/BS!G92</f>
        <v>1.2094993013628357</v>
      </c>
      <c r="G52" s="114">
        <f>(BS!H86+BS!H75)/BS!H92</f>
        <v>0.78133119726372458</v>
      </c>
      <c r="H52" s="114">
        <f>(BS!I86+BS!I75)/BS!I92</f>
        <v>0.68615748438422508</v>
      </c>
      <c r="I52" s="114">
        <f>(BS!J86+BS!J75)/BS!J92</f>
        <v>0.62490834301275044</v>
      </c>
      <c r="J52" s="114">
        <f>(BS!K86+BS!K75)/BS!K92</f>
        <v>0.42930419035559453</v>
      </c>
      <c r="K52" s="114">
        <f>(BS!L86+BS!L75)/BS!L92</f>
        <v>0.5239053643690299</v>
      </c>
    </row>
    <row r="53" spans="1:11" ht="15.75">
      <c r="A53" s="113" t="s">
        <v>666</v>
      </c>
      <c r="B53" s="114">
        <f>BS!C64/BS!C92</f>
        <v>2.8624111497399278</v>
      </c>
      <c r="C53" s="114">
        <f>BS!D64/BS!D92</f>
        <v>2.130626849479262</v>
      </c>
      <c r="D53" s="114">
        <f>BS!E64/BS!E92</f>
        <v>2.4345764344754595</v>
      </c>
      <c r="E53" s="114">
        <f>BS!F64/BS!F92</f>
        <v>1.9732464927698008</v>
      </c>
      <c r="F53" s="114">
        <f>BS!G64/BS!G92</f>
        <v>2.0901287971496663</v>
      </c>
      <c r="G53" s="114">
        <f>BS!H64/BS!H92</f>
        <v>1.4398461183855811</v>
      </c>
      <c r="H53" s="114">
        <f>BS!I64/BS!I92</f>
        <v>1.3647526263661738</v>
      </c>
      <c r="I53" s="114">
        <f>BS!J64/BS!J92</f>
        <v>1.2093072336046529</v>
      </c>
      <c r="J53" s="114">
        <f>BS!K64/BS!K92</f>
        <v>1.0009344199921655</v>
      </c>
      <c r="K53" s="114">
        <f>BS!L64/BS!L92</f>
        <v>1.0123962265295448</v>
      </c>
    </row>
    <row r="54" spans="1:11" ht="16.5" thickBot="1">
      <c r="A54" s="113"/>
    </row>
    <row r="55" spans="1:11" ht="16.5" thickBot="1">
      <c r="A55" s="123" t="s">
        <v>668</v>
      </c>
      <c r="B55" s="122"/>
      <c r="C55" s="122"/>
      <c r="D55" s="122"/>
      <c r="E55" s="122"/>
      <c r="F55" s="122"/>
      <c r="G55" s="122"/>
      <c r="H55" s="122"/>
      <c r="I55" s="122"/>
      <c r="J55" s="122"/>
      <c r="K55" s="122"/>
    </row>
    <row r="56" spans="1:11" ht="15.75">
      <c r="A56" s="113" t="s">
        <v>669</v>
      </c>
      <c r="B56" s="115">
        <f>CF!B10/IS!B2</f>
        <v>4.0151821852980385E-2</v>
      </c>
      <c r="C56" s="115">
        <f>CF!C10/IS!C2</f>
        <v>2.6135362235321077E-2</v>
      </c>
      <c r="D56" s="115">
        <f>CF!D10/IS!D2</f>
        <v>-1.2587133015635526E-2</v>
      </c>
      <c r="E56" s="115">
        <f>CF!E10/IS!E2</f>
        <v>9.9427222019086145E-2</v>
      </c>
      <c r="F56" s="115">
        <f>CF!F10/IS!F2</f>
        <v>1.3938926471477263E-3</v>
      </c>
      <c r="G56" s="115">
        <f>CF!G10/IS!G2</f>
        <v>5.8379310889236945E-2</v>
      </c>
      <c r="H56" s="115">
        <f>CF!H10/IS!H2</f>
        <v>4.3071872493247586E-2</v>
      </c>
      <c r="I56" s="115">
        <f>CF!I10/IS!I2</f>
        <v>6.1973211773695309E-2</v>
      </c>
      <c r="J56" s="115">
        <f>CF!J10/IS!J2</f>
        <v>6.7907869522699241E-2</v>
      </c>
      <c r="K56" s="115">
        <f>CF!K10/IS!K2</f>
        <v>7.0018752893568806E-2</v>
      </c>
    </row>
    <row r="57" spans="1:11" ht="15.75">
      <c r="A57" s="113" t="s">
        <v>670</v>
      </c>
      <c r="B57" s="115">
        <f>CF!B10/BS!C65</f>
        <v>0.16951096961184137</v>
      </c>
      <c r="C57" s="115">
        <f>CF!C10/BS!D65</f>
        <v>0.12611299531892614</v>
      </c>
      <c r="D57" s="115">
        <f>CF!D10/BS!E65</f>
        <v>-4.521708103847772E-2</v>
      </c>
      <c r="E57" s="115">
        <f>CF!E10/BS!F65</f>
        <v>0.36680854056472278</v>
      </c>
      <c r="F57" s="115">
        <f>CF!F10/BS!G65</f>
        <v>4.0238950298281239E-3</v>
      </c>
      <c r="G57" s="115">
        <f>CF!G10/BS!H65</f>
        <v>0.1834079768817114</v>
      </c>
      <c r="H57" s="115">
        <f>CF!H10/BS!I65</f>
        <v>0.14633462789987153</v>
      </c>
      <c r="I57" s="115">
        <f>CF!I10/BS!J65</f>
        <v>0.22048321134109458</v>
      </c>
      <c r="J57" s="115">
        <f>CF!J10/BS!K65</f>
        <v>0.26601339920598738</v>
      </c>
      <c r="K57" s="115">
        <f>CF!K10/BS!L65</f>
        <v>0.24847918188950199</v>
      </c>
    </row>
    <row r="58" spans="1:11" ht="15.75">
      <c r="A58" s="113" t="s">
        <v>671</v>
      </c>
      <c r="B58" s="115">
        <f>CF!B29/BS!C65</f>
        <v>0.1536218617415431</v>
      </c>
      <c r="C58" s="115">
        <f>CF!C29/BS!D65</f>
        <v>1.8877328691877762E-2</v>
      </c>
      <c r="D58" s="115">
        <f>CF!D29/BS!E65</f>
        <v>-2.2302665832657307E-2</v>
      </c>
      <c r="E58" s="115">
        <f>CF!E29/BS!F65</f>
        <v>0.14385527308486162</v>
      </c>
      <c r="F58" s="115">
        <f>CF!F29/BS!G65</f>
        <v>-7.5270029045133885E-2</v>
      </c>
      <c r="G58" s="115">
        <f>CF!G29/BS!H65</f>
        <v>0.22694047296326822</v>
      </c>
      <c r="H58" s="115">
        <f>CF!H29/BS!I65</f>
        <v>3.2736970157477576E-3</v>
      </c>
      <c r="I58" s="115">
        <f>CF!I29/BS!J65</f>
        <v>0.10146359959504034</v>
      </c>
      <c r="J58" s="115">
        <f>CF!J29/BS!K65</f>
        <v>2.6849701636638787E-4</v>
      </c>
      <c r="K58" s="115">
        <f>CF!K29/BS!L65</f>
        <v>0.24900773676126262</v>
      </c>
    </row>
    <row r="59" spans="1:11" ht="15.75">
      <c r="A59" s="113" t="s">
        <v>672</v>
      </c>
      <c r="B59" s="115">
        <f>CF!B10/BS!C114</f>
        <v>0.11671135221802896</v>
      </c>
      <c r="C59" s="115">
        <f>CF!C10/BS!D114</f>
        <v>8.0402950210936741E-2</v>
      </c>
      <c r="D59" s="115">
        <f>CF!D10/BS!E114</f>
        <v>-3.0835279927849981E-2</v>
      </c>
      <c r="E59" s="115">
        <f>CF!E10/BS!F114</f>
        <v>0.23446063164553879</v>
      </c>
      <c r="F59" s="115">
        <f>CF!F10/BS!G114</f>
        <v>2.7217179058390641E-3</v>
      </c>
      <c r="G59" s="115">
        <f>CF!G10/BS!H114</f>
        <v>0.10823603243012014</v>
      </c>
      <c r="H59" s="115">
        <f>CF!H10/BS!I114</f>
        <v>8.4453048292647048E-2</v>
      </c>
      <c r="I59" s="115">
        <f>CF!I10/BS!J114</f>
        <v>0.12068576896303318</v>
      </c>
      <c r="J59" s="115">
        <f>CF!J10/BS!K114</f>
        <v>0.13306881264276113</v>
      </c>
      <c r="K59" s="115">
        <f>CF!K10/BS!L114</f>
        <v>0.12500489853824864</v>
      </c>
    </row>
    <row r="60" spans="1:11" ht="15.75">
      <c r="A60" s="113" t="s">
        <v>673</v>
      </c>
      <c r="B60" s="115">
        <f>CF!B10/IS!B11</f>
        <v>0.95285907733147779</v>
      </c>
      <c r="C60" s="115">
        <f>CF!C10/IS!C11</f>
        <v>0.59910578248682422</v>
      </c>
      <c r="D60" s="115">
        <f>CF!D10/IS!D11</f>
        <v>-0.25544422515227072</v>
      </c>
      <c r="E60" s="115">
        <f>CF!E10/IS!E11</f>
        <v>1.9939712850362266</v>
      </c>
      <c r="F60" s="115">
        <f>CF!F10/IS!F11</f>
        <v>2.6508014274731113E-2</v>
      </c>
      <c r="G60" s="115">
        <f>CF!G10/IS!G11</f>
        <v>1.0397655417173275</v>
      </c>
      <c r="H60" s="115">
        <f>CF!H10/IS!H11</f>
        <v>0.75430976503819491</v>
      </c>
      <c r="I60" s="115">
        <f>CF!I10/IS!I11</f>
        <v>0.98590825841310481</v>
      </c>
      <c r="J60" s="115">
        <f>CF!J10/IS!J11</f>
        <v>1.0187077998839127</v>
      </c>
      <c r="K60" s="115">
        <f>CF!K10/IS!K11</f>
        <v>1.0414131581906931</v>
      </c>
    </row>
    <row r="61" spans="1:11" ht="15.75">
      <c r="A61" s="113" t="s">
        <v>674</v>
      </c>
      <c r="B61" s="115">
        <f>CF!B10/BS!C64</f>
        <v>0.15748514260402333</v>
      </c>
      <c r="C61" s="115">
        <f>CF!C10/BS!D64</f>
        <v>0.11813970840047504</v>
      </c>
      <c r="D61" s="115">
        <f>CF!D10/BS!E64</f>
        <v>-4.3500842297252998E-2</v>
      </c>
      <c r="E61" s="115">
        <f>CF!E10/BS!F64</f>
        <v>0.35328037059810624</v>
      </c>
      <c r="F61" s="115">
        <f>CF!F10/BS!G64</f>
        <v>4.0238950298281239E-3</v>
      </c>
      <c r="G61" s="115">
        <f>CF!G10/BS!H64</f>
        <v>0.1834079768817114</v>
      </c>
      <c r="H61" s="115">
        <f>CF!H10/BS!I64</f>
        <v>0.14633462789987153</v>
      </c>
      <c r="I61" s="115">
        <f>CF!I10/BS!J64</f>
        <v>0.22048321134109458</v>
      </c>
      <c r="J61" s="115">
        <f>CF!J10/BS!K64</f>
        <v>0.26601339920598738</v>
      </c>
      <c r="K61" s="115">
        <f>CF!K10/BS!L64</f>
        <v>0.24847918188950199</v>
      </c>
    </row>
    <row r="62" spans="1:11" ht="15.75">
      <c r="A62" s="113"/>
    </row>
    <row r="63" spans="1:11" ht="15.75">
      <c r="A63" s="117"/>
    </row>
    <row r="64" spans="1:11" ht="15.75">
      <c r="A64" s="117"/>
    </row>
    <row r="65" spans="1:1" ht="15.75">
      <c r="A65" s="117"/>
    </row>
    <row r="66" spans="1:1" ht="15.75">
      <c r="A66" s="117"/>
    </row>
    <row r="67" spans="1:1" ht="15.75">
      <c r="A67" s="117"/>
    </row>
    <row r="68" spans="1:1" ht="15.75">
      <c r="A68" s="117"/>
    </row>
    <row r="69" spans="1:1" ht="15.75">
      <c r="A69" s="117"/>
    </row>
    <row r="70" spans="1:1" ht="15.75">
      <c r="A70" s="117"/>
    </row>
    <row r="71" spans="1:1" ht="15.75">
      <c r="A71" s="117"/>
    </row>
    <row r="72" spans="1:1" ht="15.75">
      <c r="A72" s="117"/>
    </row>
    <row r="73" spans="1:1" ht="15.75">
      <c r="A73" s="118"/>
    </row>
    <row r="74" spans="1:1" ht="15.75">
      <c r="A74" s="118"/>
    </row>
    <row r="75" spans="1:1" ht="15.75">
      <c r="A75" s="118"/>
    </row>
    <row r="76" spans="1:1" ht="15.75">
      <c r="A76" s="118"/>
    </row>
    <row r="77" spans="1:1" ht="15.75">
      <c r="A77" s="118"/>
    </row>
    <row r="78" spans="1:1" ht="15.75">
      <c r="A78" s="118"/>
    </row>
    <row r="79" spans="1:1" ht="15.75">
      <c r="A79" s="118"/>
    </row>
    <row r="80" spans="1:1" ht="15.75">
      <c r="A80" s="11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outlinePr summaryBelow="0" summaryRight="0"/>
  </sheetPr>
  <dimension ref="A1:I46"/>
  <sheetViews>
    <sheetView topLeftCell="A15" workbookViewId="0">
      <selection activeCell="B21" sqref="B21"/>
    </sheetView>
  </sheetViews>
  <sheetFormatPr defaultColWidth="11.25" defaultRowHeight="15" customHeight="1"/>
  <cols>
    <col min="1" max="1" width="2.875" style="18" customWidth="1"/>
    <col min="2" max="2" width="38.25" style="18" customWidth="1"/>
    <col min="3" max="3" width="13.375" style="18" customWidth="1"/>
    <col min="4" max="4" width="12" style="18" customWidth="1"/>
    <col min="5" max="5" width="13.75" style="18" customWidth="1"/>
    <col min="6" max="6" width="12.5" style="18" customWidth="1"/>
    <col min="7" max="7" width="12.75" style="18" customWidth="1"/>
    <col min="8" max="16384" width="11.25" style="18"/>
  </cols>
  <sheetData>
    <row r="1" spans="1:9" ht="15" customHeight="1">
      <c r="A1" s="742" t="s">
        <v>675</v>
      </c>
      <c r="B1" s="742"/>
      <c r="C1" s="742"/>
      <c r="D1" s="742"/>
      <c r="E1" s="742"/>
      <c r="F1" s="742"/>
      <c r="G1" s="742"/>
      <c r="H1" s="742"/>
    </row>
    <row r="2" spans="1:9" ht="15" customHeight="1">
      <c r="A2" s="742"/>
      <c r="B2" s="742"/>
      <c r="C2" s="742"/>
      <c r="D2" s="742"/>
      <c r="E2" s="742"/>
      <c r="F2" s="742"/>
      <c r="G2" s="742"/>
      <c r="H2" s="742"/>
    </row>
    <row r="4" spans="1:9">
      <c r="A4" s="125"/>
      <c r="B4" s="126" t="s">
        <v>676</v>
      </c>
      <c r="C4" s="127"/>
      <c r="D4" s="127"/>
      <c r="E4" s="127"/>
      <c r="F4" s="127"/>
      <c r="G4" s="127"/>
    </row>
    <row r="5" spans="1:9">
      <c r="A5" s="128"/>
      <c r="B5" s="129" t="s">
        <v>677</v>
      </c>
      <c r="C5" s="129"/>
      <c r="D5" s="129"/>
      <c r="E5" s="129"/>
      <c r="F5" s="129"/>
      <c r="G5" s="129"/>
    </row>
    <row r="6" spans="1:9" ht="28.5">
      <c r="A6" s="128"/>
      <c r="B6" s="706" t="s">
        <v>678</v>
      </c>
      <c r="C6" s="130"/>
      <c r="D6" s="130"/>
      <c r="E6" s="130"/>
      <c r="F6" s="130"/>
      <c r="G6" s="130"/>
      <c r="H6" s="131"/>
      <c r="I6" s="131"/>
    </row>
    <row r="7" spans="1:9" ht="15.75" thickBot="1">
      <c r="A7" s="128"/>
      <c r="B7" s="129"/>
      <c r="C7" s="129"/>
      <c r="D7" s="129"/>
      <c r="E7" s="129"/>
      <c r="F7" s="132"/>
      <c r="G7" s="132"/>
    </row>
    <row r="8" spans="1:9">
      <c r="A8" s="128"/>
      <c r="B8" s="133" t="s">
        <v>26</v>
      </c>
      <c r="C8" s="134">
        <v>2017</v>
      </c>
      <c r="D8" s="134">
        <v>2018</v>
      </c>
      <c r="E8" s="134">
        <v>2019</v>
      </c>
      <c r="F8" s="134">
        <v>2020</v>
      </c>
      <c r="G8" s="135">
        <v>2021</v>
      </c>
    </row>
    <row r="9" spans="1:9">
      <c r="A9" s="128"/>
      <c r="B9" s="136" t="s">
        <v>27</v>
      </c>
      <c r="C9" s="137"/>
      <c r="D9" s="137">
        <f>(D28/D26)/(C28/C26)</f>
        <v>0.42764319889001245</v>
      </c>
      <c r="E9" s="137">
        <f>(E28/E26)/(D28/D26)</f>
        <v>0.99636856262362716</v>
      </c>
      <c r="F9" s="137">
        <f>(F28/F26)/(E28/E26)</f>
        <v>0.82729318048640277</v>
      </c>
      <c r="G9" s="138">
        <f>(G28/G26)/(F28/F26)</f>
        <v>1.7498722089401664</v>
      </c>
    </row>
    <row r="10" spans="1:9">
      <c r="A10" s="128"/>
      <c r="B10" s="136" t="s">
        <v>28</v>
      </c>
      <c r="C10" s="137"/>
      <c r="D10" s="137">
        <f>((C26-C27)/C26)/((D26-D27)/D26)</f>
        <v>0.95018970346642806</v>
      </c>
      <c r="E10" s="137">
        <f>((D26-D27)/D26)/((E26-E27)/E26)</f>
        <v>0.92672030958730689</v>
      </c>
      <c r="F10" s="137">
        <f>((E26-E27)/E26)/((F26-F27)/F26)</f>
        <v>0.86426754918881599</v>
      </c>
      <c r="G10" s="138">
        <f>((F26-F27)/F26)/((G26-G27)/G26)</f>
        <v>0.98201004186921692</v>
      </c>
    </row>
    <row r="11" spans="1:9">
      <c r="A11" s="128"/>
      <c r="B11" s="136" t="s">
        <v>29</v>
      </c>
      <c r="C11" s="137"/>
      <c r="D11" s="137">
        <f>(1-((D29+D30)/D32))/(1-((C29+C30)/C32))</f>
        <v>2.2390839455617084</v>
      </c>
      <c r="E11" s="137">
        <f>(1-((E29+E30)/E32))/(1-((D29+D30)/D32))</f>
        <v>0.61611001169215251</v>
      </c>
      <c r="F11" s="137">
        <f>(1-((F29+F30)/F32))/(1-((E29+E30)/E32))</f>
        <v>0.99211305998950017</v>
      </c>
      <c r="G11" s="138">
        <f>(1-((G29+G30)/G32))/(1-((F29+F30)/F32))</f>
        <v>0.73242886256306783</v>
      </c>
    </row>
    <row r="12" spans="1:9">
      <c r="A12" s="128"/>
      <c r="B12" s="136" t="s">
        <v>30</v>
      </c>
      <c r="C12" s="139"/>
      <c r="D12" s="139">
        <f>D26/C26</f>
        <v>1.3041384134805751</v>
      </c>
      <c r="E12" s="139">
        <f>E26/D26</f>
        <v>1.1809827668633075</v>
      </c>
      <c r="F12" s="139">
        <f>F26/E26</f>
        <v>1.062361858043207</v>
      </c>
      <c r="G12" s="140">
        <f>G26/F26</f>
        <v>1.1327739740234803</v>
      </c>
    </row>
    <row r="13" spans="1:9">
      <c r="A13" s="128"/>
      <c r="B13" s="136" t="s">
        <v>31</v>
      </c>
      <c r="C13" s="141"/>
      <c r="D13" s="141">
        <f>(C31/(C30+C31))/(D31/(D30+D31))</f>
        <v>0.64083149815160534</v>
      </c>
      <c r="E13" s="141">
        <f>(D31/(D30+D31))/(E31/(E30+E31))</f>
        <v>1.2719345222872371</v>
      </c>
      <c r="F13" s="141">
        <f>(E31/(E30+E31))/(F31/(F30+F31))</f>
        <v>0.90086497628460915</v>
      </c>
      <c r="G13" s="142">
        <f>(F31/(F30+F31))/(G31/(G30+G31))</f>
        <v>0.9863976533736728</v>
      </c>
    </row>
    <row r="14" spans="1:9">
      <c r="A14" s="128"/>
      <c r="B14" s="136" t="s">
        <v>32</v>
      </c>
      <c r="C14" s="137"/>
      <c r="D14" s="137">
        <f>(D33/D26)/(C33/C26)</f>
        <v>1.0039317245437787</v>
      </c>
      <c r="E14" s="137">
        <f>(E33/E26)/(D33/D26)</f>
        <v>0.99680222854188005</v>
      </c>
      <c r="F14" s="137">
        <f>(F33/F26)/(E33/E26)</f>
        <v>1.5452860342485162</v>
      </c>
      <c r="G14" s="138">
        <f>(G33/G26)/(F33/F26)</f>
        <v>0.99142692775321917</v>
      </c>
    </row>
    <row r="15" spans="1:9">
      <c r="A15" s="128"/>
      <c r="B15" s="136" t="s">
        <v>33</v>
      </c>
      <c r="C15" s="137"/>
      <c r="D15" s="137">
        <f>((D36+D37)/D32)/((C36+C37)/C32)</f>
        <v>0.91833804601903624</v>
      </c>
      <c r="E15" s="137">
        <f>((E36+E37)/E32)/((D36+D37)/D32)</f>
        <v>1.0415356488802296</v>
      </c>
      <c r="F15" s="137">
        <f>((F36+F37)/F32)/((E36+E37)/E32)</f>
        <v>0.93626803007862835</v>
      </c>
      <c r="G15" s="138">
        <f>((G36+G37)/G32)/((F36+F37)/F32)</f>
        <v>1.0191686220579566</v>
      </c>
    </row>
    <row r="16" spans="1:9" ht="15.75" thickBot="1">
      <c r="A16" s="128"/>
      <c r="B16" s="136" t="s">
        <v>34</v>
      </c>
      <c r="C16" s="137"/>
      <c r="D16" s="137">
        <f>(D34-D35)/D32</f>
        <v>2.2017029299087106E-2</v>
      </c>
      <c r="E16" s="137">
        <f>(E34-E35)/E32</f>
        <v>0.12281358903093527</v>
      </c>
      <c r="F16" s="137">
        <f>(F34-F35)/F32</f>
        <v>-0.14930317430385862</v>
      </c>
      <c r="G16" s="138">
        <f>(G34-G35)/G32</f>
        <v>7.511403493415475E-2</v>
      </c>
    </row>
    <row r="17" spans="1:7" ht="15.75" thickBot="1">
      <c r="A17" s="128"/>
      <c r="B17" s="143" t="s">
        <v>35</v>
      </c>
      <c r="C17" s="144"/>
      <c r="D17" s="145"/>
      <c r="E17" s="145">
        <f>-4.48 + 0.029*E9/D9 + 0.528*D10/E10 + 0.404*E11/D11 + 0.892*E12/D12 + 0.115*D13/E13 - 0.172*E14/D14 + 4.679*E16 - 0.327*E15/D15</f>
        <v>-2.8611931793707477</v>
      </c>
      <c r="F17" s="145">
        <f>-4.48 + 0.029*F9/E9 + 0.528*E10/F10 + 0.404*F11/E11 + 0.892*F12/E12 + 0.115*E13/F13 - 0.172*F14/E14 + 4.679*F16 - 0.327*F15/E15</f>
        <v>-3.5336193978672079</v>
      </c>
      <c r="G17" s="146">
        <f>-4.48 + 0.029*G9/F9 + 0.528*F10/G10 + 0.404*G11/F11 + 0.892*G12/F12 + 0.115*F13/G13 - 0.172*G14/F14 + 4.679*G16 - 0.327*G15/F15</f>
        <v>-2.7144115919179486</v>
      </c>
    </row>
    <row r="18" spans="1:7">
      <c r="A18" s="128"/>
      <c r="B18" s="132"/>
      <c r="C18" s="147"/>
      <c r="D18" s="129"/>
      <c r="E18" s="129"/>
      <c r="F18" s="129"/>
      <c r="G18" s="129"/>
    </row>
    <row r="19" spans="1:7">
      <c r="A19" s="128"/>
      <c r="B19" s="736" t="s">
        <v>36</v>
      </c>
      <c r="C19" s="737"/>
      <c r="D19" s="737"/>
      <c r="E19" s="737"/>
      <c r="F19" s="738"/>
      <c r="G19" s="148"/>
    </row>
    <row r="20" spans="1:7">
      <c r="A20" s="128"/>
      <c r="B20" s="739" t="s">
        <v>681</v>
      </c>
      <c r="C20" s="740"/>
      <c r="D20" s="740"/>
      <c r="E20" s="740"/>
      <c r="F20" s="741"/>
      <c r="G20" s="149"/>
    </row>
    <row r="21" spans="1:7">
      <c r="A21" s="128"/>
      <c r="B21" s="150" t="s">
        <v>679</v>
      </c>
      <c r="C21" s="150"/>
      <c r="D21" s="150"/>
      <c r="E21" s="150"/>
      <c r="F21" s="150"/>
      <c r="G21" s="129"/>
    </row>
    <row r="22" spans="1:7">
      <c r="A22" s="128"/>
      <c r="B22" s="150" t="s">
        <v>680</v>
      </c>
      <c r="C22" s="150"/>
      <c r="D22" s="150"/>
      <c r="E22" s="150"/>
      <c r="F22" s="150"/>
      <c r="G22" s="129"/>
    </row>
    <row r="23" spans="1:7">
      <c r="A23" s="128"/>
      <c r="B23" s="129"/>
      <c r="C23" s="129"/>
      <c r="D23" s="129"/>
      <c r="E23" s="129"/>
      <c r="F23" s="129"/>
      <c r="G23" s="129"/>
    </row>
    <row r="24" spans="1:7" ht="15.75" thickBot="1">
      <c r="A24" s="128"/>
      <c r="B24" s="129"/>
      <c r="C24" s="129"/>
      <c r="D24" s="129"/>
      <c r="E24" s="147"/>
      <c r="F24" s="151"/>
      <c r="G24" s="151" t="s">
        <v>689</v>
      </c>
    </row>
    <row r="25" spans="1:7">
      <c r="A25" s="128"/>
      <c r="B25" s="153"/>
      <c r="C25" s="154">
        <v>2017</v>
      </c>
      <c r="D25" s="154">
        <v>2018</v>
      </c>
      <c r="E25" s="154">
        <v>2019</v>
      </c>
      <c r="F25" s="154">
        <v>2020</v>
      </c>
      <c r="G25" s="155">
        <v>2021</v>
      </c>
    </row>
    <row r="26" spans="1:7">
      <c r="A26" s="128"/>
      <c r="B26" s="136" t="s">
        <v>682</v>
      </c>
      <c r="C26" s="156">
        <f>DATA!C152</f>
        <v>66339804.200000003</v>
      </c>
      <c r="D26" s="156">
        <f>DATA!D152</f>
        <v>86516287</v>
      </c>
      <c r="E26" s="156">
        <f>DATA!E152</f>
        <v>102174244</v>
      </c>
      <c r="F26" s="156">
        <f>DATA!F152</f>
        <v>108546019.7</v>
      </c>
      <c r="G26" s="157">
        <f>DATA!G152</f>
        <v>122958106.09999999</v>
      </c>
    </row>
    <row r="27" spans="1:7">
      <c r="A27" s="128"/>
      <c r="B27" s="158" t="s">
        <v>683</v>
      </c>
      <c r="C27" s="159">
        <f>DATA!C154</f>
        <v>55198024.899999999</v>
      </c>
      <c r="D27" s="159">
        <f>DATA!D154</f>
        <v>71224159.200000003</v>
      </c>
      <c r="E27" s="159">
        <f>DATA!E154</f>
        <v>82686444.700000003</v>
      </c>
      <c r="F27" s="159">
        <f>DATA!F154</f>
        <v>84591522.400000006</v>
      </c>
      <c r="G27" s="160">
        <f>DATA!G154</f>
        <v>95325974.099999994</v>
      </c>
    </row>
    <row r="28" spans="1:7">
      <c r="A28" s="128"/>
      <c r="B28" s="136" t="s">
        <v>684</v>
      </c>
      <c r="C28" s="156">
        <f>DATA!C17</f>
        <v>2765847.8</v>
      </c>
      <c r="D28" s="156">
        <f>DATA!D17</f>
        <v>1542529.7</v>
      </c>
      <c r="E28" s="156">
        <f>DATA!E17</f>
        <v>1815085.6</v>
      </c>
      <c r="F28" s="156">
        <f>DATA!F17</f>
        <v>1595251</v>
      </c>
      <c r="G28" s="157">
        <f>DATA!G17</f>
        <v>3162122</v>
      </c>
    </row>
    <row r="29" spans="1:7">
      <c r="A29" s="128"/>
      <c r="B29" s="158" t="s">
        <v>569</v>
      </c>
      <c r="C29" s="159">
        <f>DATA!C6</f>
        <v>18862861.300000001</v>
      </c>
      <c r="D29" s="159">
        <f>DATA!D6</f>
        <v>23371994.800000001</v>
      </c>
      <c r="E29" s="159">
        <f>DATA!E6</f>
        <v>35011896.899999999</v>
      </c>
      <c r="F29" s="159">
        <f>DATA!F6</f>
        <v>37317234</v>
      </c>
      <c r="G29" s="160">
        <f>DATA!G6</f>
        <v>51955257.799999997</v>
      </c>
    </row>
    <row r="30" spans="1:7">
      <c r="A30" s="128"/>
      <c r="B30" s="136" t="s">
        <v>37</v>
      </c>
      <c r="C30" s="156">
        <f>DATA!C50</f>
        <v>3435848.3</v>
      </c>
      <c r="D30" s="156">
        <f>DATA!D50</f>
        <v>3304923.5</v>
      </c>
      <c r="E30" s="156">
        <f>DATA!E50</f>
        <v>5375279.2000000002</v>
      </c>
      <c r="F30" s="156">
        <f>DATA!F50</f>
        <v>7267319.2999999998</v>
      </c>
      <c r="G30" s="157">
        <f>DATA!G50</f>
        <v>9566954.9000000004</v>
      </c>
    </row>
    <row r="31" spans="1:7">
      <c r="A31" s="128"/>
      <c r="B31" s="158" t="s">
        <v>614</v>
      </c>
      <c r="C31" s="161">
        <f>-CAPEX!B16</f>
        <v>686732.39300000004</v>
      </c>
      <c r="D31" s="161">
        <f>-CAPEX!C16</f>
        <v>1160832.32</v>
      </c>
      <c r="E31" s="161">
        <f>-CAPEX!D16</f>
        <v>1380694.9750000001</v>
      </c>
      <c r="F31" s="161">
        <f>-CAPEX!E16</f>
        <v>2132376.321</v>
      </c>
      <c r="G31" s="162">
        <f>-CAPEX!F16</f>
        <v>2857407.1630000002</v>
      </c>
    </row>
    <row r="32" spans="1:7">
      <c r="A32" s="128"/>
      <c r="B32" s="136" t="s">
        <v>685</v>
      </c>
      <c r="C32" s="156">
        <f>DATA!C81</f>
        <v>22822664.199999999</v>
      </c>
      <c r="D32" s="156">
        <f>DATA!D81</f>
        <v>28122531.5</v>
      </c>
      <c r="E32" s="156">
        <f>DATA!E81</f>
        <v>41708095.5</v>
      </c>
      <c r="F32" s="156">
        <f>DATA!F81</f>
        <v>46030880</v>
      </c>
      <c r="G32" s="157">
        <f>DATA!G81</f>
        <v>62971404.799999997</v>
      </c>
    </row>
    <row r="33" spans="1:7">
      <c r="A33" s="128"/>
      <c r="B33" s="158" t="s">
        <v>38</v>
      </c>
      <c r="C33" s="159">
        <f>DATA!C167</f>
        <v>1345497.4</v>
      </c>
      <c r="D33" s="159">
        <f>DATA!D167</f>
        <v>1761613.9</v>
      </c>
      <c r="E33" s="159">
        <f>DATA!E167</f>
        <v>2073782.9</v>
      </c>
      <c r="F33" s="159">
        <f>DATA!F167</f>
        <v>3404431.8</v>
      </c>
      <c r="G33" s="160">
        <f>DATA!G167</f>
        <v>3823390.1</v>
      </c>
    </row>
    <row r="34" spans="1:7">
      <c r="A34" s="128"/>
      <c r="B34" s="136" t="s">
        <v>686</v>
      </c>
      <c r="C34" s="156">
        <f>DATA!C183</f>
        <v>2206897.1</v>
      </c>
      <c r="D34" s="156">
        <f>DATA!D183</f>
        <v>2880309.1</v>
      </c>
      <c r="E34" s="156">
        <f>DATA!E183</f>
        <v>3836240.1</v>
      </c>
      <c r="F34" s="156">
        <f>DATA!F183</f>
        <v>3919872.7</v>
      </c>
      <c r="G34" s="157">
        <f>DATA!G183</f>
        <v>4901426.7</v>
      </c>
    </row>
    <row r="35" spans="1:7">
      <c r="A35" s="128"/>
      <c r="B35" s="158" t="s">
        <v>687</v>
      </c>
      <c r="C35" s="159">
        <f>DATA!C194</f>
        <v>2663664</v>
      </c>
      <c r="D35" s="159">
        <f>DATA!D194</f>
        <v>2261134.5</v>
      </c>
      <c r="E35" s="159">
        <f>DATA!E194</f>
        <v>-1286080.8</v>
      </c>
      <c r="F35" s="159">
        <f>DATA!F194</f>
        <v>10792429.199999999</v>
      </c>
      <c r="G35" s="160">
        <f>DATA!G194</f>
        <v>171390.4</v>
      </c>
    </row>
    <row r="36" spans="1:7">
      <c r="A36" s="128"/>
      <c r="B36" s="136" t="s">
        <v>582</v>
      </c>
      <c r="C36" s="156">
        <f>DATA!C85</f>
        <v>15713814.9</v>
      </c>
      <c r="D36" s="156">
        <f>DATA!D85</f>
        <v>17929433</v>
      </c>
      <c r="E36" s="156">
        <f>DATA!E85</f>
        <v>28442366.699999999</v>
      </c>
      <c r="F36" s="156">
        <f>DATA!F85</f>
        <v>29422513.399999999</v>
      </c>
      <c r="G36" s="157">
        <f>DATA!G85</f>
        <v>42593158.799999997</v>
      </c>
    </row>
    <row r="37" spans="1:7" ht="15.75" thickBot="1">
      <c r="A37" s="128"/>
      <c r="B37" s="163" t="s">
        <v>688</v>
      </c>
      <c r="C37" s="164">
        <f>DATA!C101</f>
        <v>1199933</v>
      </c>
      <c r="D37" s="164">
        <f>DATA!D101</f>
        <v>1210063.2</v>
      </c>
      <c r="E37" s="164">
        <f>DATA!E101</f>
        <v>1122136.7</v>
      </c>
      <c r="F37" s="164">
        <f>DATA!F101</f>
        <v>1126676.7</v>
      </c>
      <c r="G37" s="165">
        <f>DATA!G101</f>
        <v>0</v>
      </c>
    </row>
    <row r="38" spans="1:7">
      <c r="A38" s="128"/>
      <c r="G38" s="152"/>
    </row>
    <row r="39" spans="1:7">
      <c r="A39" s="128"/>
      <c r="G39" s="152"/>
    </row>
    <row r="40" spans="1:7">
      <c r="A40" s="128"/>
      <c r="B40" s="132"/>
      <c r="C40" s="132"/>
      <c r="D40" s="132"/>
      <c r="E40" s="132"/>
      <c r="F40" s="132"/>
      <c r="G40" s="147"/>
    </row>
    <row r="41" spans="1:7">
      <c r="A41" s="128"/>
      <c r="B41" s="129"/>
      <c r="C41" s="129"/>
      <c r="D41" s="129"/>
      <c r="E41" s="129"/>
      <c r="F41" s="129"/>
      <c r="G41" s="129"/>
    </row>
    <row r="42" spans="1:7">
      <c r="A42" s="128"/>
      <c r="B42" s="129"/>
      <c r="C42" s="129"/>
      <c r="D42" s="129"/>
      <c r="E42" s="129"/>
      <c r="F42" s="129"/>
      <c r="G42" s="129"/>
    </row>
    <row r="43" spans="1:7">
      <c r="A43" s="128"/>
      <c r="B43" s="129"/>
      <c r="C43" s="129"/>
      <c r="D43" s="129"/>
      <c r="E43" s="129"/>
      <c r="F43" s="129"/>
      <c r="G43" s="129"/>
    </row>
    <row r="44" spans="1:7">
      <c r="A44" s="128"/>
      <c r="B44" s="129"/>
      <c r="C44" s="129"/>
      <c r="D44" s="129"/>
      <c r="E44" s="129"/>
      <c r="F44" s="129"/>
      <c r="G44" s="129"/>
    </row>
    <row r="45" spans="1:7">
      <c r="A45" s="128"/>
      <c r="B45" s="129"/>
      <c r="C45" s="129"/>
      <c r="D45" s="129"/>
      <c r="E45" s="129"/>
      <c r="F45" s="129"/>
      <c r="G45" s="129"/>
    </row>
    <row r="46" spans="1:7">
      <c r="A46" s="128"/>
      <c r="B46" s="129"/>
      <c r="C46" s="129"/>
      <c r="D46" s="129"/>
      <c r="E46" s="129"/>
      <c r="F46" s="129"/>
      <c r="G46" s="129"/>
    </row>
  </sheetData>
  <mergeCells count="3">
    <mergeCell ref="B19:F19"/>
    <mergeCell ref="B20:F20"/>
    <mergeCell ref="A1:H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249977111117893"/>
  </sheetPr>
  <dimension ref="A1:Z1005"/>
  <sheetViews>
    <sheetView showGridLines="0" workbookViewId="0">
      <pane xSplit="1" ySplit="1" topLeftCell="E2" activePane="bottomRight" state="frozen"/>
      <selection pane="topRight" activeCell="B1" sqref="B1"/>
      <selection pane="bottomLeft" activeCell="A2" sqref="A2"/>
      <selection pane="bottomRight" activeCell="H9" sqref="H9"/>
    </sheetView>
  </sheetViews>
  <sheetFormatPr defaultColWidth="11.25" defaultRowHeight="15" customHeight="1"/>
  <cols>
    <col min="1" max="1" width="49" style="337" customWidth="1"/>
    <col min="2" max="3" width="13.625" style="337" customWidth="1"/>
    <col min="4" max="4" width="14.625" style="337" customWidth="1"/>
    <col min="5" max="5" width="14.5" style="337" customWidth="1"/>
    <col min="6" max="6" width="14.625" style="337" customWidth="1"/>
    <col min="7" max="8" width="14" style="337" customWidth="1"/>
    <col min="9" max="9" width="13.875" style="337" customWidth="1"/>
    <col min="10" max="10" width="14.125" style="337" customWidth="1"/>
    <col min="11" max="11" width="14" style="337" customWidth="1"/>
    <col min="12" max="26" width="8.5" style="337" customWidth="1"/>
    <col min="27" max="16384" width="11.25" style="337"/>
  </cols>
  <sheetData>
    <row r="1" spans="1:26" s="335" customFormat="1" ht="13.5" customHeight="1">
      <c r="A1" s="171"/>
      <c r="B1" s="331" t="s">
        <v>15</v>
      </c>
      <c r="C1" s="332" t="s">
        <v>16</v>
      </c>
      <c r="D1" s="332" t="s">
        <v>17</v>
      </c>
      <c r="E1" s="332" t="s">
        <v>18</v>
      </c>
      <c r="F1" s="332" t="s">
        <v>19</v>
      </c>
      <c r="G1" s="333" t="s">
        <v>4</v>
      </c>
      <c r="H1" s="333" t="s">
        <v>5</v>
      </c>
      <c r="I1" s="333" t="s">
        <v>6</v>
      </c>
      <c r="J1" s="333" t="s">
        <v>7</v>
      </c>
      <c r="K1" s="334" t="s">
        <v>8</v>
      </c>
      <c r="L1" s="171"/>
      <c r="M1" s="171"/>
      <c r="N1" s="171"/>
      <c r="O1" s="171"/>
      <c r="P1" s="171"/>
      <c r="Q1" s="171"/>
      <c r="R1" s="171"/>
      <c r="S1" s="171"/>
      <c r="T1" s="171"/>
      <c r="U1" s="171"/>
      <c r="V1" s="171"/>
      <c r="W1" s="171"/>
      <c r="X1" s="171"/>
      <c r="Y1" s="171"/>
      <c r="Z1" s="171"/>
    </row>
    <row r="2" spans="1:26" ht="21" customHeight="1">
      <c r="A2" s="336" t="s">
        <v>690</v>
      </c>
      <c r="B2" s="175"/>
      <c r="C2" s="175"/>
      <c r="D2" s="175"/>
      <c r="E2" s="175"/>
      <c r="F2" s="175"/>
      <c r="G2" s="175"/>
      <c r="H2" s="175"/>
      <c r="I2" s="175"/>
      <c r="J2" s="175"/>
      <c r="K2" s="175"/>
      <c r="L2" s="175"/>
      <c r="M2" s="175"/>
      <c r="N2" s="175"/>
      <c r="O2" s="175"/>
      <c r="P2" s="175"/>
      <c r="Q2" s="175"/>
      <c r="R2" s="175"/>
      <c r="S2" s="175"/>
      <c r="T2" s="175"/>
      <c r="U2" s="175"/>
      <c r="V2" s="175"/>
      <c r="W2" s="175"/>
      <c r="X2" s="175"/>
      <c r="Y2" s="175"/>
      <c r="Z2" s="175"/>
    </row>
    <row r="3" spans="1:26" ht="12.75">
      <c r="A3" s="373" t="s">
        <v>39</v>
      </c>
      <c r="B3" s="338">
        <v>34708000</v>
      </c>
      <c r="C3" s="174">
        <f>0.4*C52</f>
        <v>34606514.800000004</v>
      </c>
      <c r="D3" s="174">
        <f>0.57*D52</f>
        <v>58239319.079999998</v>
      </c>
      <c r="E3" s="174">
        <f>0.272*E52</f>
        <v>29524517.358400002</v>
      </c>
      <c r="F3" s="174">
        <f>0.25662*F52</f>
        <v>31553509.187382001</v>
      </c>
      <c r="G3" s="174">
        <f>G8*G7*12</f>
        <v>34806448.278864689</v>
      </c>
      <c r="H3" s="174">
        <f>H7*H8*12</f>
        <v>37277706.106664084</v>
      </c>
      <c r="I3" s="174">
        <f>I7*I8*12</f>
        <v>38019605.551728085</v>
      </c>
      <c r="J3" s="174">
        <f>J7*J8*12</f>
        <v>37825743.206588075</v>
      </c>
      <c r="K3" s="174">
        <f>K7*K8*12</f>
        <v>37423605.886134192</v>
      </c>
      <c r="L3" s="171"/>
      <c r="M3" s="171"/>
      <c r="N3" s="171"/>
      <c r="O3" s="171"/>
      <c r="P3" s="171"/>
      <c r="Q3" s="171"/>
      <c r="R3" s="171"/>
      <c r="S3" s="171"/>
      <c r="T3" s="171"/>
      <c r="U3" s="171"/>
      <c r="V3" s="171"/>
      <c r="W3" s="171"/>
      <c r="X3" s="171"/>
      <c r="Y3" s="171"/>
      <c r="Z3" s="171"/>
    </row>
    <row r="4" spans="1:26" s="343" customFormat="1" ht="13.5" customHeight="1">
      <c r="A4" s="339" t="s">
        <v>40</v>
      </c>
      <c r="B4" s="340"/>
      <c r="C4" s="341">
        <f t="shared" ref="C4:K4" si="0">(C3-B3)/B3</f>
        <v>-2.9239714186929679E-3</v>
      </c>
      <c r="D4" s="341">
        <f t="shared" si="0"/>
        <v>0.68290044278021289</v>
      </c>
      <c r="E4" s="341">
        <f t="shared" si="0"/>
        <v>-0.49304837651271516</v>
      </c>
      <c r="F4" s="341">
        <f t="shared" si="0"/>
        <v>6.8722269168770417E-2</v>
      </c>
      <c r="G4" s="341">
        <f t="shared" si="0"/>
        <v>0.10309278350515487</v>
      </c>
      <c r="H4" s="341">
        <f t="shared" si="0"/>
        <v>7.1000000000000049E-2</v>
      </c>
      <c r="I4" s="341">
        <f t="shared" si="0"/>
        <v>1.9901960784313721E-2</v>
      </c>
      <c r="J4" s="341">
        <f t="shared" si="0"/>
        <v>-5.099009900990375E-3</v>
      </c>
      <c r="K4" s="341">
        <f t="shared" si="0"/>
        <v>-1.0631313131313236E-2</v>
      </c>
      <c r="L4" s="342"/>
      <c r="M4" s="342"/>
      <c r="N4" s="342"/>
      <c r="O4" s="342"/>
      <c r="P4" s="342"/>
      <c r="Q4" s="342"/>
      <c r="R4" s="342"/>
      <c r="S4" s="342"/>
      <c r="T4" s="342"/>
      <c r="U4" s="342"/>
      <c r="V4" s="342"/>
      <c r="W4" s="342"/>
      <c r="X4" s="342"/>
      <c r="Y4" s="342"/>
      <c r="Z4" s="342"/>
    </row>
    <row r="5" spans="1:26" ht="13.5" customHeight="1">
      <c r="A5" s="344" t="s">
        <v>691</v>
      </c>
      <c r="B5" s="345">
        <v>951</v>
      </c>
      <c r="C5" s="345">
        <f t="shared" ref="C5:K5" si="1">B7</f>
        <v>1072</v>
      </c>
      <c r="D5" s="345">
        <f t="shared" si="1"/>
        <v>1032</v>
      </c>
      <c r="E5" s="345">
        <f t="shared" si="1"/>
        <v>996</v>
      </c>
      <c r="F5" s="345">
        <f t="shared" si="1"/>
        <v>913</v>
      </c>
      <c r="G5" s="345">
        <f t="shared" si="1"/>
        <v>970</v>
      </c>
      <c r="H5" s="345">
        <f t="shared" si="1"/>
        <v>1000</v>
      </c>
      <c r="I5" s="345">
        <f t="shared" si="1"/>
        <v>1020</v>
      </c>
      <c r="J5" s="345">
        <f t="shared" si="1"/>
        <v>1010</v>
      </c>
      <c r="K5" s="345">
        <f t="shared" si="1"/>
        <v>990</v>
      </c>
      <c r="L5" s="175"/>
      <c r="M5" s="175"/>
      <c r="N5" s="175"/>
      <c r="O5" s="175"/>
      <c r="P5" s="175"/>
      <c r="Q5" s="175"/>
      <c r="R5" s="175"/>
      <c r="S5" s="175"/>
      <c r="T5" s="175"/>
      <c r="U5" s="175"/>
      <c r="V5" s="175"/>
      <c r="W5" s="175"/>
      <c r="X5" s="175"/>
      <c r="Y5" s="175"/>
      <c r="Z5" s="175"/>
    </row>
    <row r="6" spans="1:26" ht="13.5" customHeight="1">
      <c r="A6" s="344" t="s">
        <v>692</v>
      </c>
      <c r="B6" s="345">
        <f>1072-B5</f>
        <v>121</v>
      </c>
      <c r="C6" s="345">
        <f>C7-C5</f>
        <v>-40</v>
      </c>
      <c r="D6" s="345">
        <f>D7-D5</f>
        <v>-36</v>
      </c>
      <c r="E6" s="345">
        <f>E7-E5</f>
        <v>-83</v>
      </c>
      <c r="F6" s="345">
        <f>F7-F5</f>
        <v>57</v>
      </c>
      <c r="G6" s="345">
        <v>30</v>
      </c>
      <c r="H6" s="345">
        <v>20</v>
      </c>
      <c r="I6" s="345">
        <v>-10</v>
      </c>
      <c r="J6" s="345">
        <v>-20</v>
      </c>
      <c r="K6" s="345">
        <v>-25</v>
      </c>
      <c r="L6" s="175"/>
      <c r="M6" s="175"/>
      <c r="N6" s="175"/>
      <c r="O6" s="175"/>
      <c r="P6" s="175"/>
      <c r="Q6" s="175"/>
      <c r="R6" s="175"/>
      <c r="S6" s="175"/>
      <c r="T6" s="175"/>
      <c r="U6" s="175"/>
      <c r="V6" s="175"/>
      <c r="W6" s="175"/>
      <c r="X6" s="175"/>
      <c r="Y6" s="175"/>
      <c r="Z6" s="175"/>
    </row>
    <row r="7" spans="1:26" ht="13.5" customHeight="1">
      <c r="A7" s="344" t="s">
        <v>693</v>
      </c>
      <c r="B7" s="345">
        <f>SUM(B5:B6)</f>
        <v>1072</v>
      </c>
      <c r="C7" s="345">
        <v>1032</v>
      </c>
      <c r="D7" s="345">
        <v>996</v>
      </c>
      <c r="E7" s="345">
        <v>913</v>
      </c>
      <c r="F7" s="345">
        <v>970</v>
      </c>
      <c r="G7" s="345">
        <f>SUM(G5:G6)</f>
        <v>1000</v>
      </c>
      <c r="H7" s="345">
        <f>SUM(H5:H6)</f>
        <v>1020</v>
      </c>
      <c r="I7" s="345">
        <f>SUM(I5:I6)</f>
        <v>1010</v>
      </c>
      <c r="J7" s="345">
        <f>SUM(J5:J6)</f>
        <v>990</v>
      </c>
      <c r="K7" s="345">
        <f>SUM(K5:K6)</f>
        <v>965</v>
      </c>
      <c r="L7" s="175"/>
      <c r="M7" s="175"/>
      <c r="N7" s="175"/>
      <c r="O7" s="175"/>
      <c r="P7" s="175"/>
      <c r="Q7" s="175"/>
      <c r="R7" s="175"/>
      <c r="S7" s="175"/>
      <c r="T7" s="175"/>
      <c r="U7" s="175"/>
      <c r="V7" s="175"/>
      <c r="W7" s="175"/>
      <c r="X7" s="175"/>
      <c r="Y7" s="175"/>
      <c r="Z7" s="175"/>
    </row>
    <row r="8" spans="1:26" ht="13.5" customHeight="1">
      <c r="A8" s="346" t="s">
        <v>694</v>
      </c>
      <c r="B8" s="345">
        <f>(B3/B7)/12</f>
        <v>2698.0721393034823</v>
      </c>
      <c r="C8" s="345">
        <f>(C3/C7)/12</f>
        <v>2794.4537144702845</v>
      </c>
      <c r="D8" s="345">
        <f>(D3/D7)/12</f>
        <v>4872.7676606425703</v>
      </c>
      <c r="E8" s="345">
        <f>(E3/E7)/12</f>
        <v>2694.8263379335526</v>
      </c>
      <c r="F8" s="345">
        <f>(F3/F7)/12</f>
        <v>2710.7825762355674</v>
      </c>
      <c r="G8" s="178">
        <f>F8*(1+G9)</f>
        <v>2900.5373565720574</v>
      </c>
      <c r="H8" s="178">
        <f>G8*(1+H9)</f>
        <v>3045.5642244006604</v>
      </c>
      <c r="I8" s="178">
        <f>H8*(1+I9)</f>
        <v>3136.93115113268</v>
      </c>
      <c r="J8" s="178">
        <f>I8*(1+J9)</f>
        <v>3183.9851183996698</v>
      </c>
      <c r="K8" s="178">
        <f>J8*(1+K9)</f>
        <v>3231.7448951756646</v>
      </c>
      <c r="L8" s="175"/>
      <c r="M8" s="175"/>
      <c r="N8" s="175"/>
      <c r="O8" s="175"/>
      <c r="P8" s="175"/>
      <c r="Q8" s="175"/>
      <c r="R8" s="175"/>
      <c r="S8" s="175"/>
      <c r="T8" s="175"/>
      <c r="U8" s="175"/>
      <c r="V8" s="175"/>
      <c r="W8" s="175"/>
      <c r="X8" s="175"/>
      <c r="Y8" s="175"/>
      <c r="Z8" s="175"/>
    </row>
    <row r="9" spans="1:26" s="352" customFormat="1" ht="13.5" customHeight="1">
      <c r="A9" s="347" t="s">
        <v>695</v>
      </c>
      <c r="B9" s="348"/>
      <c r="C9" s="348"/>
      <c r="D9" s="348"/>
      <c r="E9" s="348"/>
      <c r="F9" s="348"/>
      <c r="G9" s="349">
        <v>7.0000000000000007E-2</v>
      </c>
      <c r="H9" s="349">
        <v>0.05</v>
      </c>
      <c r="I9" s="349">
        <v>0.03</v>
      </c>
      <c r="J9" s="350">
        <v>1.4999999999999999E-2</v>
      </c>
      <c r="K9" s="351">
        <v>1.4999999999999999E-2</v>
      </c>
      <c r="L9" s="197"/>
      <c r="M9" s="197"/>
      <c r="N9" s="197"/>
      <c r="O9" s="197"/>
      <c r="P9" s="197"/>
      <c r="Q9" s="197"/>
      <c r="R9" s="197"/>
      <c r="S9" s="197"/>
      <c r="T9" s="197"/>
      <c r="U9" s="197"/>
      <c r="V9" s="197"/>
      <c r="W9" s="197"/>
      <c r="X9" s="197"/>
      <c r="Y9" s="197"/>
      <c r="Z9" s="197"/>
    </row>
    <row r="10" spans="1:26" ht="13.5" customHeight="1">
      <c r="A10" s="344"/>
      <c r="B10" s="178"/>
      <c r="C10" s="178"/>
      <c r="D10" s="178"/>
      <c r="E10" s="178"/>
      <c r="F10" s="178"/>
      <c r="G10" s="353"/>
      <c r="H10" s="178"/>
      <c r="I10" s="178"/>
      <c r="J10" s="178"/>
      <c r="K10" s="175"/>
      <c r="L10" s="175"/>
      <c r="M10" s="175"/>
      <c r="N10" s="175"/>
      <c r="O10" s="175"/>
      <c r="P10" s="175"/>
      <c r="Q10" s="175"/>
      <c r="R10" s="175"/>
      <c r="S10" s="175"/>
      <c r="T10" s="175"/>
      <c r="U10" s="175"/>
      <c r="V10" s="175"/>
      <c r="W10" s="175"/>
      <c r="X10" s="175"/>
      <c r="Y10" s="175"/>
      <c r="Z10" s="175"/>
    </row>
    <row r="11" spans="1:26" ht="12.75">
      <c r="A11" s="374" t="s">
        <v>10</v>
      </c>
      <c r="B11" s="338">
        <v>30245000</v>
      </c>
      <c r="C11" s="174">
        <f>0.55*C52</f>
        <v>47583957.850000001</v>
      </c>
      <c r="D11" s="174">
        <f>0.325*D52</f>
        <v>33206629.300000001</v>
      </c>
      <c r="E11" s="174">
        <f>0.532*E52</f>
        <v>57746482.480400003</v>
      </c>
      <c r="F11" s="174">
        <f>0.51*F52</f>
        <v>62708634.111000001</v>
      </c>
      <c r="G11" s="174">
        <f>G16*G15*12</f>
        <v>71697816.074050218</v>
      </c>
      <c r="H11" s="174">
        <f>H16*H15*12</f>
        <v>76136175.480434373</v>
      </c>
      <c r="I11" s="174">
        <f>I16*I15*12</f>
        <v>79628120.487916663</v>
      </c>
      <c r="J11" s="174">
        <f>J16*J15*12</f>
        <v>82526221.517310351</v>
      </c>
      <c r="K11" s="174">
        <f>K16*K15*12</f>
        <v>85493349.250476062</v>
      </c>
      <c r="L11" s="171"/>
      <c r="M11" s="171"/>
      <c r="N11" s="171"/>
      <c r="O11" s="171"/>
      <c r="P11" s="171"/>
      <c r="Q11" s="171"/>
      <c r="R11" s="171"/>
      <c r="S11" s="171"/>
      <c r="T11" s="171"/>
      <c r="U11" s="171"/>
      <c r="V11" s="171"/>
      <c r="W11" s="171"/>
      <c r="X11" s="171"/>
      <c r="Y11" s="171"/>
      <c r="Z11" s="171"/>
    </row>
    <row r="12" spans="1:26" s="343" customFormat="1" ht="13.5" customHeight="1">
      <c r="A12" s="339" t="s">
        <v>40</v>
      </c>
      <c r="B12" s="340"/>
      <c r="C12" s="341">
        <f t="shared" ref="C12:K12" si="2">(C11-B11)/B11</f>
        <v>0.57328344685071919</v>
      </c>
      <c r="D12" s="341">
        <f t="shared" si="2"/>
        <v>-0.30214654685350012</v>
      </c>
      <c r="E12" s="341">
        <f t="shared" si="2"/>
        <v>0.73900464147380363</v>
      </c>
      <c r="F12" s="341">
        <f t="shared" si="2"/>
        <v>8.5929937503712445E-2</v>
      </c>
      <c r="G12" s="341">
        <f t="shared" si="2"/>
        <v>0.14334839357429704</v>
      </c>
      <c r="H12" s="341">
        <f t="shared" si="2"/>
        <v>6.1903690369036812E-2</v>
      </c>
      <c r="I12" s="341">
        <f t="shared" si="2"/>
        <v>4.5864465682015472E-2</v>
      </c>
      <c r="J12" s="341">
        <f t="shared" si="2"/>
        <v>3.6395446880269716E-2</v>
      </c>
      <c r="K12" s="341">
        <f t="shared" si="2"/>
        <v>3.5953757225433362E-2</v>
      </c>
      <c r="L12" s="342"/>
      <c r="M12" s="342"/>
      <c r="N12" s="342"/>
      <c r="O12" s="342"/>
      <c r="P12" s="342"/>
      <c r="Q12" s="342"/>
      <c r="R12" s="342"/>
      <c r="S12" s="342"/>
      <c r="T12" s="342"/>
      <c r="U12" s="342"/>
      <c r="V12" s="342"/>
      <c r="W12" s="342"/>
      <c r="X12" s="342"/>
      <c r="Y12" s="342"/>
      <c r="Z12" s="342"/>
    </row>
    <row r="13" spans="1:26" ht="13.5" customHeight="1">
      <c r="A13" s="344" t="s">
        <v>691</v>
      </c>
      <c r="B13" s="345">
        <f>B15-B14</f>
        <v>256</v>
      </c>
      <c r="C13" s="345">
        <f t="shared" ref="C13:K13" si="3">B15</f>
        <v>642</v>
      </c>
      <c r="D13" s="345">
        <f t="shared" si="3"/>
        <v>750</v>
      </c>
      <c r="E13" s="345">
        <f t="shared" si="3"/>
        <v>1018</v>
      </c>
      <c r="F13" s="345">
        <f t="shared" si="3"/>
        <v>1427</v>
      </c>
      <c r="G13" s="345">
        <f t="shared" si="3"/>
        <v>1992</v>
      </c>
      <c r="H13" s="345">
        <f t="shared" si="3"/>
        <v>2222</v>
      </c>
      <c r="I13" s="345">
        <f t="shared" si="3"/>
        <v>2302</v>
      </c>
      <c r="J13" s="345">
        <f t="shared" si="3"/>
        <v>2372</v>
      </c>
      <c r="K13" s="345">
        <f t="shared" si="3"/>
        <v>2422</v>
      </c>
      <c r="L13" s="175"/>
      <c r="M13" s="175"/>
      <c r="N13" s="175"/>
      <c r="O13" s="175"/>
      <c r="P13" s="175"/>
      <c r="Q13" s="175"/>
      <c r="R13" s="175"/>
      <c r="S13" s="175"/>
      <c r="T13" s="175"/>
      <c r="U13" s="175"/>
      <c r="V13" s="175"/>
      <c r="W13" s="175"/>
      <c r="X13" s="175"/>
      <c r="Y13" s="175"/>
      <c r="Z13" s="175"/>
    </row>
    <row r="14" spans="1:26" ht="13.5" customHeight="1">
      <c r="A14" s="344" t="s">
        <v>692</v>
      </c>
      <c r="B14" s="345">
        <v>386</v>
      </c>
      <c r="C14" s="345">
        <f>C15-C13</f>
        <v>108</v>
      </c>
      <c r="D14" s="345">
        <f>D15-D13</f>
        <v>268</v>
      </c>
      <c r="E14" s="345">
        <f>E15-E13</f>
        <v>409</v>
      </c>
      <c r="F14" s="345">
        <f>F15-F13</f>
        <v>565</v>
      </c>
      <c r="G14" s="345">
        <v>230</v>
      </c>
      <c r="H14" s="345">
        <v>80</v>
      </c>
      <c r="I14" s="345">
        <v>70</v>
      </c>
      <c r="J14" s="345">
        <v>50</v>
      </c>
      <c r="K14" s="345">
        <v>50</v>
      </c>
      <c r="L14" s="175"/>
      <c r="M14" s="175"/>
      <c r="N14" s="175"/>
      <c r="O14" s="175"/>
      <c r="P14" s="175"/>
      <c r="Q14" s="175"/>
      <c r="R14" s="175"/>
      <c r="S14" s="175"/>
      <c r="T14" s="175"/>
      <c r="U14" s="175"/>
      <c r="V14" s="175"/>
      <c r="W14" s="175"/>
      <c r="X14" s="175"/>
      <c r="Y14" s="175"/>
      <c r="Z14" s="175"/>
    </row>
    <row r="15" spans="1:26" ht="13.5" customHeight="1">
      <c r="A15" s="344" t="s">
        <v>693</v>
      </c>
      <c r="B15" s="175">
        <v>642</v>
      </c>
      <c r="C15" s="175">
        <v>750</v>
      </c>
      <c r="D15" s="175">
        <v>1018</v>
      </c>
      <c r="E15" s="175">
        <v>1427</v>
      </c>
      <c r="F15" s="175">
        <v>1992</v>
      </c>
      <c r="G15" s="345">
        <f>SUM(G13:G14)</f>
        <v>2222</v>
      </c>
      <c r="H15" s="345">
        <f>SUM(H13:H14)</f>
        <v>2302</v>
      </c>
      <c r="I15" s="345">
        <f>SUM(I13:I14)</f>
        <v>2372</v>
      </c>
      <c r="J15" s="345">
        <f>SUM(J13:J14)</f>
        <v>2422</v>
      </c>
      <c r="K15" s="345">
        <f>SUM(K13:K14)</f>
        <v>2472</v>
      </c>
      <c r="L15" s="175"/>
      <c r="M15" s="175"/>
      <c r="N15" s="175"/>
      <c r="O15" s="175"/>
      <c r="P15" s="175"/>
      <c r="Q15" s="175"/>
      <c r="R15" s="175"/>
      <c r="S15" s="175"/>
      <c r="T15" s="175"/>
      <c r="U15" s="175"/>
      <c r="V15" s="175"/>
      <c r="W15" s="175"/>
      <c r="X15" s="175"/>
      <c r="Y15" s="175"/>
      <c r="Z15" s="175"/>
    </row>
    <row r="16" spans="1:26" ht="13.5" customHeight="1">
      <c r="A16" s="346" t="s">
        <v>694</v>
      </c>
      <c r="B16" s="345">
        <f>(B11/B15)/12</f>
        <v>3925.8826583592941</v>
      </c>
      <c r="C16" s="345">
        <f>(C11/C15)/12</f>
        <v>5287.1064277777778</v>
      </c>
      <c r="D16" s="345">
        <f>(D11/D15)/12</f>
        <v>2718.289890307793</v>
      </c>
      <c r="E16" s="345">
        <f>(E11/E15)/12</f>
        <v>3372.2542910768516</v>
      </c>
      <c r="F16" s="345">
        <f>(F11/F15)/12</f>
        <v>2623.3531672941767</v>
      </c>
      <c r="G16" s="178">
        <f>F16*(1+G17)</f>
        <v>2688.936996476531</v>
      </c>
      <c r="H16" s="178">
        <f>G16*(1+H17)</f>
        <v>2756.1604213884439</v>
      </c>
      <c r="I16" s="178">
        <f>H16*(1+I17)</f>
        <v>2797.5028277092702</v>
      </c>
      <c r="J16" s="178">
        <f>I16*(1+J17)</f>
        <v>2839.465370124909</v>
      </c>
      <c r="K16" s="178">
        <f>J16*(1+K17)</f>
        <v>2882.0573506767823</v>
      </c>
      <c r="L16" s="175"/>
      <c r="M16" s="175"/>
      <c r="N16" s="175"/>
      <c r="O16" s="175"/>
      <c r="P16" s="175"/>
      <c r="Q16" s="175"/>
      <c r="R16" s="175"/>
      <c r="S16" s="175"/>
      <c r="T16" s="175"/>
      <c r="U16" s="175"/>
      <c r="V16" s="175"/>
      <c r="W16" s="175"/>
      <c r="X16" s="175"/>
      <c r="Y16" s="175"/>
      <c r="Z16" s="175"/>
    </row>
    <row r="17" spans="1:26" s="352" customFormat="1" ht="13.5" customHeight="1">
      <c r="A17" s="347" t="s">
        <v>695</v>
      </c>
      <c r="B17" s="348"/>
      <c r="C17" s="348"/>
      <c r="D17" s="348"/>
      <c r="E17" s="348"/>
      <c r="F17" s="348"/>
      <c r="G17" s="351">
        <v>2.5000000000000001E-2</v>
      </c>
      <c r="H17" s="351">
        <f>G17</f>
        <v>2.5000000000000001E-2</v>
      </c>
      <c r="I17" s="351">
        <v>1.4999999999999999E-2</v>
      </c>
      <c r="J17" s="351">
        <v>1.4999999999999999E-2</v>
      </c>
      <c r="K17" s="351">
        <v>1.4999999999999999E-2</v>
      </c>
      <c r="L17" s="197"/>
      <c r="M17" s="197"/>
      <c r="N17" s="197"/>
      <c r="O17" s="197"/>
      <c r="P17" s="197"/>
      <c r="Q17" s="197"/>
      <c r="R17" s="197"/>
      <c r="S17" s="197"/>
      <c r="T17" s="197"/>
      <c r="U17" s="197"/>
      <c r="V17" s="197"/>
      <c r="W17" s="197"/>
      <c r="X17" s="197"/>
      <c r="Y17" s="197"/>
      <c r="Z17" s="197"/>
    </row>
    <row r="18" spans="1:26" ht="13.5" customHeight="1">
      <c r="A18" s="344"/>
      <c r="B18" s="178"/>
      <c r="C18" s="178"/>
      <c r="D18" s="178"/>
      <c r="E18" s="178"/>
      <c r="F18" s="178"/>
      <c r="G18" s="178"/>
      <c r="H18" s="354"/>
      <c r="I18" s="178"/>
      <c r="J18" s="178"/>
      <c r="K18" s="175"/>
      <c r="L18" s="175"/>
      <c r="M18" s="175"/>
      <c r="N18" s="175"/>
      <c r="O18" s="175"/>
      <c r="P18" s="175"/>
      <c r="Q18" s="175"/>
      <c r="R18" s="175"/>
      <c r="S18" s="175"/>
      <c r="T18" s="175"/>
      <c r="U18" s="175"/>
      <c r="V18" s="175"/>
      <c r="W18" s="175"/>
      <c r="X18" s="175"/>
      <c r="Y18" s="175"/>
      <c r="Z18" s="175"/>
    </row>
    <row r="19" spans="1:26" ht="13.5" customHeight="1">
      <c r="A19" s="375" t="s">
        <v>41</v>
      </c>
      <c r="B19" s="174"/>
      <c r="C19" s="174"/>
      <c r="D19" s="174" t="s">
        <v>42</v>
      </c>
      <c r="E19" s="174" t="s">
        <v>42</v>
      </c>
      <c r="F19" s="174">
        <f>0.39%*F52</f>
        <v>479536.61379000003</v>
      </c>
      <c r="G19" s="174">
        <f>G23*G24*12</f>
        <v>813294.09698784014</v>
      </c>
      <c r="H19" s="174">
        <f>H23*H24*12</f>
        <v>862091.74280711054</v>
      </c>
      <c r="I19" s="174">
        <f>I23*I24*12</f>
        <v>905196.32994746626</v>
      </c>
      <c r="J19" s="174">
        <f>J23*J24*12</f>
        <v>950456.14644483954</v>
      </c>
      <c r="K19" s="174">
        <f>K23*K24*12</f>
        <v>997978.95376708149</v>
      </c>
      <c r="L19" s="171"/>
      <c r="M19" s="171"/>
      <c r="N19" s="171"/>
      <c r="O19" s="171"/>
      <c r="P19" s="171"/>
      <c r="Q19" s="171"/>
      <c r="R19" s="171"/>
      <c r="S19" s="171"/>
      <c r="T19" s="171"/>
      <c r="U19" s="171"/>
      <c r="V19" s="171"/>
      <c r="W19" s="171"/>
      <c r="X19" s="171"/>
      <c r="Y19" s="171"/>
      <c r="Z19" s="171"/>
    </row>
    <row r="20" spans="1:26" s="343" customFormat="1" ht="13.5" customHeight="1">
      <c r="A20" s="339" t="s">
        <v>40</v>
      </c>
      <c r="B20" s="196"/>
      <c r="C20" s="196"/>
      <c r="D20" s="196"/>
      <c r="E20" s="196"/>
      <c r="F20" s="197"/>
      <c r="G20" s="355">
        <f>(G19/F19)-1</f>
        <v>0.69600000000000017</v>
      </c>
      <c r="H20" s="355">
        <f>(H19/G19)-1</f>
        <v>6.0000000000000053E-2</v>
      </c>
      <c r="I20" s="355">
        <f>(I19/H19)-1</f>
        <v>5.0000000000000266E-2</v>
      </c>
      <c r="J20" s="355">
        <f>(J19/I19)-1</f>
        <v>5.0000000000000044E-2</v>
      </c>
      <c r="K20" s="355">
        <f>(K19/J19)-1</f>
        <v>5.0000000000000044E-2</v>
      </c>
      <c r="L20" s="197"/>
      <c r="M20" s="197"/>
      <c r="N20" s="197"/>
      <c r="O20" s="197"/>
      <c r="P20" s="197"/>
      <c r="Q20" s="197"/>
      <c r="R20" s="197"/>
      <c r="S20" s="197"/>
      <c r="T20" s="197"/>
      <c r="U20" s="197"/>
      <c r="V20" s="197"/>
      <c r="W20" s="197"/>
      <c r="X20" s="197"/>
      <c r="Y20" s="197"/>
      <c r="Z20" s="197"/>
    </row>
    <row r="21" spans="1:26" ht="13.5" customHeight="1">
      <c r="A21" s="344" t="s">
        <v>691</v>
      </c>
      <c r="B21" s="178">
        <v>0</v>
      </c>
      <c r="C21" s="178">
        <v>0</v>
      </c>
      <c r="D21" s="345">
        <f t="shared" ref="D21:K21" si="4">C23</f>
        <v>10</v>
      </c>
      <c r="E21" s="345">
        <f t="shared" si="4"/>
        <v>19</v>
      </c>
      <c r="F21" s="345">
        <f t="shared" si="4"/>
        <v>38</v>
      </c>
      <c r="G21" s="345">
        <f t="shared" si="4"/>
        <v>50</v>
      </c>
      <c r="H21" s="345">
        <f t="shared" si="4"/>
        <v>80</v>
      </c>
      <c r="I21" s="345">
        <f t="shared" si="4"/>
        <v>80</v>
      </c>
      <c r="J21" s="345">
        <f t="shared" si="4"/>
        <v>80</v>
      </c>
      <c r="K21" s="345">
        <f t="shared" si="4"/>
        <v>80</v>
      </c>
      <c r="L21" s="175"/>
      <c r="M21" s="175"/>
      <c r="N21" s="175"/>
      <c r="O21" s="175"/>
      <c r="P21" s="175"/>
      <c r="Q21" s="175"/>
      <c r="R21" s="175"/>
      <c r="S21" s="175"/>
      <c r="T21" s="175"/>
      <c r="U21" s="175"/>
      <c r="V21" s="175"/>
      <c r="W21" s="175"/>
      <c r="X21" s="175"/>
      <c r="Y21" s="175"/>
      <c r="Z21" s="175"/>
    </row>
    <row r="22" spans="1:26" ht="13.5" customHeight="1">
      <c r="A22" s="344" t="s">
        <v>692</v>
      </c>
      <c r="B22" s="178">
        <v>0</v>
      </c>
      <c r="C22" s="345">
        <f>C23-C21</f>
        <v>10</v>
      </c>
      <c r="D22" s="345">
        <f>D23-D21</f>
        <v>9</v>
      </c>
      <c r="E22" s="345">
        <f>E23-E21</f>
        <v>19</v>
      </c>
      <c r="F22" s="345">
        <f>F23-F21</f>
        <v>12</v>
      </c>
      <c r="G22" s="345">
        <v>30</v>
      </c>
      <c r="H22" s="345">
        <v>0</v>
      </c>
      <c r="I22" s="345">
        <v>0</v>
      </c>
      <c r="J22" s="345">
        <v>0</v>
      </c>
      <c r="K22" s="345">
        <v>0</v>
      </c>
      <c r="L22" s="175"/>
      <c r="M22" s="175"/>
      <c r="N22" s="175"/>
      <c r="O22" s="175"/>
      <c r="P22" s="175"/>
      <c r="Q22" s="175"/>
      <c r="R22" s="175"/>
      <c r="S22" s="175"/>
      <c r="T22" s="175"/>
      <c r="U22" s="175"/>
      <c r="V22" s="175"/>
      <c r="W22" s="175"/>
      <c r="X22" s="175"/>
      <c r="Y22" s="175"/>
      <c r="Z22" s="175"/>
    </row>
    <row r="23" spans="1:26" ht="13.5" customHeight="1">
      <c r="A23" s="344" t="s">
        <v>693</v>
      </c>
      <c r="B23" s="178">
        <v>0</v>
      </c>
      <c r="C23" s="175">
        <v>10</v>
      </c>
      <c r="D23" s="175">
        <v>19</v>
      </c>
      <c r="E23" s="175">
        <v>38</v>
      </c>
      <c r="F23" s="175">
        <v>50</v>
      </c>
      <c r="G23" s="345">
        <f>SUM(G21:G22)</f>
        <v>80</v>
      </c>
      <c r="H23" s="345">
        <f>SUM(H21:H22)</f>
        <v>80</v>
      </c>
      <c r="I23" s="345">
        <f>SUM(I21:I22)</f>
        <v>80</v>
      </c>
      <c r="J23" s="345">
        <f>SUM(J21:J22)</f>
        <v>80</v>
      </c>
      <c r="K23" s="345">
        <f>SUM(K21:K22)</f>
        <v>80</v>
      </c>
      <c r="L23" s="175"/>
      <c r="M23" s="175"/>
      <c r="N23" s="175"/>
      <c r="O23" s="175"/>
      <c r="P23" s="175"/>
      <c r="Q23" s="175"/>
      <c r="R23" s="175"/>
      <c r="S23" s="175"/>
      <c r="T23" s="175"/>
      <c r="U23" s="175"/>
      <c r="V23" s="175"/>
      <c r="W23" s="175"/>
      <c r="X23" s="175"/>
      <c r="Y23" s="175"/>
      <c r="Z23" s="175"/>
    </row>
    <row r="24" spans="1:26" ht="13.5" customHeight="1">
      <c r="A24" s="346" t="s">
        <v>694</v>
      </c>
      <c r="B24" s="178"/>
      <c r="C24" s="178"/>
      <c r="D24" s="178"/>
      <c r="E24" s="178"/>
      <c r="F24" s="178">
        <f>F19/F23/12</f>
        <v>799.22768965000012</v>
      </c>
      <c r="G24" s="178">
        <f>F24*(1+G25)</f>
        <v>847.18135102900021</v>
      </c>
      <c r="H24" s="178">
        <f>G24*(1+H25)</f>
        <v>898.01223209074021</v>
      </c>
      <c r="I24" s="178">
        <f>H24*(1+I25)</f>
        <v>942.91284369527727</v>
      </c>
      <c r="J24" s="178">
        <f>I24*(1+J25)</f>
        <v>990.05848588004119</v>
      </c>
      <c r="K24" s="178">
        <f>J24*(1+K25)</f>
        <v>1039.5614101740432</v>
      </c>
      <c r="L24" s="175"/>
      <c r="M24" s="175"/>
      <c r="N24" s="175"/>
      <c r="O24" s="175"/>
      <c r="P24" s="175"/>
      <c r="Q24" s="175"/>
      <c r="R24" s="175"/>
      <c r="S24" s="175"/>
      <c r="T24" s="175"/>
      <c r="U24" s="175"/>
      <c r="V24" s="175"/>
      <c r="W24" s="175"/>
      <c r="X24" s="175"/>
      <c r="Y24" s="175"/>
      <c r="Z24" s="175"/>
    </row>
    <row r="25" spans="1:26" ht="13.5" customHeight="1">
      <c r="A25" s="347" t="s">
        <v>695</v>
      </c>
      <c r="B25" s="356"/>
      <c r="C25" s="356"/>
      <c r="D25" s="356"/>
      <c r="E25" s="356"/>
      <c r="F25" s="356"/>
      <c r="G25" s="357">
        <v>0.06</v>
      </c>
      <c r="H25" s="357">
        <v>0.06</v>
      </c>
      <c r="I25" s="357">
        <v>0.05</v>
      </c>
      <c r="J25" s="357">
        <v>0.05</v>
      </c>
      <c r="K25" s="357">
        <v>0.05</v>
      </c>
      <c r="L25" s="175"/>
      <c r="M25" s="175"/>
      <c r="N25" s="175"/>
      <c r="O25" s="175"/>
      <c r="P25" s="175"/>
      <c r="Q25" s="175"/>
      <c r="R25" s="175"/>
      <c r="S25" s="175"/>
      <c r="T25" s="175"/>
      <c r="U25" s="175"/>
      <c r="V25" s="175"/>
      <c r="W25" s="175"/>
      <c r="X25" s="175"/>
      <c r="Y25" s="175"/>
      <c r="Z25" s="175"/>
    </row>
    <row r="26" spans="1:26" ht="13.5" customHeight="1">
      <c r="A26" s="344"/>
      <c r="B26" s="178"/>
      <c r="C26" s="178"/>
      <c r="D26" s="178"/>
      <c r="E26" s="178"/>
      <c r="F26" s="178"/>
      <c r="G26" s="358"/>
      <c r="H26" s="358"/>
      <c r="I26" s="358"/>
      <c r="J26" s="358"/>
      <c r="K26" s="358"/>
      <c r="L26" s="175"/>
      <c r="M26" s="175"/>
      <c r="N26" s="175"/>
      <c r="O26" s="175"/>
      <c r="P26" s="175"/>
      <c r="Q26" s="175"/>
      <c r="R26" s="175"/>
      <c r="S26" s="175"/>
      <c r="T26" s="175"/>
      <c r="U26" s="175"/>
      <c r="V26" s="175"/>
      <c r="W26" s="175"/>
      <c r="X26" s="175"/>
      <c r="Y26" s="175"/>
      <c r="Z26" s="175"/>
    </row>
    <row r="27" spans="1:26" ht="13.5" customHeight="1">
      <c r="A27" s="376" t="s">
        <v>43</v>
      </c>
      <c r="B27" s="174"/>
      <c r="C27" s="174"/>
      <c r="D27" s="174"/>
      <c r="E27" s="174"/>
      <c r="F27" s="338" t="s">
        <v>42</v>
      </c>
      <c r="G27" s="338">
        <f>G32*G31*12</f>
        <v>9900000</v>
      </c>
      <c r="H27" s="338">
        <f>H32*H31*12</f>
        <v>22140000</v>
      </c>
      <c r="I27" s="338">
        <f>I32*I31*12</f>
        <v>26058780</v>
      </c>
      <c r="J27" s="338">
        <f>J32*J31*12</f>
        <v>29784001.050000004</v>
      </c>
      <c r="K27" s="338">
        <f>K32*K31*12</f>
        <v>33903065.025000006</v>
      </c>
      <c r="L27" s="171"/>
      <c r="M27" s="171"/>
      <c r="N27" s="171"/>
      <c r="O27" s="171"/>
      <c r="P27" s="171"/>
      <c r="Q27" s="171"/>
      <c r="R27" s="171"/>
      <c r="S27" s="171"/>
      <c r="T27" s="171"/>
      <c r="U27" s="171"/>
      <c r="V27" s="171"/>
      <c r="W27" s="171"/>
      <c r="X27" s="171"/>
      <c r="Y27" s="171"/>
      <c r="Z27" s="171"/>
    </row>
    <row r="28" spans="1:26" s="343" customFormat="1" ht="13.5" customHeight="1">
      <c r="A28" s="339" t="s">
        <v>40</v>
      </c>
      <c r="B28" s="340"/>
      <c r="C28" s="340"/>
      <c r="D28" s="340"/>
      <c r="E28" s="340"/>
      <c r="F28" s="340"/>
      <c r="G28" s="359"/>
      <c r="H28" s="359">
        <f>(H27/G27)-1</f>
        <v>1.2363636363636363</v>
      </c>
      <c r="I28" s="359">
        <f>(I27/H27)-1</f>
        <v>0.17700000000000005</v>
      </c>
      <c r="J28" s="359">
        <f>(J27/I27)-1</f>
        <v>0.14295454545454556</v>
      </c>
      <c r="K28" s="359">
        <f>(K27/J27)-1</f>
        <v>0.13829787234042556</v>
      </c>
      <c r="L28" s="342"/>
      <c r="M28" s="342"/>
      <c r="N28" s="342"/>
      <c r="O28" s="342"/>
      <c r="P28" s="342"/>
      <c r="Q28" s="342"/>
      <c r="R28" s="342"/>
      <c r="S28" s="342"/>
      <c r="T28" s="342"/>
      <c r="U28" s="342"/>
      <c r="V28" s="342"/>
      <c r="W28" s="342"/>
      <c r="X28" s="342"/>
      <c r="Y28" s="342"/>
      <c r="Z28" s="342"/>
    </row>
    <row r="29" spans="1:26" ht="13.5" customHeight="1">
      <c r="A29" s="344" t="s">
        <v>691</v>
      </c>
      <c r="B29" s="178">
        <v>0</v>
      </c>
      <c r="C29" s="178">
        <v>0</v>
      </c>
      <c r="D29" s="178">
        <v>0</v>
      </c>
      <c r="E29" s="178">
        <v>0</v>
      </c>
      <c r="F29" s="178">
        <v>0</v>
      </c>
      <c r="G29" s="345">
        <f>F31</f>
        <v>10</v>
      </c>
      <c r="H29" s="345">
        <f>G31</f>
        <v>110</v>
      </c>
      <c r="I29" s="345">
        <f>H31</f>
        <v>200</v>
      </c>
      <c r="J29" s="345">
        <f>I31</f>
        <v>220</v>
      </c>
      <c r="K29" s="345">
        <f>J31</f>
        <v>235</v>
      </c>
      <c r="L29" s="175"/>
      <c r="M29" s="175"/>
      <c r="N29" s="175"/>
      <c r="O29" s="175"/>
      <c r="P29" s="175"/>
      <c r="Q29" s="175"/>
      <c r="R29" s="175"/>
      <c r="S29" s="175"/>
      <c r="T29" s="175"/>
      <c r="U29" s="175"/>
      <c r="V29" s="175"/>
      <c r="W29" s="175"/>
      <c r="X29" s="175"/>
      <c r="Y29" s="175"/>
      <c r="Z29" s="175"/>
    </row>
    <row r="30" spans="1:26" ht="13.5" customHeight="1">
      <c r="A30" s="344" t="s">
        <v>692</v>
      </c>
      <c r="B30" s="178">
        <v>0</v>
      </c>
      <c r="C30" s="178">
        <v>0</v>
      </c>
      <c r="D30" s="178">
        <v>0</v>
      </c>
      <c r="E30" s="178">
        <v>0</v>
      </c>
      <c r="F30" s="345">
        <v>10</v>
      </c>
      <c r="G30" s="345">
        <v>100</v>
      </c>
      <c r="H30" s="345">
        <v>90</v>
      </c>
      <c r="I30" s="345">
        <v>20</v>
      </c>
      <c r="J30" s="345">
        <v>15</v>
      </c>
      <c r="K30" s="345">
        <v>15</v>
      </c>
      <c r="L30" s="175"/>
      <c r="M30" s="175"/>
      <c r="N30" s="175"/>
      <c r="O30" s="175"/>
      <c r="P30" s="175"/>
      <c r="Q30" s="175"/>
      <c r="R30" s="175"/>
      <c r="S30" s="175"/>
      <c r="T30" s="175"/>
      <c r="U30" s="175"/>
      <c r="V30" s="175"/>
      <c r="W30" s="175"/>
      <c r="X30" s="175"/>
      <c r="Y30" s="175"/>
      <c r="Z30" s="175"/>
    </row>
    <row r="31" spans="1:26" ht="13.5" customHeight="1">
      <c r="A31" s="344" t="s">
        <v>693</v>
      </c>
      <c r="B31" s="178">
        <v>0</v>
      </c>
      <c r="C31" s="178">
        <v>0</v>
      </c>
      <c r="D31" s="178">
        <v>0</v>
      </c>
      <c r="E31" s="178">
        <v>0</v>
      </c>
      <c r="F31" s="345">
        <v>10</v>
      </c>
      <c r="G31" s="345">
        <f>SUM(G29:G30)</f>
        <v>110</v>
      </c>
      <c r="H31" s="345">
        <f>SUM(H29:H30)</f>
        <v>200</v>
      </c>
      <c r="I31" s="345">
        <f>SUM(I29:I30)</f>
        <v>220</v>
      </c>
      <c r="J31" s="345">
        <f>SUM(J29:J30)</f>
        <v>235</v>
      </c>
      <c r="K31" s="345">
        <f>SUM(K29:K30)</f>
        <v>250</v>
      </c>
      <c r="L31" s="175"/>
      <c r="M31" s="175"/>
      <c r="N31" s="175"/>
      <c r="O31" s="175"/>
      <c r="P31" s="175"/>
      <c r="Q31" s="175"/>
      <c r="R31" s="175"/>
      <c r="S31" s="175"/>
      <c r="T31" s="175"/>
      <c r="U31" s="175"/>
      <c r="V31" s="175"/>
      <c r="W31" s="175"/>
      <c r="X31" s="175"/>
      <c r="Y31" s="175"/>
      <c r="Z31" s="175"/>
    </row>
    <row r="32" spans="1:26" ht="13.5" customHeight="1">
      <c r="A32" s="346" t="s">
        <v>694</v>
      </c>
      <c r="B32" s="178"/>
      <c r="C32" s="178"/>
      <c r="D32" s="178"/>
      <c r="E32" s="178"/>
      <c r="F32" s="345"/>
      <c r="G32" s="345">
        <f>7500</f>
        <v>7500</v>
      </c>
      <c r="H32" s="345">
        <f>G32*1.23</f>
        <v>9225</v>
      </c>
      <c r="I32" s="345">
        <f>H32*1.07</f>
        <v>9870.75</v>
      </c>
      <c r="J32" s="345">
        <f>I32*1.07</f>
        <v>10561.702500000001</v>
      </c>
      <c r="K32" s="345">
        <f>J32*1.07</f>
        <v>11301.021675000002</v>
      </c>
      <c r="L32" s="175"/>
      <c r="M32" s="175"/>
      <c r="N32" s="175"/>
      <c r="O32" s="175"/>
      <c r="P32" s="175"/>
      <c r="Q32" s="175"/>
      <c r="R32" s="175"/>
      <c r="S32" s="175"/>
      <c r="T32" s="175"/>
      <c r="U32" s="175"/>
      <c r="V32" s="175"/>
      <c r="W32" s="175"/>
      <c r="X32" s="175"/>
      <c r="Y32" s="175"/>
      <c r="Z32" s="175"/>
    </row>
    <row r="33" spans="1:26" s="352" customFormat="1" ht="13.5" customHeight="1">
      <c r="A33" s="347" t="s">
        <v>695</v>
      </c>
      <c r="B33" s="348"/>
      <c r="C33" s="348"/>
      <c r="D33" s="348"/>
      <c r="E33" s="348"/>
      <c r="F33" s="360"/>
      <c r="G33" s="360"/>
      <c r="H33" s="349">
        <v>0.23</v>
      </c>
      <c r="I33" s="349">
        <v>7.0000000000000007E-2</v>
      </c>
      <c r="J33" s="349">
        <v>7.0000000000000007E-2</v>
      </c>
      <c r="K33" s="349">
        <v>7.0000000000000007E-2</v>
      </c>
      <c r="L33" s="197"/>
      <c r="M33" s="197"/>
      <c r="N33" s="197"/>
      <c r="O33" s="197"/>
      <c r="P33" s="197"/>
      <c r="Q33" s="197"/>
      <c r="R33" s="197"/>
      <c r="S33" s="197"/>
      <c r="T33" s="197"/>
      <c r="U33" s="197"/>
      <c r="V33" s="197"/>
      <c r="W33" s="197"/>
      <c r="X33" s="197"/>
      <c r="Y33" s="197"/>
      <c r="Z33" s="197"/>
    </row>
    <row r="34" spans="1:26" s="352" customFormat="1" ht="13.5" customHeight="1">
      <c r="A34" s="339"/>
      <c r="B34" s="196"/>
      <c r="C34" s="196"/>
      <c r="D34" s="196"/>
      <c r="E34" s="196"/>
      <c r="F34" s="361"/>
      <c r="G34" s="361"/>
      <c r="H34" s="355"/>
      <c r="I34" s="355"/>
      <c r="J34" s="355"/>
      <c r="K34" s="355"/>
      <c r="L34" s="197"/>
      <c r="M34" s="197"/>
      <c r="N34" s="197"/>
      <c r="O34" s="197"/>
      <c r="P34" s="197"/>
      <c r="Q34" s="197"/>
      <c r="R34" s="197"/>
      <c r="S34" s="197"/>
      <c r="T34" s="197"/>
      <c r="U34" s="197"/>
      <c r="V34" s="197"/>
      <c r="W34" s="197"/>
      <c r="X34" s="197"/>
      <c r="Y34" s="197"/>
      <c r="Z34" s="197"/>
    </row>
    <row r="35" spans="1:26" ht="21" customHeight="1">
      <c r="A35" s="362" t="s">
        <v>696</v>
      </c>
      <c r="B35" s="178"/>
      <c r="C35" s="178"/>
      <c r="D35" s="178"/>
      <c r="E35" s="178"/>
      <c r="F35" s="178"/>
      <c r="G35" s="354"/>
      <c r="H35" s="178"/>
      <c r="I35" s="178"/>
      <c r="J35" s="178"/>
      <c r="K35" s="175"/>
      <c r="L35" s="175"/>
      <c r="M35" s="175"/>
      <c r="N35" s="175"/>
      <c r="O35" s="175"/>
      <c r="P35" s="175"/>
      <c r="Q35" s="175"/>
      <c r="R35" s="175"/>
      <c r="S35" s="175"/>
      <c r="T35" s="175"/>
      <c r="U35" s="175"/>
      <c r="V35" s="175"/>
      <c r="W35" s="175"/>
      <c r="X35" s="175"/>
      <c r="Y35" s="175"/>
      <c r="Z35" s="175"/>
    </row>
    <row r="36" spans="1:26" ht="13.5" customHeight="1">
      <c r="A36" s="377" t="s">
        <v>44</v>
      </c>
      <c r="B36" s="174">
        <f>B52-B3-B11</f>
        <v>1386804.200000003</v>
      </c>
      <c r="C36" s="174">
        <f>C52-C3-C11</f>
        <v>4325814.349999994</v>
      </c>
      <c r="D36" s="174">
        <f>D52-D3-D11</f>
        <v>10728295.620000001</v>
      </c>
      <c r="E36" s="174">
        <f>E52-E3-E11</f>
        <v>21275019.861199997</v>
      </c>
      <c r="F36" s="174">
        <f>F52-F3-F11-F19</f>
        <v>28216426.187827993</v>
      </c>
      <c r="G36" s="174">
        <f>G41*G40*12</f>
        <v>31981295.96882499</v>
      </c>
      <c r="H36" s="174">
        <f>H41*H40*12</f>
        <v>45204161.749115214</v>
      </c>
      <c r="I36" s="174">
        <f>I41*I40*12</f>
        <v>59998974.546933025</v>
      </c>
      <c r="J36" s="174">
        <f>J41*J40*12</f>
        <v>75809289.288269699</v>
      </c>
      <c r="K36" s="174">
        <f>K41*K40*12</f>
        <v>92129344.621161103</v>
      </c>
      <c r="L36" s="171"/>
      <c r="M36" s="171"/>
      <c r="N36" s="171"/>
      <c r="O36" s="171"/>
      <c r="P36" s="171"/>
      <c r="Q36" s="171"/>
      <c r="R36" s="171"/>
      <c r="S36" s="171"/>
      <c r="T36" s="171"/>
      <c r="U36" s="171"/>
      <c r="V36" s="171"/>
      <c r="W36" s="171"/>
      <c r="X36" s="171"/>
      <c r="Y36" s="171"/>
      <c r="Z36" s="171"/>
    </row>
    <row r="37" spans="1:26" s="343" customFormat="1" ht="13.5" customHeight="1">
      <c r="A37" s="339" t="s">
        <v>40</v>
      </c>
      <c r="B37" s="340"/>
      <c r="C37" s="341">
        <f t="shared" ref="C37:K37" si="5">(C36-B36)/B36</f>
        <v>2.1192682788240651</v>
      </c>
      <c r="D37" s="341">
        <f t="shared" si="5"/>
        <v>1.4800638104129493</v>
      </c>
      <c r="E37" s="341">
        <f t="shared" si="5"/>
        <v>0.9830754683473194</v>
      </c>
      <c r="F37" s="341">
        <f t="shared" si="5"/>
        <v>0.32627026305565443</v>
      </c>
      <c r="G37" s="341">
        <f t="shared" si="5"/>
        <v>0.13342830009496692</v>
      </c>
      <c r="H37" s="341">
        <f t="shared" si="5"/>
        <v>0.41345622119815673</v>
      </c>
      <c r="I37" s="341">
        <f t="shared" si="5"/>
        <v>0.32728873239436612</v>
      </c>
      <c r="J37" s="341">
        <f t="shared" si="5"/>
        <v>0.26350974930362125</v>
      </c>
      <c r="K37" s="341">
        <f t="shared" si="5"/>
        <v>0.21527777777777793</v>
      </c>
      <c r="L37" s="342"/>
      <c r="M37" s="342"/>
      <c r="N37" s="342"/>
      <c r="O37" s="342"/>
      <c r="P37" s="342"/>
      <c r="Q37" s="342"/>
      <c r="R37" s="342"/>
      <c r="S37" s="342"/>
      <c r="T37" s="342"/>
      <c r="U37" s="342"/>
      <c r="V37" s="342"/>
      <c r="W37" s="342"/>
      <c r="X37" s="342"/>
      <c r="Y37" s="342"/>
      <c r="Z37" s="342"/>
    </row>
    <row r="38" spans="1:26" ht="13.5" customHeight="1">
      <c r="A38" s="344" t="s">
        <v>691</v>
      </c>
      <c r="B38" s="345">
        <f>B40-B39</f>
        <v>48</v>
      </c>
      <c r="C38" s="345">
        <f t="shared" ref="C38:K38" si="6">B40</f>
        <v>283</v>
      </c>
      <c r="D38" s="345">
        <f t="shared" si="6"/>
        <v>405</v>
      </c>
      <c r="E38" s="345">
        <f t="shared" si="6"/>
        <v>1008</v>
      </c>
      <c r="F38" s="345">
        <f t="shared" si="6"/>
        <v>1719</v>
      </c>
      <c r="G38" s="345">
        <f t="shared" si="6"/>
        <v>2106</v>
      </c>
      <c r="H38" s="345">
        <f t="shared" si="6"/>
        <v>2170</v>
      </c>
      <c r="I38" s="345">
        <f t="shared" si="6"/>
        <v>2840</v>
      </c>
      <c r="J38" s="345">
        <f t="shared" si="6"/>
        <v>3590</v>
      </c>
      <c r="K38" s="345">
        <f t="shared" si="6"/>
        <v>4320</v>
      </c>
      <c r="L38" s="175"/>
      <c r="M38" s="175"/>
      <c r="N38" s="175"/>
      <c r="O38" s="175"/>
      <c r="P38" s="175"/>
      <c r="Q38" s="175"/>
      <c r="R38" s="175"/>
      <c r="S38" s="175"/>
      <c r="T38" s="175"/>
      <c r="U38" s="175"/>
      <c r="V38" s="175"/>
      <c r="W38" s="175"/>
      <c r="X38" s="175"/>
      <c r="Y38" s="175"/>
      <c r="Z38" s="175"/>
    </row>
    <row r="39" spans="1:26" ht="13.5" customHeight="1">
      <c r="A39" s="344" t="s">
        <v>692</v>
      </c>
      <c r="B39" s="345">
        <v>235</v>
      </c>
      <c r="C39" s="345">
        <f>C40-C38</f>
        <v>122</v>
      </c>
      <c r="D39" s="345">
        <f>D40-D38</f>
        <v>603</v>
      </c>
      <c r="E39" s="345">
        <f>E40-E38</f>
        <v>711</v>
      </c>
      <c r="F39" s="345">
        <f>F40-F38</f>
        <v>387</v>
      </c>
      <c r="G39" s="345">
        <v>64</v>
      </c>
      <c r="H39" s="345">
        <v>670</v>
      </c>
      <c r="I39" s="345">
        <v>750</v>
      </c>
      <c r="J39" s="345">
        <v>730</v>
      </c>
      <c r="K39" s="345">
        <v>680</v>
      </c>
      <c r="L39" s="175"/>
      <c r="M39" s="175"/>
      <c r="N39" s="175"/>
      <c r="O39" s="175"/>
      <c r="P39" s="175"/>
      <c r="Q39" s="175"/>
      <c r="R39" s="175"/>
      <c r="S39" s="175"/>
      <c r="T39" s="175"/>
      <c r="U39" s="175"/>
      <c r="V39" s="175"/>
      <c r="W39" s="175"/>
      <c r="X39" s="175"/>
      <c r="Y39" s="175"/>
      <c r="Z39" s="175"/>
    </row>
    <row r="40" spans="1:26" ht="13.5" customHeight="1">
      <c r="A40" s="344" t="s">
        <v>693</v>
      </c>
      <c r="B40" s="175">
        <v>283</v>
      </c>
      <c r="C40" s="175">
        <v>405</v>
      </c>
      <c r="D40" s="175">
        <v>1008</v>
      </c>
      <c r="E40" s="175">
        <v>1719</v>
      </c>
      <c r="F40" s="175">
        <v>2106</v>
      </c>
      <c r="G40" s="345">
        <f>SUM(G38:G39)</f>
        <v>2170</v>
      </c>
      <c r="H40" s="345">
        <f>SUM(H38:H39)</f>
        <v>2840</v>
      </c>
      <c r="I40" s="345">
        <f>SUM(I38:I39)</f>
        <v>3590</v>
      </c>
      <c r="J40" s="345">
        <f>SUM(J38:J39)</f>
        <v>4320</v>
      </c>
      <c r="K40" s="345">
        <f>SUM(K38:K39)</f>
        <v>5000</v>
      </c>
      <c r="L40" s="175"/>
      <c r="M40" s="175"/>
      <c r="N40" s="175"/>
      <c r="O40" s="175"/>
      <c r="P40" s="175"/>
      <c r="Q40" s="175"/>
      <c r="R40" s="175"/>
      <c r="S40" s="175"/>
      <c r="T40" s="175"/>
      <c r="U40" s="175"/>
      <c r="V40" s="175"/>
      <c r="W40" s="175"/>
      <c r="X40" s="175"/>
      <c r="Y40" s="175"/>
      <c r="Z40" s="175"/>
    </row>
    <row r="41" spans="1:26" ht="13.5" customHeight="1">
      <c r="A41" s="346" t="s">
        <v>694</v>
      </c>
      <c r="B41" s="178">
        <f>B36/B40/12</f>
        <v>408.36401648998913</v>
      </c>
      <c r="C41" s="178">
        <f>C36/C40/12</f>
        <v>890.08525720164482</v>
      </c>
      <c r="D41" s="178">
        <f>D36/D40/12</f>
        <v>886.92920138888894</v>
      </c>
      <c r="E41" s="178">
        <f>E36/E40/12</f>
        <v>1031.3660975955011</v>
      </c>
      <c r="F41" s="178">
        <f>F36/F40/12</f>
        <v>1116.5094249694521</v>
      </c>
      <c r="G41" s="178">
        <f>F41*(1+G42)</f>
        <v>1228.1603674663975</v>
      </c>
      <c r="H41" s="178">
        <f>G41*(1+H42)</f>
        <v>1326.4131968637093</v>
      </c>
      <c r="I41" s="178">
        <f>H41*(1+I42)</f>
        <v>1392.7338567068948</v>
      </c>
      <c r="J41" s="178">
        <f>I41*(1+J42)</f>
        <v>1462.3705495422396</v>
      </c>
      <c r="K41" s="178">
        <f>J41*(1+K42)</f>
        <v>1535.4890770193517</v>
      </c>
      <c r="L41" s="175"/>
      <c r="M41" s="175"/>
      <c r="N41" s="175"/>
      <c r="O41" s="175"/>
      <c r="P41" s="175"/>
      <c r="Q41" s="175"/>
      <c r="R41" s="175"/>
      <c r="S41" s="175"/>
      <c r="T41" s="175"/>
      <c r="U41" s="175"/>
      <c r="V41" s="175"/>
      <c r="W41" s="175"/>
      <c r="X41" s="175"/>
      <c r="Y41" s="175"/>
      <c r="Z41" s="175"/>
    </row>
    <row r="42" spans="1:26" s="352" customFormat="1" ht="13.5" customHeight="1">
      <c r="A42" s="347" t="s">
        <v>695</v>
      </c>
      <c r="B42" s="348"/>
      <c r="C42" s="348"/>
      <c r="D42" s="348"/>
      <c r="E42" s="348"/>
      <c r="F42" s="348"/>
      <c r="G42" s="349">
        <v>0.1</v>
      </c>
      <c r="H42" s="349">
        <v>0.08</v>
      </c>
      <c r="I42" s="349">
        <v>0.05</v>
      </c>
      <c r="J42" s="349">
        <v>0.05</v>
      </c>
      <c r="K42" s="349">
        <v>0.05</v>
      </c>
      <c r="L42" s="197"/>
      <c r="M42" s="197"/>
      <c r="N42" s="197"/>
      <c r="O42" s="197"/>
      <c r="P42" s="197"/>
      <c r="Q42" s="197"/>
      <c r="R42" s="197"/>
      <c r="S42" s="197"/>
      <c r="T42" s="197"/>
      <c r="U42" s="197"/>
      <c r="V42" s="197"/>
      <c r="W42" s="197"/>
      <c r="X42" s="197"/>
      <c r="Y42" s="197"/>
      <c r="Z42" s="197"/>
    </row>
    <row r="43" spans="1:26" ht="13.5" customHeight="1">
      <c r="A43" s="346"/>
      <c r="B43" s="178"/>
      <c r="C43" s="178"/>
      <c r="D43" s="178"/>
      <c r="E43" s="178"/>
      <c r="F43" s="178"/>
      <c r="G43" s="358"/>
      <c r="H43" s="358"/>
      <c r="I43" s="358"/>
      <c r="J43" s="358"/>
      <c r="K43" s="358"/>
      <c r="L43" s="175"/>
      <c r="M43" s="175"/>
      <c r="N43" s="175"/>
      <c r="O43" s="175"/>
      <c r="P43" s="175"/>
      <c r="Q43" s="175"/>
      <c r="R43" s="175"/>
      <c r="S43" s="175"/>
      <c r="T43" s="175"/>
      <c r="U43" s="175"/>
      <c r="V43" s="175"/>
      <c r="W43" s="175"/>
      <c r="X43" s="175"/>
      <c r="Y43" s="175"/>
      <c r="Z43" s="175"/>
    </row>
    <row r="44" spans="1:26" ht="21" customHeight="1">
      <c r="A44" s="363" t="s">
        <v>697</v>
      </c>
      <c r="B44" s="178"/>
      <c r="C44" s="178"/>
      <c r="D44" s="178"/>
      <c r="E44" s="178"/>
      <c r="F44" s="178"/>
      <c r="G44" s="178"/>
      <c r="H44" s="364"/>
      <c r="I44" s="178"/>
      <c r="J44" s="178"/>
      <c r="K44" s="175"/>
      <c r="L44" s="175"/>
      <c r="M44" s="175"/>
      <c r="N44" s="175"/>
      <c r="O44" s="175"/>
      <c r="P44" s="175"/>
      <c r="Q44" s="175"/>
      <c r="R44" s="175"/>
      <c r="S44" s="175"/>
      <c r="T44" s="175"/>
      <c r="U44" s="175"/>
      <c r="V44" s="175"/>
      <c r="W44" s="175"/>
      <c r="X44" s="175"/>
      <c r="Y44" s="175"/>
      <c r="Z44" s="175"/>
    </row>
    <row r="45" spans="1:26" ht="13.5" customHeight="1">
      <c r="A45" s="378" t="s">
        <v>13</v>
      </c>
      <c r="B45" s="174"/>
      <c r="C45" s="174"/>
      <c r="D45" s="174"/>
      <c r="E45" s="174" t="s">
        <v>42</v>
      </c>
      <c r="F45" s="174" t="s">
        <v>42</v>
      </c>
      <c r="G45" s="338">
        <f>G49*G50*12</f>
        <v>3768000</v>
      </c>
      <c r="H45" s="338">
        <f>H49*H50*12</f>
        <v>6784800</v>
      </c>
      <c r="I45" s="338">
        <f>I49*I50*12</f>
        <v>10186176.000000002</v>
      </c>
      <c r="J45" s="338">
        <f>J49*J50*12</f>
        <v>13888089.600000003</v>
      </c>
      <c r="K45" s="338">
        <f>K49*K50*12</f>
        <v>17633645.568000004</v>
      </c>
      <c r="L45" s="171"/>
      <c r="M45" s="171"/>
      <c r="N45" s="171"/>
      <c r="O45" s="171"/>
      <c r="P45" s="171"/>
      <c r="Q45" s="171"/>
      <c r="R45" s="171"/>
      <c r="S45" s="171"/>
      <c r="T45" s="171"/>
      <c r="U45" s="171"/>
      <c r="V45" s="171"/>
      <c r="W45" s="171"/>
      <c r="X45" s="171"/>
      <c r="Y45" s="171"/>
      <c r="Z45" s="171"/>
    </row>
    <row r="46" spans="1:26" ht="13.5" customHeight="1">
      <c r="A46" s="344" t="s">
        <v>40</v>
      </c>
      <c r="B46" s="178"/>
      <c r="C46" s="178"/>
      <c r="D46" s="178"/>
      <c r="E46" s="178"/>
      <c r="F46" s="178"/>
      <c r="G46" s="178"/>
      <c r="H46" s="358">
        <f>(H45/G45)-1</f>
        <v>0.80063694267515917</v>
      </c>
      <c r="I46" s="358">
        <f>(I45/H45)-1</f>
        <v>0.50132295719844389</v>
      </c>
      <c r="J46" s="358">
        <f>(J45/I45)-1</f>
        <v>0.36342525399129189</v>
      </c>
      <c r="K46" s="358">
        <f>(K45/J45)-1</f>
        <v>0.26969555035128812</v>
      </c>
      <c r="L46" s="175"/>
      <c r="M46" s="175"/>
      <c r="N46" s="175"/>
      <c r="O46" s="175"/>
      <c r="P46" s="175"/>
      <c r="Q46" s="175"/>
      <c r="R46" s="175"/>
      <c r="S46" s="175"/>
      <c r="T46" s="175"/>
      <c r="U46" s="175"/>
      <c r="V46" s="175"/>
      <c r="W46" s="175"/>
      <c r="X46" s="175"/>
      <c r="Y46" s="175"/>
      <c r="Z46" s="175"/>
    </row>
    <row r="47" spans="1:26" ht="13.5" customHeight="1">
      <c r="A47" s="344" t="s">
        <v>691</v>
      </c>
      <c r="B47" s="178">
        <v>0</v>
      </c>
      <c r="C47" s="345">
        <v>0</v>
      </c>
      <c r="D47" s="345">
        <f t="shared" ref="D47:K47" si="7">C49</f>
        <v>7</v>
      </c>
      <c r="E47" s="345">
        <f t="shared" si="7"/>
        <v>17</v>
      </c>
      <c r="F47" s="345">
        <f t="shared" si="7"/>
        <v>68</v>
      </c>
      <c r="G47" s="345">
        <f t="shared" si="7"/>
        <v>178</v>
      </c>
      <c r="H47" s="345">
        <f t="shared" si="7"/>
        <v>628</v>
      </c>
      <c r="I47" s="345">
        <f t="shared" si="7"/>
        <v>1028</v>
      </c>
      <c r="J47" s="345">
        <f t="shared" si="7"/>
        <v>1378</v>
      </c>
      <c r="K47" s="345">
        <f t="shared" si="7"/>
        <v>1708</v>
      </c>
      <c r="L47" s="175"/>
      <c r="M47" s="175"/>
      <c r="N47" s="175"/>
      <c r="O47" s="175"/>
      <c r="P47" s="175"/>
      <c r="Q47" s="175"/>
      <c r="R47" s="175"/>
      <c r="S47" s="175"/>
      <c r="T47" s="175"/>
      <c r="U47" s="175"/>
      <c r="V47" s="175"/>
      <c r="W47" s="175"/>
      <c r="X47" s="175"/>
      <c r="Y47" s="175"/>
      <c r="Z47" s="175"/>
    </row>
    <row r="48" spans="1:26" ht="13.5" customHeight="1">
      <c r="A48" s="344" t="s">
        <v>692</v>
      </c>
      <c r="B48" s="178">
        <v>0</v>
      </c>
      <c r="C48" s="345">
        <f>C49-C47</f>
        <v>7</v>
      </c>
      <c r="D48" s="345">
        <f>D49-D47</f>
        <v>10</v>
      </c>
      <c r="E48" s="345">
        <f>E49-E47</f>
        <v>51</v>
      </c>
      <c r="F48" s="345">
        <f>F49-F47</f>
        <v>110</v>
      </c>
      <c r="G48" s="345">
        <v>450</v>
      </c>
      <c r="H48" s="345">
        <v>400</v>
      </c>
      <c r="I48" s="345">
        <v>350</v>
      </c>
      <c r="J48" s="345">
        <v>330</v>
      </c>
      <c r="K48" s="345">
        <v>300</v>
      </c>
      <c r="L48" s="175"/>
      <c r="M48" s="175"/>
      <c r="N48" s="175"/>
      <c r="O48" s="175"/>
      <c r="P48" s="175"/>
      <c r="Q48" s="175"/>
      <c r="R48" s="175"/>
      <c r="S48" s="175"/>
      <c r="T48" s="175"/>
      <c r="U48" s="175"/>
      <c r="V48" s="175"/>
      <c r="W48" s="175"/>
      <c r="X48" s="175"/>
      <c r="Y48" s="175"/>
      <c r="Z48" s="175"/>
    </row>
    <row r="49" spans="1:26" ht="13.5" customHeight="1">
      <c r="A49" s="344" t="s">
        <v>693</v>
      </c>
      <c r="B49" s="178">
        <v>0</v>
      </c>
      <c r="C49" s="175">
        <v>7</v>
      </c>
      <c r="D49" s="175">
        <v>17</v>
      </c>
      <c r="E49" s="175">
        <v>68</v>
      </c>
      <c r="F49" s="175">
        <v>178</v>
      </c>
      <c r="G49" s="345">
        <f>SUM(G47:G48)</f>
        <v>628</v>
      </c>
      <c r="H49" s="345">
        <f>SUM(H47:H48)</f>
        <v>1028</v>
      </c>
      <c r="I49" s="345">
        <f>SUM(I47:I48)</f>
        <v>1378</v>
      </c>
      <c r="J49" s="345">
        <f>SUM(J47:J48)</f>
        <v>1708</v>
      </c>
      <c r="K49" s="345">
        <f>SUM(K47:K48)</f>
        <v>2008</v>
      </c>
      <c r="L49" s="175"/>
      <c r="M49" s="175"/>
      <c r="N49" s="175"/>
      <c r="O49" s="175"/>
      <c r="P49" s="175"/>
      <c r="Q49" s="175"/>
      <c r="R49" s="175"/>
      <c r="S49" s="175"/>
      <c r="T49" s="175"/>
      <c r="U49" s="175"/>
      <c r="V49" s="175"/>
      <c r="W49" s="175"/>
      <c r="X49" s="175"/>
      <c r="Y49" s="175"/>
      <c r="Z49" s="175"/>
    </row>
    <row r="50" spans="1:26" ht="13.5" customHeight="1">
      <c r="A50" s="346" t="s">
        <v>694</v>
      </c>
      <c r="B50" s="178"/>
      <c r="C50" s="178"/>
      <c r="D50" s="178"/>
      <c r="E50" s="178"/>
      <c r="F50" s="178"/>
      <c r="G50" s="345">
        <v>500</v>
      </c>
      <c r="H50" s="345">
        <f>G50*(1+H51)</f>
        <v>550</v>
      </c>
      <c r="I50" s="345">
        <f>H50*(1+I51)</f>
        <v>616.00000000000011</v>
      </c>
      <c r="J50" s="345">
        <f>I50*(1+J51)</f>
        <v>677.60000000000014</v>
      </c>
      <c r="K50" s="345">
        <f>J50*(1+K51)</f>
        <v>731.80800000000022</v>
      </c>
      <c r="L50" s="175"/>
      <c r="M50" s="175"/>
      <c r="N50" s="175"/>
      <c r="O50" s="175"/>
      <c r="P50" s="175"/>
      <c r="Q50" s="175"/>
      <c r="R50" s="175"/>
      <c r="S50" s="175"/>
      <c r="T50" s="175"/>
      <c r="U50" s="175"/>
      <c r="V50" s="175"/>
      <c r="W50" s="175"/>
      <c r="X50" s="175"/>
      <c r="Y50" s="175"/>
      <c r="Z50" s="175"/>
    </row>
    <row r="51" spans="1:26" s="352" customFormat="1" ht="13.5" customHeight="1">
      <c r="A51" s="365" t="s">
        <v>695</v>
      </c>
      <c r="B51" s="348"/>
      <c r="C51" s="348"/>
      <c r="D51" s="348"/>
      <c r="E51" s="348"/>
      <c r="F51" s="348"/>
      <c r="G51" s="348"/>
      <c r="H51" s="349">
        <v>0.1</v>
      </c>
      <c r="I51" s="349">
        <v>0.12</v>
      </c>
      <c r="J51" s="349">
        <v>0.1</v>
      </c>
      <c r="K51" s="349">
        <v>0.08</v>
      </c>
      <c r="L51" s="366"/>
      <c r="M51" s="197"/>
      <c r="N51" s="197"/>
      <c r="O51" s="197"/>
      <c r="P51" s="197"/>
      <c r="Q51" s="197"/>
      <c r="R51" s="197"/>
      <c r="S51" s="197"/>
      <c r="T51" s="197"/>
      <c r="U51" s="197"/>
      <c r="V51" s="197"/>
      <c r="W51" s="197"/>
      <c r="X51" s="197"/>
      <c r="Y51" s="197"/>
      <c r="Z51" s="197"/>
    </row>
    <row r="52" spans="1:26" ht="13.5" customHeight="1">
      <c r="A52" s="367" t="s">
        <v>45</v>
      </c>
      <c r="B52" s="368">
        <f>IS!B2</f>
        <v>66339804.200000003</v>
      </c>
      <c r="C52" s="368">
        <f>IS!C2</f>
        <v>86516287</v>
      </c>
      <c r="D52" s="368">
        <f>IS!D2</f>
        <v>102174244</v>
      </c>
      <c r="E52" s="368">
        <f>IS!E2</f>
        <v>108546019.7</v>
      </c>
      <c r="F52" s="368">
        <f>IS!F2</f>
        <v>122958106.09999999</v>
      </c>
      <c r="G52" s="368">
        <f>G45+G36+G27+G19+G11+G3</f>
        <v>152966854.41872773</v>
      </c>
      <c r="H52" s="368">
        <f>H45+H36+H27+H19+H11+H3</f>
        <v>188404935.07902077</v>
      </c>
      <c r="I52" s="368">
        <f>I45+I36+I27+I19+I11+I3</f>
        <v>214796852.91652524</v>
      </c>
      <c r="J52" s="368">
        <f>J45+J36+J27+J19+J11+J3</f>
        <v>240783800.808613</v>
      </c>
      <c r="K52" s="369">
        <f>K45+K36+K27+K19+K11+K3</f>
        <v>267580989.30453843</v>
      </c>
      <c r="L52" s="175"/>
      <c r="M52" s="175"/>
      <c r="N52" s="175"/>
      <c r="O52" s="175"/>
      <c r="P52" s="175"/>
      <c r="Q52" s="175"/>
      <c r="R52" s="175"/>
      <c r="S52" s="175"/>
      <c r="T52" s="175"/>
      <c r="U52" s="175"/>
      <c r="V52" s="175"/>
      <c r="W52" s="175"/>
      <c r="X52" s="175"/>
      <c r="Y52" s="175"/>
      <c r="Z52" s="175"/>
    </row>
    <row r="53" spans="1:26" s="343" customFormat="1" ht="13.5" customHeight="1">
      <c r="A53" s="370" t="s">
        <v>40</v>
      </c>
      <c r="B53" s="371"/>
      <c r="C53" s="372">
        <f t="shared" ref="C53:K53" si="8">(C52/B52)-1</f>
        <v>0.30413841348057513</v>
      </c>
      <c r="D53" s="372">
        <f t="shared" si="8"/>
        <v>0.1809827668633075</v>
      </c>
      <c r="E53" s="372">
        <f t="shared" si="8"/>
        <v>6.2361858043207041E-2</v>
      </c>
      <c r="F53" s="372">
        <f t="shared" si="8"/>
        <v>0.13277397402348035</v>
      </c>
      <c r="G53" s="372">
        <f t="shared" si="8"/>
        <v>0.24405668947374703</v>
      </c>
      <c r="H53" s="372">
        <f t="shared" si="8"/>
        <v>0.2316716310533895</v>
      </c>
      <c r="I53" s="372">
        <f t="shared" si="8"/>
        <v>0.14008082021012447</v>
      </c>
      <c r="J53" s="372">
        <f t="shared" si="8"/>
        <v>0.12098383909836352</v>
      </c>
      <c r="K53" s="372">
        <f t="shared" si="8"/>
        <v>0.11129149222636103</v>
      </c>
      <c r="L53" s="342"/>
      <c r="M53" s="342"/>
      <c r="N53" s="342"/>
      <c r="O53" s="342"/>
      <c r="P53" s="342"/>
      <c r="Q53" s="342"/>
      <c r="R53" s="342"/>
      <c r="S53" s="342"/>
      <c r="T53" s="342"/>
      <c r="U53" s="342"/>
      <c r="V53" s="342"/>
      <c r="W53" s="342"/>
      <c r="X53" s="342"/>
      <c r="Y53" s="342"/>
      <c r="Z53" s="342"/>
    </row>
    <row r="54" spans="1:26" ht="13.5" customHeight="1">
      <c r="F54" s="175"/>
      <c r="G54" s="175"/>
      <c r="H54" s="175"/>
      <c r="I54" s="175"/>
      <c r="J54" s="175"/>
      <c r="K54" s="175"/>
      <c r="L54" s="175"/>
      <c r="M54" s="175"/>
      <c r="N54" s="175"/>
      <c r="O54" s="175"/>
      <c r="P54" s="175"/>
      <c r="Q54" s="175"/>
      <c r="R54" s="175"/>
      <c r="S54" s="175"/>
      <c r="T54" s="175"/>
      <c r="U54" s="175"/>
      <c r="V54" s="175"/>
      <c r="W54" s="175"/>
      <c r="X54" s="175"/>
      <c r="Y54" s="175"/>
      <c r="Z54" s="175"/>
    </row>
    <row r="55" spans="1:26" ht="13.5" customHeight="1">
      <c r="J55" s="178"/>
      <c r="K55" s="175"/>
      <c r="L55" s="175"/>
      <c r="M55" s="175"/>
      <c r="N55" s="175"/>
      <c r="O55" s="175"/>
      <c r="P55" s="175"/>
      <c r="Q55" s="175"/>
      <c r="R55" s="175"/>
      <c r="S55" s="175"/>
      <c r="T55" s="175"/>
      <c r="U55" s="175"/>
      <c r="V55" s="175"/>
      <c r="W55" s="175"/>
      <c r="X55" s="175"/>
      <c r="Y55" s="175"/>
      <c r="Z55" s="175"/>
    </row>
    <row r="56" spans="1:26" ht="13.5" customHeight="1">
      <c r="J56" s="178"/>
      <c r="K56" s="175"/>
      <c r="L56" s="175"/>
      <c r="M56" s="175"/>
      <c r="N56" s="175"/>
      <c r="O56" s="175"/>
      <c r="P56" s="175"/>
      <c r="Q56" s="175"/>
      <c r="R56" s="175"/>
      <c r="S56" s="175"/>
      <c r="T56" s="175"/>
      <c r="U56" s="175"/>
      <c r="V56" s="175"/>
      <c r="W56" s="175"/>
      <c r="X56" s="175"/>
      <c r="Y56" s="175"/>
      <c r="Z56" s="175"/>
    </row>
    <row r="57" spans="1:26" ht="13.5" customHeight="1">
      <c r="J57" s="178"/>
      <c r="K57" s="175"/>
      <c r="L57" s="175"/>
      <c r="M57" s="175"/>
      <c r="N57" s="175"/>
      <c r="O57" s="175"/>
      <c r="P57" s="175"/>
      <c r="Q57" s="175"/>
      <c r="R57" s="175"/>
      <c r="S57" s="175"/>
      <c r="T57" s="175"/>
      <c r="U57" s="175"/>
      <c r="V57" s="175"/>
      <c r="W57" s="175"/>
      <c r="X57" s="175"/>
      <c r="Y57" s="175"/>
      <c r="Z57" s="175"/>
    </row>
    <row r="58" spans="1:26" ht="13.5" customHeight="1">
      <c r="J58" s="178"/>
      <c r="K58" s="175"/>
      <c r="L58" s="175"/>
      <c r="M58" s="175"/>
      <c r="N58" s="175"/>
      <c r="O58" s="175"/>
      <c r="P58" s="175"/>
      <c r="Q58" s="175"/>
      <c r="R58" s="175"/>
      <c r="S58" s="175"/>
      <c r="T58" s="175"/>
      <c r="U58" s="175"/>
      <c r="V58" s="175"/>
      <c r="W58" s="175"/>
      <c r="X58" s="175"/>
      <c r="Y58" s="175"/>
      <c r="Z58" s="175"/>
    </row>
    <row r="59" spans="1:26" ht="13.5" customHeight="1">
      <c r="J59" s="178"/>
      <c r="K59" s="175"/>
      <c r="L59" s="175"/>
      <c r="M59" s="175"/>
      <c r="N59" s="175"/>
      <c r="O59" s="175"/>
      <c r="P59" s="175"/>
      <c r="Q59" s="175"/>
      <c r="R59" s="175"/>
      <c r="S59" s="175"/>
      <c r="T59" s="175"/>
      <c r="U59" s="175"/>
      <c r="V59" s="175"/>
      <c r="W59" s="175"/>
      <c r="X59" s="175"/>
      <c r="Y59" s="175"/>
      <c r="Z59" s="175"/>
    </row>
    <row r="60" spans="1:26" ht="13.5" customHeight="1">
      <c r="J60" s="178"/>
      <c r="K60" s="175"/>
      <c r="L60" s="175"/>
      <c r="M60" s="175"/>
      <c r="N60" s="175"/>
      <c r="O60" s="175"/>
      <c r="P60" s="175"/>
      <c r="Q60" s="175"/>
      <c r="R60" s="175"/>
      <c r="S60" s="175"/>
      <c r="T60" s="175"/>
      <c r="U60" s="175"/>
      <c r="V60" s="175"/>
      <c r="W60" s="175"/>
      <c r="X60" s="175"/>
      <c r="Y60" s="175"/>
      <c r="Z60" s="175"/>
    </row>
    <row r="61" spans="1:26" ht="13.5" customHeight="1">
      <c r="J61" s="178"/>
      <c r="K61" s="175"/>
      <c r="L61" s="175"/>
      <c r="M61" s="175"/>
      <c r="N61" s="175"/>
      <c r="O61" s="175"/>
      <c r="P61" s="175"/>
      <c r="Q61" s="175"/>
      <c r="R61" s="175"/>
      <c r="S61" s="175"/>
      <c r="T61" s="175"/>
      <c r="U61" s="175"/>
      <c r="V61" s="175"/>
      <c r="W61" s="175"/>
      <c r="X61" s="175"/>
      <c r="Y61" s="175"/>
      <c r="Z61" s="175"/>
    </row>
    <row r="62" spans="1:26" ht="13.5" customHeight="1">
      <c r="J62" s="178"/>
      <c r="K62" s="175"/>
      <c r="L62" s="175"/>
      <c r="M62" s="175"/>
      <c r="N62" s="175"/>
      <c r="O62" s="175"/>
      <c r="P62" s="175"/>
      <c r="Q62" s="175"/>
      <c r="R62" s="175"/>
      <c r="S62" s="175"/>
      <c r="T62" s="175"/>
      <c r="U62" s="175"/>
      <c r="V62" s="175"/>
      <c r="W62" s="175"/>
      <c r="X62" s="175"/>
      <c r="Y62" s="175"/>
      <c r="Z62" s="175"/>
    </row>
    <row r="63" spans="1:26" ht="13.5" customHeight="1">
      <c r="J63" s="178"/>
      <c r="K63" s="175"/>
      <c r="L63" s="175"/>
      <c r="M63" s="175"/>
      <c r="N63" s="175"/>
      <c r="O63" s="175"/>
      <c r="P63" s="175"/>
      <c r="Q63" s="175"/>
      <c r="R63" s="175"/>
      <c r="S63" s="175"/>
      <c r="T63" s="175"/>
      <c r="U63" s="175"/>
      <c r="V63" s="175"/>
      <c r="W63" s="175"/>
      <c r="X63" s="175"/>
      <c r="Y63" s="175"/>
      <c r="Z63" s="175"/>
    </row>
    <row r="64" spans="1:26" ht="13.5" customHeight="1">
      <c r="A64" s="175"/>
      <c r="B64" s="178"/>
      <c r="C64" s="178"/>
      <c r="D64" s="178"/>
      <c r="E64" s="178"/>
      <c r="F64" s="178"/>
      <c r="G64" s="178"/>
      <c r="H64" s="178"/>
      <c r="I64" s="178"/>
      <c r="J64" s="178"/>
      <c r="K64" s="175"/>
      <c r="L64" s="175"/>
      <c r="M64" s="175"/>
      <c r="N64" s="175"/>
      <c r="O64" s="175"/>
      <c r="P64" s="175"/>
      <c r="Q64" s="175"/>
      <c r="R64" s="175"/>
      <c r="S64" s="175"/>
      <c r="T64" s="175"/>
      <c r="U64" s="175"/>
      <c r="V64" s="175"/>
      <c r="W64" s="175"/>
      <c r="X64" s="175"/>
      <c r="Y64" s="175"/>
      <c r="Z64" s="175"/>
    </row>
    <row r="65" spans="1:26" ht="13.5" customHeight="1">
      <c r="A65" s="175"/>
      <c r="B65" s="178"/>
      <c r="C65" s="178"/>
      <c r="D65" s="178"/>
      <c r="E65" s="178"/>
      <c r="F65" s="178"/>
      <c r="G65" s="178"/>
      <c r="H65" s="178"/>
      <c r="I65" s="178"/>
      <c r="J65" s="178"/>
      <c r="K65" s="175"/>
      <c r="L65" s="175"/>
      <c r="M65" s="175"/>
      <c r="N65" s="175"/>
      <c r="O65" s="175"/>
      <c r="P65" s="175"/>
      <c r="Q65" s="175"/>
      <c r="R65" s="175"/>
      <c r="S65" s="175"/>
      <c r="T65" s="175"/>
      <c r="U65" s="175"/>
      <c r="V65" s="175"/>
      <c r="W65" s="175"/>
      <c r="X65" s="175"/>
      <c r="Y65" s="175"/>
      <c r="Z65" s="175"/>
    </row>
    <row r="66" spans="1:26" ht="13.5" customHeight="1">
      <c r="A66" s="175"/>
      <c r="B66" s="175"/>
      <c r="C66" s="175"/>
      <c r="D66" s="175"/>
      <c r="E66" s="175"/>
      <c r="F66" s="175"/>
      <c r="G66" s="175"/>
      <c r="H66" s="175"/>
      <c r="I66" s="175"/>
      <c r="J66" s="175"/>
      <c r="K66" s="175"/>
      <c r="L66" s="175"/>
      <c r="M66" s="175"/>
      <c r="N66" s="175"/>
      <c r="O66" s="175"/>
      <c r="P66" s="175"/>
      <c r="Q66" s="175"/>
      <c r="R66" s="175"/>
      <c r="S66" s="175"/>
      <c r="T66" s="175"/>
      <c r="U66" s="175"/>
      <c r="V66" s="175"/>
      <c r="W66" s="175"/>
      <c r="X66" s="175"/>
      <c r="Y66" s="175"/>
      <c r="Z66" s="175"/>
    </row>
    <row r="67" spans="1:26" ht="13.5" customHeight="1">
      <c r="A67" s="175"/>
      <c r="B67" s="175"/>
      <c r="C67" s="175"/>
      <c r="D67" s="175"/>
      <c r="E67" s="175"/>
      <c r="F67" s="175"/>
      <c r="G67" s="175"/>
      <c r="H67" s="175"/>
      <c r="I67" s="175"/>
      <c r="J67" s="175"/>
      <c r="K67" s="175"/>
      <c r="L67" s="175"/>
      <c r="M67" s="175"/>
      <c r="N67" s="175"/>
      <c r="O67" s="175"/>
      <c r="P67" s="175"/>
      <c r="Q67" s="175"/>
      <c r="R67" s="175"/>
      <c r="S67" s="175"/>
      <c r="T67" s="175"/>
      <c r="U67" s="175"/>
      <c r="V67" s="175"/>
      <c r="W67" s="175"/>
      <c r="X67" s="175"/>
      <c r="Y67" s="175"/>
      <c r="Z67" s="175"/>
    </row>
    <row r="68" spans="1:26" ht="13.5" customHeight="1">
      <c r="A68" s="175"/>
      <c r="B68" s="175"/>
      <c r="C68" s="175"/>
      <c r="D68" s="175"/>
      <c r="E68" s="175"/>
      <c r="F68" s="175"/>
      <c r="G68" s="175"/>
      <c r="H68" s="175"/>
      <c r="I68" s="175"/>
      <c r="J68" s="175"/>
      <c r="K68" s="175"/>
      <c r="L68" s="175"/>
      <c r="M68" s="175"/>
      <c r="N68" s="175"/>
      <c r="O68" s="175"/>
      <c r="P68" s="175"/>
      <c r="Q68" s="175"/>
      <c r="R68" s="175"/>
      <c r="S68" s="175"/>
      <c r="T68" s="175"/>
      <c r="U68" s="175"/>
      <c r="V68" s="175"/>
      <c r="W68" s="175"/>
      <c r="X68" s="175"/>
      <c r="Y68" s="175"/>
      <c r="Z68" s="175"/>
    </row>
    <row r="69" spans="1:26" ht="13.5" customHeight="1">
      <c r="A69" s="175"/>
      <c r="B69" s="175"/>
      <c r="C69" s="175"/>
      <c r="D69" s="175"/>
      <c r="E69" s="175"/>
      <c r="F69" s="175"/>
      <c r="G69" s="175"/>
      <c r="H69" s="175"/>
      <c r="I69" s="175"/>
      <c r="J69" s="175"/>
      <c r="K69" s="175"/>
      <c r="L69" s="175"/>
      <c r="M69" s="175"/>
      <c r="N69" s="175"/>
      <c r="O69" s="175"/>
      <c r="P69" s="175"/>
      <c r="Q69" s="175"/>
      <c r="R69" s="175"/>
      <c r="S69" s="175"/>
      <c r="T69" s="175"/>
      <c r="U69" s="175"/>
      <c r="V69" s="175"/>
      <c r="W69" s="175"/>
      <c r="X69" s="175"/>
      <c r="Y69" s="175"/>
      <c r="Z69" s="175"/>
    </row>
    <row r="70" spans="1:26" ht="13.5" customHeight="1">
      <c r="A70" s="175"/>
      <c r="B70" s="175"/>
      <c r="C70" s="175"/>
      <c r="D70" s="175"/>
      <c r="E70" s="175"/>
      <c r="F70" s="175"/>
      <c r="G70" s="175"/>
      <c r="H70" s="175"/>
      <c r="I70" s="175"/>
      <c r="J70" s="175"/>
      <c r="K70" s="175"/>
      <c r="L70" s="175"/>
      <c r="M70" s="175"/>
      <c r="N70" s="175"/>
      <c r="O70" s="175"/>
      <c r="P70" s="175"/>
      <c r="Q70" s="175"/>
      <c r="R70" s="175"/>
      <c r="S70" s="175"/>
      <c r="T70" s="175"/>
      <c r="U70" s="175"/>
      <c r="V70" s="175"/>
      <c r="W70" s="175"/>
      <c r="X70" s="175"/>
      <c r="Y70" s="175"/>
      <c r="Z70" s="175"/>
    </row>
    <row r="71" spans="1:26" ht="13.5" customHeight="1">
      <c r="A71" s="175"/>
      <c r="B71" s="175"/>
      <c r="C71" s="175"/>
      <c r="D71" s="175"/>
      <c r="E71" s="175"/>
      <c r="F71" s="175"/>
      <c r="G71" s="175"/>
      <c r="H71" s="175"/>
      <c r="I71" s="175"/>
      <c r="J71" s="175"/>
      <c r="K71" s="175"/>
      <c r="L71" s="175"/>
      <c r="M71" s="175"/>
      <c r="N71" s="175"/>
      <c r="O71" s="175"/>
      <c r="P71" s="175"/>
      <c r="Q71" s="175"/>
      <c r="R71" s="175"/>
      <c r="S71" s="175"/>
      <c r="T71" s="175"/>
      <c r="U71" s="175"/>
      <c r="V71" s="175"/>
      <c r="W71" s="175"/>
      <c r="X71" s="175"/>
      <c r="Y71" s="175"/>
      <c r="Z71" s="175"/>
    </row>
    <row r="72" spans="1:26" ht="13.5" customHeight="1">
      <c r="A72" s="175"/>
      <c r="B72" s="175"/>
      <c r="C72" s="175"/>
      <c r="D72" s="175"/>
      <c r="E72" s="175"/>
      <c r="F72" s="175"/>
      <c r="G72" s="175"/>
      <c r="H72" s="175"/>
      <c r="I72" s="175"/>
      <c r="J72" s="175"/>
      <c r="K72" s="175"/>
      <c r="L72" s="175"/>
      <c r="M72" s="175"/>
      <c r="N72" s="175"/>
      <c r="O72" s="175"/>
      <c r="P72" s="175"/>
      <c r="Q72" s="175"/>
      <c r="R72" s="175"/>
      <c r="S72" s="175"/>
      <c r="T72" s="175"/>
      <c r="U72" s="175"/>
      <c r="V72" s="175"/>
      <c r="W72" s="175"/>
      <c r="X72" s="175"/>
      <c r="Y72" s="175"/>
      <c r="Z72" s="175"/>
    </row>
    <row r="73" spans="1:26" ht="13.5" customHeight="1">
      <c r="A73" s="175"/>
      <c r="B73" s="175"/>
      <c r="C73" s="175"/>
      <c r="D73" s="175"/>
      <c r="E73" s="175"/>
      <c r="F73" s="175"/>
      <c r="G73" s="175"/>
      <c r="H73" s="175"/>
      <c r="I73" s="175"/>
      <c r="J73" s="175"/>
      <c r="K73" s="175"/>
      <c r="L73" s="175"/>
      <c r="M73" s="175"/>
      <c r="N73" s="175"/>
      <c r="O73" s="175"/>
      <c r="P73" s="175"/>
      <c r="Q73" s="175"/>
      <c r="R73" s="175"/>
      <c r="S73" s="175"/>
      <c r="T73" s="175"/>
      <c r="U73" s="175"/>
      <c r="V73" s="175"/>
      <c r="W73" s="175"/>
      <c r="X73" s="175"/>
      <c r="Y73" s="175"/>
      <c r="Z73" s="175"/>
    </row>
    <row r="74" spans="1:26" ht="13.5" customHeight="1">
      <c r="A74" s="175"/>
      <c r="B74" s="175"/>
      <c r="C74" s="175"/>
      <c r="D74" s="175"/>
      <c r="E74" s="175"/>
      <c r="F74" s="175"/>
      <c r="G74" s="175"/>
      <c r="H74" s="175"/>
      <c r="I74" s="175"/>
      <c r="J74" s="175"/>
      <c r="K74" s="175"/>
      <c r="L74" s="175"/>
      <c r="M74" s="175"/>
      <c r="N74" s="175"/>
      <c r="O74" s="175"/>
      <c r="P74" s="175"/>
      <c r="Q74" s="175"/>
      <c r="R74" s="175"/>
      <c r="S74" s="175"/>
      <c r="T74" s="175"/>
      <c r="U74" s="175"/>
      <c r="V74" s="175"/>
      <c r="W74" s="175"/>
      <c r="X74" s="175"/>
      <c r="Y74" s="175"/>
      <c r="Z74" s="175"/>
    </row>
    <row r="75" spans="1:26" ht="13.5" customHeight="1">
      <c r="A75" s="175"/>
      <c r="B75" s="175"/>
      <c r="C75" s="175"/>
      <c r="D75" s="175"/>
      <c r="E75" s="175"/>
      <c r="F75" s="175"/>
      <c r="G75" s="175"/>
      <c r="H75" s="175"/>
      <c r="I75" s="175"/>
      <c r="J75" s="175"/>
      <c r="K75" s="175"/>
      <c r="L75" s="175"/>
      <c r="M75" s="175"/>
      <c r="N75" s="175"/>
      <c r="O75" s="175"/>
      <c r="P75" s="175"/>
      <c r="Q75" s="175"/>
      <c r="R75" s="175"/>
      <c r="S75" s="175"/>
      <c r="T75" s="175"/>
      <c r="U75" s="175"/>
      <c r="V75" s="175"/>
      <c r="W75" s="175"/>
      <c r="X75" s="175"/>
      <c r="Y75" s="175"/>
      <c r="Z75" s="175"/>
    </row>
    <row r="76" spans="1:26" ht="13.5" customHeight="1">
      <c r="A76" s="175"/>
      <c r="B76" s="175"/>
      <c r="C76" s="175"/>
      <c r="D76" s="175"/>
      <c r="E76" s="175"/>
      <c r="F76" s="175"/>
      <c r="G76" s="175"/>
      <c r="H76" s="175"/>
      <c r="I76" s="175"/>
      <c r="J76" s="175"/>
      <c r="K76" s="175"/>
      <c r="L76" s="175"/>
      <c r="M76" s="175"/>
      <c r="N76" s="175"/>
      <c r="O76" s="175"/>
      <c r="P76" s="175"/>
      <c r="Q76" s="175"/>
      <c r="R76" s="175"/>
      <c r="S76" s="175"/>
      <c r="T76" s="175"/>
      <c r="U76" s="175"/>
      <c r="V76" s="175"/>
      <c r="W76" s="175"/>
      <c r="X76" s="175"/>
      <c r="Y76" s="175"/>
      <c r="Z76" s="175"/>
    </row>
    <row r="77" spans="1:26" ht="13.5" customHeight="1">
      <c r="A77" s="175"/>
      <c r="B77" s="175"/>
      <c r="C77" s="175"/>
      <c r="D77" s="175"/>
      <c r="E77" s="175"/>
      <c r="F77" s="175"/>
      <c r="G77" s="175"/>
      <c r="H77" s="175"/>
      <c r="I77" s="175"/>
      <c r="J77" s="175"/>
      <c r="K77" s="175"/>
      <c r="L77" s="175"/>
      <c r="M77" s="175"/>
      <c r="N77" s="175"/>
      <c r="O77" s="175"/>
      <c r="P77" s="175"/>
      <c r="Q77" s="175"/>
      <c r="R77" s="175"/>
      <c r="S77" s="175"/>
      <c r="T77" s="175"/>
      <c r="U77" s="175"/>
      <c r="V77" s="175"/>
      <c r="W77" s="175"/>
      <c r="X77" s="175"/>
      <c r="Y77" s="175"/>
      <c r="Z77" s="175"/>
    </row>
    <row r="78" spans="1:26" ht="13.5" customHeight="1">
      <c r="A78" s="175"/>
      <c r="B78" s="175"/>
      <c r="C78" s="175"/>
      <c r="D78" s="175"/>
      <c r="E78" s="175"/>
      <c r="F78" s="175"/>
      <c r="G78" s="175"/>
      <c r="H78" s="175"/>
      <c r="I78" s="175"/>
      <c r="J78" s="175"/>
      <c r="K78" s="175"/>
      <c r="L78" s="175"/>
      <c r="M78" s="175"/>
      <c r="N78" s="175"/>
      <c r="O78" s="175"/>
      <c r="P78" s="175"/>
      <c r="Q78" s="175"/>
      <c r="R78" s="175"/>
      <c r="S78" s="175"/>
      <c r="T78" s="175"/>
      <c r="U78" s="175"/>
      <c r="V78" s="175"/>
      <c r="W78" s="175"/>
      <c r="X78" s="175"/>
      <c r="Y78" s="175"/>
      <c r="Z78" s="175"/>
    </row>
    <row r="79" spans="1:26" ht="13.5" customHeight="1">
      <c r="A79" s="175"/>
      <c r="B79" s="175"/>
      <c r="C79" s="175"/>
      <c r="D79" s="175"/>
      <c r="E79" s="175"/>
      <c r="F79" s="175"/>
      <c r="G79" s="175"/>
      <c r="H79" s="175"/>
      <c r="I79" s="175"/>
      <c r="J79" s="175"/>
      <c r="K79" s="175"/>
      <c r="L79" s="175"/>
      <c r="M79" s="175"/>
      <c r="N79" s="175"/>
      <c r="O79" s="175"/>
      <c r="P79" s="175"/>
      <c r="Q79" s="175"/>
      <c r="R79" s="175"/>
      <c r="S79" s="175"/>
      <c r="T79" s="175"/>
      <c r="U79" s="175"/>
      <c r="V79" s="175"/>
      <c r="W79" s="175"/>
      <c r="X79" s="175"/>
      <c r="Y79" s="175"/>
      <c r="Z79" s="175"/>
    </row>
    <row r="80" spans="1:26" ht="13.5" customHeight="1">
      <c r="A80" s="175"/>
      <c r="B80" s="175"/>
      <c r="C80" s="175"/>
      <c r="D80" s="175"/>
      <c r="E80" s="175"/>
      <c r="F80" s="175"/>
      <c r="G80" s="175"/>
      <c r="H80" s="175"/>
      <c r="I80" s="175"/>
      <c r="J80" s="175"/>
      <c r="K80" s="175"/>
      <c r="L80" s="175"/>
      <c r="M80" s="175"/>
      <c r="N80" s="175"/>
      <c r="O80" s="175"/>
      <c r="P80" s="175"/>
      <c r="Q80" s="175"/>
      <c r="R80" s="175"/>
      <c r="S80" s="175"/>
      <c r="T80" s="175"/>
      <c r="U80" s="175"/>
      <c r="V80" s="175"/>
      <c r="W80" s="175"/>
      <c r="X80" s="175"/>
      <c r="Y80" s="175"/>
      <c r="Z80" s="175"/>
    </row>
    <row r="81" spans="1:26" ht="13.5" customHeight="1">
      <c r="A81" s="175"/>
      <c r="B81" s="175"/>
      <c r="C81" s="175"/>
      <c r="D81" s="175"/>
      <c r="E81" s="175"/>
      <c r="F81" s="175"/>
      <c r="G81" s="175"/>
      <c r="H81" s="175"/>
      <c r="I81" s="175"/>
      <c r="J81" s="175"/>
      <c r="K81" s="175"/>
      <c r="L81" s="175"/>
      <c r="M81" s="175"/>
      <c r="N81" s="175"/>
      <c r="O81" s="175"/>
      <c r="P81" s="175"/>
      <c r="Q81" s="175"/>
      <c r="R81" s="175"/>
      <c r="S81" s="175"/>
      <c r="T81" s="175"/>
      <c r="U81" s="175"/>
      <c r="V81" s="175"/>
      <c r="W81" s="175"/>
      <c r="X81" s="175"/>
      <c r="Y81" s="175"/>
      <c r="Z81" s="175"/>
    </row>
    <row r="82" spans="1:26" ht="13.5" customHeight="1">
      <c r="A82" s="175"/>
      <c r="B82" s="175"/>
      <c r="C82" s="175"/>
      <c r="D82" s="175"/>
      <c r="E82" s="175"/>
      <c r="F82" s="175"/>
      <c r="G82" s="175"/>
      <c r="H82" s="175"/>
      <c r="I82" s="175"/>
      <c r="J82" s="175"/>
      <c r="K82" s="175"/>
      <c r="L82" s="175"/>
      <c r="M82" s="175"/>
      <c r="N82" s="175"/>
      <c r="O82" s="175"/>
      <c r="P82" s="175"/>
      <c r="Q82" s="175"/>
      <c r="R82" s="175"/>
      <c r="S82" s="175"/>
      <c r="T82" s="175"/>
      <c r="U82" s="175"/>
      <c r="V82" s="175"/>
      <c r="W82" s="175"/>
      <c r="X82" s="175"/>
      <c r="Y82" s="175"/>
      <c r="Z82" s="175"/>
    </row>
    <row r="83" spans="1:26" ht="13.5" customHeight="1">
      <c r="A83" s="175"/>
      <c r="B83" s="175"/>
      <c r="C83" s="175"/>
      <c r="D83" s="175"/>
      <c r="E83" s="175"/>
      <c r="F83" s="175"/>
      <c r="G83" s="175"/>
      <c r="H83" s="175"/>
      <c r="I83" s="175"/>
      <c r="J83" s="175"/>
      <c r="K83" s="175"/>
      <c r="L83" s="175"/>
      <c r="M83" s="175"/>
      <c r="N83" s="175"/>
      <c r="O83" s="175"/>
      <c r="P83" s="175"/>
      <c r="Q83" s="175"/>
      <c r="R83" s="175"/>
      <c r="S83" s="175"/>
      <c r="T83" s="175"/>
      <c r="U83" s="175"/>
      <c r="V83" s="175"/>
      <c r="W83" s="175"/>
      <c r="X83" s="175"/>
      <c r="Y83" s="175"/>
      <c r="Z83" s="175"/>
    </row>
    <row r="84" spans="1:26" ht="13.5" customHeight="1">
      <c r="A84" s="175"/>
      <c r="B84" s="175"/>
      <c r="C84" s="175"/>
      <c r="D84" s="175"/>
      <c r="E84" s="175"/>
      <c r="F84" s="175"/>
      <c r="G84" s="175"/>
      <c r="H84" s="175"/>
      <c r="I84" s="175"/>
      <c r="J84" s="175"/>
      <c r="K84" s="175"/>
      <c r="L84" s="175"/>
      <c r="M84" s="175"/>
      <c r="N84" s="175"/>
      <c r="O84" s="175"/>
      <c r="P84" s="175"/>
      <c r="Q84" s="175"/>
      <c r="R84" s="175"/>
      <c r="S84" s="175"/>
      <c r="T84" s="175"/>
      <c r="U84" s="175"/>
      <c r="V84" s="175"/>
      <c r="W84" s="175"/>
      <c r="X84" s="175"/>
      <c r="Y84" s="175"/>
      <c r="Z84" s="175"/>
    </row>
    <row r="85" spans="1:26" ht="13.5" customHeight="1">
      <c r="A85" s="175"/>
      <c r="B85" s="175"/>
      <c r="C85" s="175"/>
      <c r="D85" s="175"/>
      <c r="E85" s="175"/>
      <c r="F85" s="175"/>
      <c r="G85" s="175"/>
      <c r="H85" s="175"/>
      <c r="I85" s="175"/>
      <c r="J85" s="175"/>
      <c r="K85" s="175"/>
      <c r="L85" s="175"/>
      <c r="M85" s="175"/>
      <c r="N85" s="175"/>
      <c r="O85" s="175"/>
      <c r="P85" s="175"/>
      <c r="Q85" s="175"/>
      <c r="R85" s="175"/>
      <c r="S85" s="175"/>
      <c r="T85" s="175"/>
      <c r="U85" s="175"/>
      <c r="V85" s="175"/>
      <c r="W85" s="175"/>
      <c r="X85" s="175"/>
      <c r="Y85" s="175"/>
      <c r="Z85" s="175"/>
    </row>
    <row r="86" spans="1:26" ht="13.5" customHeight="1">
      <c r="A86" s="175"/>
      <c r="B86" s="175"/>
      <c r="C86" s="175"/>
      <c r="D86" s="175"/>
      <c r="E86" s="175"/>
      <c r="F86" s="175"/>
      <c r="G86" s="175"/>
      <c r="H86" s="175"/>
      <c r="I86" s="175"/>
      <c r="J86" s="175"/>
      <c r="K86" s="175"/>
      <c r="L86" s="175"/>
      <c r="M86" s="175"/>
      <c r="N86" s="175"/>
      <c r="O86" s="175"/>
      <c r="P86" s="175"/>
      <c r="Q86" s="175"/>
      <c r="R86" s="175"/>
      <c r="S86" s="175"/>
      <c r="T86" s="175"/>
      <c r="U86" s="175"/>
      <c r="V86" s="175"/>
      <c r="W86" s="175"/>
      <c r="X86" s="175"/>
      <c r="Y86" s="175"/>
      <c r="Z86" s="175"/>
    </row>
    <row r="87" spans="1:26" ht="13.5" customHeight="1">
      <c r="A87" s="175"/>
      <c r="B87" s="175"/>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75"/>
    </row>
    <row r="88" spans="1:26" ht="13.5" customHeight="1">
      <c r="A88" s="175"/>
      <c r="B88" s="175"/>
      <c r="C88" s="175"/>
      <c r="D88" s="175"/>
      <c r="E88" s="175"/>
      <c r="F88" s="175"/>
      <c r="G88" s="175"/>
      <c r="H88" s="175"/>
      <c r="I88" s="175"/>
      <c r="J88" s="175"/>
      <c r="K88" s="175"/>
      <c r="L88" s="175"/>
      <c r="M88" s="175"/>
      <c r="N88" s="175"/>
      <c r="O88" s="175"/>
      <c r="P88" s="175"/>
      <c r="Q88" s="175"/>
      <c r="R88" s="175"/>
      <c r="S88" s="175"/>
      <c r="T88" s="175"/>
      <c r="U88" s="175"/>
      <c r="V88" s="175"/>
      <c r="W88" s="175"/>
      <c r="X88" s="175"/>
      <c r="Y88" s="175"/>
      <c r="Z88" s="175"/>
    </row>
    <row r="89" spans="1:26" ht="13.5" customHeight="1">
      <c r="A89" s="175"/>
      <c r="B89" s="175"/>
      <c r="C89" s="175"/>
      <c r="D89" s="175"/>
      <c r="E89" s="175"/>
      <c r="F89" s="175"/>
      <c r="G89" s="175"/>
      <c r="H89" s="175"/>
      <c r="I89" s="175"/>
      <c r="J89" s="175"/>
      <c r="K89" s="175"/>
      <c r="L89" s="175"/>
      <c r="M89" s="175"/>
      <c r="N89" s="175"/>
      <c r="O89" s="175"/>
      <c r="P89" s="175"/>
      <c r="Q89" s="175"/>
      <c r="R89" s="175"/>
      <c r="S89" s="175"/>
      <c r="T89" s="175"/>
      <c r="U89" s="175"/>
      <c r="V89" s="175"/>
      <c r="W89" s="175"/>
      <c r="X89" s="175"/>
      <c r="Y89" s="175"/>
      <c r="Z89" s="175"/>
    </row>
    <row r="90" spans="1:26" ht="13.5" customHeight="1">
      <c r="A90" s="175"/>
      <c r="B90" s="175"/>
      <c r="C90" s="175"/>
      <c r="D90" s="175"/>
      <c r="E90" s="175"/>
      <c r="F90" s="175"/>
      <c r="G90" s="175"/>
      <c r="H90" s="175"/>
      <c r="I90" s="175"/>
      <c r="J90" s="175"/>
      <c r="K90" s="175"/>
      <c r="L90" s="175"/>
      <c r="M90" s="175"/>
      <c r="N90" s="175"/>
      <c r="O90" s="175"/>
      <c r="P90" s="175"/>
      <c r="Q90" s="175"/>
      <c r="R90" s="175"/>
      <c r="S90" s="175"/>
      <c r="T90" s="175"/>
      <c r="U90" s="175"/>
      <c r="V90" s="175"/>
      <c r="W90" s="175"/>
      <c r="X90" s="175"/>
      <c r="Y90" s="175"/>
      <c r="Z90" s="175"/>
    </row>
    <row r="91" spans="1:26" ht="13.5" customHeight="1">
      <c r="A91" s="175"/>
      <c r="B91" s="175"/>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5"/>
    </row>
    <row r="92" spans="1:26" ht="13.5" customHeight="1">
      <c r="A92" s="175"/>
      <c r="B92" s="175"/>
      <c r="C92" s="175"/>
      <c r="D92" s="175"/>
      <c r="E92" s="175"/>
      <c r="F92" s="175"/>
      <c r="G92" s="175"/>
      <c r="H92" s="175"/>
      <c r="I92" s="175"/>
      <c r="J92" s="175"/>
      <c r="K92" s="175"/>
      <c r="L92" s="175"/>
      <c r="M92" s="175"/>
      <c r="N92" s="175"/>
      <c r="O92" s="175"/>
      <c r="P92" s="175"/>
      <c r="Q92" s="175"/>
      <c r="R92" s="175"/>
      <c r="S92" s="175"/>
      <c r="T92" s="175"/>
      <c r="U92" s="175"/>
      <c r="V92" s="175"/>
      <c r="W92" s="175"/>
      <c r="X92" s="175"/>
      <c r="Y92" s="175"/>
      <c r="Z92" s="175"/>
    </row>
    <row r="93" spans="1:26" ht="13.5" customHeight="1">
      <c r="A93" s="175"/>
      <c r="B93" s="175"/>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5"/>
    </row>
    <row r="94" spans="1:26" ht="13.5" customHeight="1">
      <c r="A94" s="175"/>
      <c r="B94" s="175"/>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75"/>
    </row>
    <row r="95" spans="1:26" ht="13.5" customHeight="1">
      <c r="A95" s="175"/>
      <c r="B95" s="175"/>
      <c r="C95" s="175"/>
      <c r="D95" s="175"/>
      <c r="E95" s="175"/>
      <c r="F95" s="175"/>
      <c r="G95" s="175"/>
      <c r="H95" s="175"/>
      <c r="I95" s="175"/>
      <c r="J95" s="175"/>
      <c r="K95" s="175"/>
      <c r="L95" s="175"/>
      <c r="M95" s="175"/>
      <c r="N95" s="175"/>
      <c r="O95" s="175"/>
      <c r="P95" s="175"/>
      <c r="Q95" s="175"/>
      <c r="R95" s="175"/>
      <c r="S95" s="175"/>
      <c r="T95" s="175"/>
      <c r="U95" s="175"/>
      <c r="V95" s="175"/>
      <c r="W95" s="175"/>
      <c r="X95" s="175"/>
      <c r="Y95" s="175"/>
      <c r="Z95" s="175"/>
    </row>
    <row r="96" spans="1:26" ht="13.5" customHeight="1">
      <c r="A96" s="175"/>
      <c r="B96" s="175"/>
      <c r="C96" s="175"/>
      <c r="D96" s="175"/>
      <c r="E96" s="175"/>
      <c r="F96" s="175"/>
      <c r="G96" s="175"/>
      <c r="H96" s="175"/>
      <c r="I96" s="175"/>
      <c r="J96" s="175"/>
      <c r="K96" s="175"/>
      <c r="L96" s="175"/>
      <c r="M96" s="175"/>
      <c r="N96" s="175"/>
      <c r="O96" s="175"/>
      <c r="P96" s="175"/>
      <c r="Q96" s="175"/>
      <c r="R96" s="175"/>
      <c r="S96" s="175"/>
      <c r="T96" s="175"/>
      <c r="U96" s="175"/>
      <c r="V96" s="175"/>
      <c r="W96" s="175"/>
      <c r="X96" s="175"/>
      <c r="Y96" s="175"/>
      <c r="Z96" s="175"/>
    </row>
    <row r="97" spans="1:26" ht="13.5" customHeight="1">
      <c r="A97" s="175"/>
      <c r="B97" s="175"/>
      <c r="C97" s="175"/>
      <c r="D97" s="175"/>
      <c r="E97" s="175"/>
      <c r="F97" s="175"/>
      <c r="G97" s="175"/>
      <c r="H97" s="175"/>
      <c r="I97" s="175"/>
      <c r="J97" s="175"/>
      <c r="K97" s="175"/>
      <c r="L97" s="175"/>
      <c r="M97" s="175"/>
      <c r="N97" s="175"/>
      <c r="O97" s="175"/>
      <c r="P97" s="175"/>
      <c r="Q97" s="175"/>
      <c r="R97" s="175"/>
      <c r="S97" s="175"/>
      <c r="T97" s="175"/>
      <c r="U97" s="175"/>
      <c r="V97" s="175"/>
      <c r="W97" s="175"/>
      <c r="X97" s="175"/>
      <c r="Y97" s="175"/>
      <c r="Z97" s="175"/>
    </row>
    <row r="98" spans="1:26" ht="13.5" customHeight="1">
      <c r="A98" s="175"/>
      <c r="B98" s="175"/>
      <c r="C98" s="175"/>
      <c r="D98" s="175"/>
      <c r="E98" s="175"/>
      <c r="F98" s="175"/>
      <c r="G98" s="175"/>
      <c r="H98" s="175"/>
      <c r="I98" s="175"/>
      <c r="J98" s="175"/>
      <c r="K98" s="175"/>
      <c r="L98" s="175"/>
      <c r="M98" s="175"/>
      <c r="N98" s="175"/>
      <c r="O98" s="175"/>
      <c r="P98" s="175"/>
      <c r="Q98" s="175"/>
      <c r="R98" s="175"/>
      <c r="S98" s="175"/>
      <c r="T98" s="175"/>
      <c r="U98" s="175"/>
      <c r="V98" s="175"/>
      <c r="W98" s="175"/>
      <c r="X98" s="175"/>
      <c r="Y98" s="175"/>
      <c r="Z98" s="175"/>
    </row>
    <row r="99" spans="1:26" ht="13.5" customHeight="1">
      <c r="A99" s="175"/>
      <c r="B99" s="175"/>
      <c r="C99" s="175"/>
      <c r="D99" s="175"/>
      <c r="E99" s="175"/>
      <c r="F99" s="175"/>
      <c r="G99" s="175"/>
      <c r="H99" s="175"/>
      <c r="I99" s="175"/>
      <c r="J99" s="175"/>
      <c r="K99" s="175"/>
      <c r="L99" s="175"/>
      <c r="M99" s="175"/>
      <c r="N99" s="175"/>
      <c r="O99" s="175"/>
      <c r="P99" s="175"/>
      <c r="Q99" s="175"/>
      <c r="R99" s="175"/>
      <c r="S99" s="175"/>
      <c r="T99" s="175"/>
      <c r="U99" s="175"/>
      <c r="V99" s="175"/>
      <c r="W99" s="175"/>
      <c r="X99" s="175"/>
      <c r="Y99" s="175"/>
      <c r="Z99" s="175"/>
    </row>
    <row r="100" spans="1:26" ht="13.5" customHeight="1">
      <c r="A100" s="175"/>
      <c r="B100" s="175"/>
      <c r="C100" s="175"/>
      <c r="D100" s="175"/>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row>
    <row r="101" spans="1:26" ht="13.5" customHeight="1">
      <c r="A101" s="175"/>
      <c r="B101" s="175"/>
      <c r="C101" s="175"/>
      <c r="D101" s="175"/>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row>
    <row r="102" spans="1:26" ht="13.5" customHeight="1">
      <c r="A102" s="175"/>
      <c r="B102" s="175"/>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row>
    <row r="103" spans="1:26" ht="13.5" customHeight="1">
      <c r="A103" s="175"/>
      <c r="B103" s="175"/>
      <c r="C103" s="175"/>
      <c r="D103" s="175"/>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row>
    <row r="104" spans="1:26" ht="13.5" customHeight="1">
      <c r="A104" s="175"/>
      <c r="B104" s="175"/>
      <c r="C104" s="175"/>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row>
    <row r="105" spans="1:26" ht="13.5" customHeight="1">
      <c r="A105" s="175"/>
      <c r="B105" s="175"/>
      <c r="C105" s="175"/>
      <c r="D105" s="175"/>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row>
    <row r="106" spans="1:26" ht="13.5" customHeight="1">
      <c r="A106" s="175"/>
      <c r="B106" s="175"/>
      <c r="C106" s="175"/>
      <c r="D106" s="175"/>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row>
    <row r="107" spans="1:26" ht="13.5" customHeight="1">
      <c r="A107" s="175"/>
      <c r="B107" s="175"/>
      <c r="C107" s="175"/>
      <c r="D107" s="175"/>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row>
    <row r="108" spans="1:26" ht="13.5" customHeight="1">
      <c r="A108" s="175"/>
      <c r="B108" s="175"/>
      <c r="C108" s="175"/>
      <c r="D108" s="175"/>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row>
    <row r="109" spans="1:26" ht="13.5" customHeight="1">
      <c r="A109" s="175"/>
      <c r="B109" s="175"/>
      <c r="C109" s="175"/>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row>
    <row r="110" spans="1:26" ht="13.5" customHeight="1">
      <c r="A110" s="175"/>
      <c r="B110" s="175"/>
      <c r="C110" s="175"/>
      <c r="D110" s="175"/>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row>
    <row r="111" spans="1:26" ht="13.5" customHeight="1">
      <c r="A111" s="175"/>
      <c r="B111" s="175"/>
      <c r="C111" s="175"/>
      <c r="D111" s="175"/>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row>
    <row r="112" spans="1:26" ht="13.5" customHeight="1">
      <c r="A112" s="175"/>
      <c r="B112" s="175"/>
      <c r="C112" s="175"/>
      <c r="D112" s="175"/>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row>
    <row r="113" spans="1:26" ht="13.5" customHeight="1">
      <c r="A113" s="175"/>
      <c r="B113" s="175"/>
      <c r="C113" s="175"/>
      <c r="D113" s="175"/>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row>
    <row r="114" spans="1:26" ht="13.5" customHeight="1">
      <c r="A114" s="175"/>
      <c r="B114" s="175"/>
      <c r="C114" s="175"/>
      <c r="D114" s="175"/>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row>
    <row r="115" spans="1:26" ht="13.5" customHeight="1">
      <c r="A115" s="175"/>
      <c r="B115" s="175"/>
      <c r="C115" s="175"/>
      <c r="D115" s="175"/>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row>
    <row r="116" spans="1:26" ht="13.5" customHeight="1">
      <c r="A116" s="175"/>
      <c r="B116" s="175"/>
      <c r="C116" s="175"/>
      <c r="D116" s="175"/>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row>
    <row r="117" spans="1:26" ht="13.5" customHeight="1">
      <c r="A117" s="175"/>
      <c r="B117" s="175"/>
      <c r="C117" s="175"/>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row>
    <row r="118" spans="1:26" ht="13.5" customHeight="1">
      <c r="A118" s="175"/>
      <c r="B118" s="175"/>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row>
    <row r="119" spans="1:26" ht="13.5" customHeight="1">
      <c r="A119" s="175"/>
      <c r="B119" s="175"/>
      <c r="C119" s="175"/>
      <c r="D119" s="175"/>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row>
    <row r="120" spans="1:26" ht="13.5" customHeight="1">
      <c r="A120" s="175"/>
      <c r="B120" s="175"/>
      <c r="C120" s="175"/>
      <c r="D120" s="175"/>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row>
    <row r="121" spans="1:26" ht="13.5" customHeight="1">
      <c r="A121" s="175"/>
      <c r="B121" s="175"/>
      <c r="C121" s="175"/>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row>
    <row r="122" spans="1:26" ht="13.5" customHeight="1">
      <c r="A122" s="175"/>
      <c r="B122" s="175"/>
      <c r="C122" s="175"/>
      <c r="D122" s="175"/>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row>
    <row r="123" spans="1:26" ht="13.5" customHeight="1">
      <c r="A123" s="175"/>
      <c r="B123" s="175"/>
      <c r="C123" s="175"/>
      <c r="D123" s="175"/>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row>
    <row r="124" spans="1:26" ht="13.5" customHeight="1">
      <c r="A124" s="175"/>
      <c r="B124" s="175"/>
      <c r="C124" s="175"/>
      <c r="D124" s="175"/>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row>
    <row r="125" spans="1:26" ht="13.5" customHeight="1">
      <c r="A125" s="175"/>
      <c r="B125" s="175"/>
      <c r="C125" s="175"/>
      <c r="D125" s="175"/>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row>
    <row r="126" spans="1:26" ht="13.5" customHeight="1">
      <c r="A126" s="175"/>
      <c r="B126" s="175"/>
      <c r="C126" s="175"/>
      <c r="D126" s="175"/>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row>
    <row r="127" spans="1:26" ht="13.5" customHeight="1">
      <c r="A127" s="175"/>
      <c r="B127" s="175"/>
      <c r="C127" s="175"/>
      <c r="D127" s="175"/>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row>
    <row r="128" spans="1:26" ht="13.5" customHeight="1">
      <c r="A128" s="175"/>
      <c r="B128" s="175"/>
      <c r="C128" s="175"/>
      <c r="D128" s="175"/>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row>
    <row r="129" spans="1:26" ht="13.5" customHeight="1">
      <c r="A129" s="175"/>
      <c r="B129" s="175"/>
      <c r="C129" s="175"/>
      <c r="D129" s="175"/>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row>
    <row r="130" spans="1:26" ht="13.5" customHeight="1">
      <c r="A130" s="175"/>
      <c r="B130" s="175"/>
      <c r="C130" s="175"/>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row>
    <row r="131" spans="1:26" ht="13.5" customHeight="1">
      <c r="A131" s="175"/>
      <c r="B131" s="175"/>
      <c r="C131" s="175"/>
      <c r="D131" s="175"/>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row>
    <row r="132" spans="1:26" ht="13.5" customHeight="1">
      <c r="A132" s="175"/>
      <c r="B132" s="175"/>
      <c r="C132" s="175"/>
      <c r="D132" s="175"/>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row>
    <row r="133" spans="1:26" ht="13.5" customHeight="1">
      <c r="A133" s="175"/>
      <c r="B133" s="175"/>
      <c r="C133" s="175"/>
      <c r="D133" s="175"/>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row>
    <row r="134" spans="1:26" ht="13.5" customHeight="1">
      <c r="A134" s="175"/>
      <c r="B134" s="175"/>
      <c r="C134" s="175"/>
      <c r="D134" s="175"/>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row>
    <row r="135" spans="1:26" ht="13.5" customHeight="1">
      <c r="A135" s="175"/>
      <c r="B135" s="175"/>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row>
    <row r="136" spans="1:26" ht="13.5" customHeight="1">
      <c r="A136" s="175"/>
      <c r="B136" s="175"/>
      <c r="C136" s="175"/>
      <c r="D136" s="175"/>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row>
    <row r="137" spans="1:26" ht="13.5" customHeight="1">
      <c r="A137" s="175"/>
      <c r="B137" s="175"/>
      <c r="C137" s="175"/>
      <c r="D137" s="175"/>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row>
    <row r="138" spans="1:26" ht="13.5" customHeight="1">
      <c r="A138" s="175"/>
      <c r="B138" s="175"/>
      <c r="C138" s="175"/>
      <c r="D138" s="175"/>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row>
    <row r="139" spans="1:26" ht="13.5" customHeight="1">
      <c r="A139" s="175"/>
      <c r="B139" s="175"/>
      <c r="C139" s="175"/>
      <c r="D139" s="175"/>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row>
    <row r="140" spans="1:26" ht="13.5" customHeight="1">
      <c r="A140" s="175"/>
      <c r="B140" s="175"/>
      <c r="C140" s="175"/>
      <c r="D140" s="175"/>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row>
    <row r="141" spans="1:26" ht="13.5" customHeight="1">
      <c r="A141" s="175"/>
      <c r="B141" s="175"/>
      <c r="C141" s="175"/>
      <c r="D141" s="175"/>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row>
    <row r="142" spans="1:26" ht="13.5" customHeight="1">
      <c r="A142" s="175"/>
      <c r="B142" s="175"/>
      <c r="C142" s="175"/>
      <c r="D142" s="175"/>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row>
    <row r="143" spans="1:26" ht="13.5" customHeight="1">
      <c r="A143" s="175"/>
      <c r="B143" s="175"/>
      <c r="C143" s="175"/>
      <c r="D143" s="175"/>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row>
    <row r="144" spans="1:26" ht="13.5" customHeight="1">
      <c r="A144" s="175"/>
      <c r="B144" s="175"/>
      <c r="C144" s="175"/>
      <c r="D144" s="175"/>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row>
    <row r="145" spans="1:26" ht="13.5" customHeight="1">
      <c r="A145" s="175"/>
      <c r="B145" s="175"/>
      <c r="C145" s="175"/>
      <c r="D145" s="175"/>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row>
    <row r="146" spans="1:26" ht="13.5" customHeight="1">
      <c r="A146" s="175"/>
      <c r="B146" s="175"/>
      <c r="C146" s="175"/>
      <c r="D146" s="175"/>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row>
    <row r="147" spans="1:26" ht="13.5" customHeight="1">
      <c r="A147" s="175"/>
      <c r="B147" s="175"/>
      <c r="C147" s="175"/>
      <c r="D147" s="175"/>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row>
    <row r="148" spans="1:26" ht="13.5" customHeight="1">
      <c r="A148" s="175"/>
      <c r="B148" s="175"/>
      <c r="C148" s="175"/>
      <c r="D148" s="175"/>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row>
    <row r="149" spans="1:26" ht="13.5" customHeight="1">
      <c r="A149" s="175"/>
      <c r="B149" s="175"/>
      <c r="C149" s="175"/>
      <c r="D149" s="175"/>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row>
    <row r="150" spans="1:26" ht="13.5" customHeight="1">
      <c r="A150" s="175"/>
      <c r="B150" s="175"/>
      <c r="C150" s="175"/>
      <c r="D150" s="175"/>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row>
    <row r="151" spans="1:26" ht="13.5" customHeight="1">
      <c r="A151" s="175"/>
      <c r="B151" s="175"/>
      <c r="C151" s="175"/>
      <c r="D151" s="175"/>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row>
    <row r="152" spans="1:26" ht="13.5" customHeight="1">
      <c r="A152" s="175"/>
      <c r="B152" s="175"/>
      <c r="C152" s="175"/>
      <c r="D152" s="175"/>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row>
    <row r="153" spans="1:26" ht="13.5" customHeight="1">
      <c r="A153" s="175"/>
      <c r="B153" s="175"/>
      <c r="C153" s="175"/>
      <c r="D153" s="175"/>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row>
    <row r="154" spans="1:26" ht="13.5" customHeight="1">
      <c r="A154" s="175"/>
      <c r="B154" s="175"/>
      <c r="C154" s="175"/>
      <c r="D154" s="175"/>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row>
    <row r="155" spans="1:26" ht="13.5" customHeight="1">
      <c r="A155" s="175"/>
      <c r="B155" s="175"/>
      <c r="C155" s="175"/>
      <c r="D155" s="175"/>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row>
    <row r="156" spans="1:26" ht="13.5" customHeight="1">
      <c r="A156" s="175"/>
      <c r="B156" s="175"/>
      <c r="C156" s="175"/>
      <c r="D156" s="175"/>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row>
    <row r="157" spans="1:26" ht="13.5" customHeight="1">
      <c r="A157" s="175"/>
      <c r="B157" s="175"/>
      <c r="C157" s="175"/>
      <c r="D157" s="175"/>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row>
    <row r="158" spans="1:26" ht="13.5" customHeight="1">
      <c r="A158" s="175"/>
      <c r="B158" s="175"/>
      <c r="C158" s="175"/>
      <c r="D158" s="175"/>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row>
    <row r="159" spans="1:26" ht="13.5" customHeight="1">
      <c r="A159" s="175"/>
      <c r="B159" s="175"/>
      <c r="C159" s="175"/>
      <c r="D159" s="175"/>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row>
    <row r="160" spans="1:26" ht="13.5" customHeight="1">
      <c r="A160" s="175"/>
      <c r="B160" s="175"/>
      <c r="C160" s="175"/>
      <c r="D160" s="175"/>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row>
    <row r="161" spans="1:26" ht="13.5" customHeight="1">
      <c r="A161" s="175"/>
      <c r="B161" s="175"/>
      <c r="C161" s="175"/>
      <c r="D161" s="175"/>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row>
    <row r="162" spans="1:26" ht="13.5" customHeight="1">
      <c r="A162" s="175"/>
      <c r="B162" s="175"/>
      <c r="C162" s="175"/>
      <c r="D162" s="175"/>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row>
    <row r="163" spans="1:26" ht="13.5" customHeight="1">
      <c r="A163" s="175"/>
      <c r="B163" s="175"/>
      <c r="C163" s="175"/>
      <c r="D163" s="175"/>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row>
    <row r="164" spans="1:26" ht="13.5" customHeight="1">
      <c r="A164" s="175"/>
      <c r="B164" s="175"/>
      <c r="C164" s="175"/>
      <c r="D164" s="175"/>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row>
    <row r="165" spans="1:26" ht="13.5" customHeight="1">
      <c r="A165" s="175"/>
      <c r="B165" s="175"/>
      <c r="C165" s="175"/>
      <c r="D165" s="175"/>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row>
    <row r="166" spans="1:26" ht="13.5" customHeight="1">
      <c r="A166" s="175"/>
      <c r="B166" s="175"/>
      <c r="C166" s="175"/>
      <c r="D166" s="175"/>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row>
    <row r="167" spans="1:26" ht="13.5" customHeight="1">
      <c r="A167" s="175"/>
      <c r="B167" s="175"/>
      <c r="C167" s="175"/>
      <c r="D167" s="175"/>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row>
    <row r="168" spans="1:26" ht="13.5" customHeight="1">
      <c r="A168" s="175"/>
      <c r="B168" s="175"/>
      <c r="C168" s="175"/>
      <c r="D168" s="175"/>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row>
    <row r="169" spans="1:26" ht="13.5" customHeight="1">
      <c r="A169" s="175"/>
      <c r="B169" s="175"/>
      <c r="C169" s="175"/>
      <c r="D169" s="175"/>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row>
    <row r="170" spans="1:26" ht="13.5" customHeight="1">
      <c r="A170" s="175"/>
      <c r="B170" s="175"/>
      <c r="C170" s="175"/>
      <c r="D170" s="175"/>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row>
    <row r="171" spans="1:26" ht="13.5" customHeight="1">
      <c r="A171" s="175"/>
      <c r="B171" s="175"/>
      <c r="C171" s="175"/>
      <c r="D171" s="175"/>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row>
    <row r="172" spans="1:26" ht="13.5" customHeight="1">
      <c r="A172" s="175"/>
      <c r="B172" s="175"/>
      <c r="C172" s="175"/>
      <c r="D172" s="175"/>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row>
    <row r="173" spans="1:26" ht="13.5" customHeight="1">
      <c r="A173" s="175"/>
      <c r="B173" s="175"/>
      <c r="C173" s="175"/>
      <c r="D173" s="175"/>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row>
    <row r="174" spans="1:26" ht="13.5" customHeight="1">
      <c r="A174" s="175"/>
      <c r="B174" s="175"/>
      <c r="C174" s="175"/>
      <c r="D174" s="175"/>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row>
    <row r="175" spans="1:26" ht="13.5" customHeight="1">
      <c r="A175" s="175"/>
      <c r="B175" s="175"/>
      <c r="C175" s="175"/>
      <c r="D175" s="175"/>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row>
    <row r="176" spans="1:26" ht="13.5" customHeight="1">
      <c r="A176" s="175"/>
      <c r="B176" s="175"/>
      <c r="C176" s="175"/>
      <c r="D176" s="175"/>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row>
    <row r="177" spans="1:26" ht="13.5" customHeight="1">
      <c r="A177" s="175"/>
      <c r="B177" s="175"/>
      <c r="C177" s="175"/>
      <c r="D177" s="175"/>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row>
    <row r="178" spans="1:26" ht="13.5" customHeight="1">
      <c r="A178" s="175"/>
      <c r="B178" s="175"/>
      <c r="C178" s="175"/>
      <c r="D178" s="175"/>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row>
    <row r="179" spans="1:26" ht="13.5" customHeight="1">
      <c r="A179" s="175"/>
      <c r="B179" s="175"/>
      <c r="C179" s="175"/>
      <c r="D179" s="175"/>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row>
    <row r="180" spans="1:26" ht="13.5" customHeight="1">
      <c r="A180" s="175"/>
      <c r="B180" s="175"/>
      <c r="C180" s="175"/>
      <c r="D180" s="175"/>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row>
    <row r="181" spans="1:26" ht="13.5" customHeight="1">
      <c r="A181" s="175"/>
      <c r="B181" s="175"/>
      <c r="C181" s="175"/>
      <c r="D181" s="175"/>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row>
    <row r="182" spans="1:26" ht="13.5" customHeight="1">
      <c r="A182" s="175"/>
      <c r="B182" s="175"/>
      <c r="C182" s="175"/>
      <c r="D182" s="175"/>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row>
    <row r="183" spans="1:26" ht="13.5" customHeight="1">
      <c r="A183" s="175"/>
      <c r="B183" s="175"/>
      <c r="C183" s="175"/>
      <c r="D183" s="175"/>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row>
    <row r="184" spans="1:26" ht="13.5" customHeight="1">
      <c r="A184" s="175"/>
      <c r="B184" s="175"/>
      <c r="C184" s="175"/>
      <c r="D184" s="175"/>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row>
    <row r="185" spans="1:26" ht="13.5" customHeight="1">
      <c r="A185" s="175"/>
      <c r="B185" s="175"/>
      <c r="C185" s="175"/>
      <c r="D185" s="175"/>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row>
    <row r="186" spans="1:26" ht="13.5" customHeight="1">
      <c r="A186" s="175"/>
      <c r="B186" s="175"/>
      <c r="C186" s="175"/>
      <c r="D186" s="175"/>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row>
    <row r="187" spans="1:26" ht="13.5" customHeight="1">
      <c r="A187" s="175"/>
      <c r="B187" s="175"/>
      <c r="C187" s="175"/>
      <c r="D187" s="175"/>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row>
    <row r="188" spans="1:26" ht="13.5" customHeight="1">
      <c r="A188" s="175"/>
      <c r="B188" s="175"/>
      <c r="C188" s="175"/>
      <c r="D188" s="175"/>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row>
    <row r="189" spans="1:26" ht="13.5" customHeight="1">
      <c r="A189" s="175"/>
      <c r="B189" s="175"/>
      <c r="C189" s="175"/>
      <c r="D189" s="175"/>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row>
    <row r="190" spans="1:26" ht="13.5" customHeight="1">
      <c r="A190" s="175"/>
      <c r="B190" s="175"/>
      <c r="C190" s="175"/>
      <c r="D190" s="175"/>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row>
    <row r="191" spans="1:26" ht="13.5" customHeight="1">
      <c r="A191" s="175"/>
      <c r="B191" s="175"/>
      <c r="C191" s="175"/>
      <c r="D191" s="175"/>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row>
    <row r="192" spans="1:26" ht="13.5" customHeight="1">
      <c r="A192" s="175"/>
      <c r="B192" s="175"/>
      <c r="C192" s="175"/>
      <c r="D192" s="175"/>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row>
    <row r="193" spans="1:26" ht="13.5" customHeight="1">
      <c r="A193" s="175"/>
      <c r="B193" s="175"/>
      <c r="C193" s="175"/>
      <c r="D193" s="175"/>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row>
    <row r="194" spans="1:26" ht="13.5" customHeight="1">
      <c r="A194" s="175"/>
      <c r="B194" s="175"/>
      <c r="C194" s="175"/>
      <c r="D194" s="175"/>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row>
    <row r="195" spans="1:26" ht="13.5" customHeight="1">
      <c r="A195" s="175"/>
      <c r="B195" s="175"/>
      <c r="C195" s="175"/>
      <c r="D195" s="175"/>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row>
    <row r="196" spans="1:26" ht="13.5" customHeight="1">
      <c r="A196" s="175"/>
      <c r="B196" s="175"/>
      <c r="C196" s="175"/>
      <c r="D196" s="175"/>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row>
    <row r="197" spans="1:26" ht="13.5" customHeight="1">
      <c r="A197" s="175"/>
      <c r="B197" s="175"/>
      <c r="C197" s="175"/>
      <c r="D197" s="175"/>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row>
    <row r="198" spans="1:26" ht="13.5" customHeight="1">
      <c r="A198" s="175"/>
      <c r="B198" s="175"/>
      <c r="C198" s="175"/>
      <c r="D198" s="175"/>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row>
    <row r="199" spans="1:26" ht="13.5" customHeight="1">
      <c r="A199" s="175"/>
      <c r="B199" s="175"/>
      <c r="C199" s="175"/>
      <c r="D199" s="175"/>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row>
    <row r="200" spans="1:26" ht="13.5" customHeight="1">
      <c r="A200" s="175"/>
      <c r="B200" s="175"/>
      <c r="C200" s="175"/>
      <c r="D200" s="175"/>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row>
    <row r="201" spans="1:26" ht="13.5" customHeight="1">
      <c r="A201" s="175"/>
      <c r="B201" s="175"/>
      <c r="C201" s="175"/>
      <c r="D201" s="175"/>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row>
    <row r="202" spans="1:26" ht="13.5" customHeight="1">
      <c r="A202" s="175"/>
      <c r="B202" s="175"/>
      <c r="C202" s="175"/>
      <c r="D202" s="175"/>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row>
    <row r="203" spans="1:26" ht="13.5" customHeight="1">
      <c r="A203" s="175"/>
      <c r="B203" s="175"/>
      <c r="C203" s="175"/>
      <c r="D203" s="175"/>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row>
    <row r="204" spans="1:26" ht="13.5" customHeight="1">
      <c r="A204" s="175"/>
      <c r="B204" s="175"/>
      <c r="C204" s="175"/>
      <c r="D204" s="175"/>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row>
    <row r="205" spans="1:26" ht="13.5" customHeight="1">
      <c r="A205" s="175"/>
      <c r="B205" s="175"/>
      <c r="C205" s="175"/>
      <c r="D205" s="175"/>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row>
    <row r="206" spans="1:26" ht="13.5" customHeight="1">
      <c r="A206" s="175"/>
      <c r="B206" s="175"/>
      <c r="C206" s="175"/>
      <c r="D206" s="175"/>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row>
    <row r="207" spans="1:26" ht="13.5" customHeight="1">
      <c r="A207" s="175"/>
      <c r="B207" s="175"/>
      <c r="C207" s="175"/>
      <c r="D207" s="175"/>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row>
    <row r="208" spans="1:26" ht="13.5" customHeight="1">
      <c r="A208" s="175"/>
      <c r="B208" s="175"/>
      <c r="C208" s="175"/>
      <c r="D208" s="175"/>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row>
    <row r="209" spans="1:26" ht="13.5" customHeight="1">
      <c r="A209" s="175"/>
      <c r="B209" s="175"/>
      <c r="C209" s="175"/>
      <c r="D209" s="175"/>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row>
    <row r="210" spans="1:26" ht="13.5" customHeight="1">
      <c r="A210" s="175"/>
      <c r="B210" s="175"/>
      <c r="C210" s="175"/>
      <c r="D210" s="175"/>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row>
    <row r="211" spans="1:26" ht="13.5" customHeight="1">
      <c r="A211" s="175"/>
      <c r="B211" s="175"/>
      <c r="C211" s="175"/>
      <c r="D211" s="175"/>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row>
    <row r="212" spans="1:26" ht="13.5" customHeight="1">
      <c r="A212" s="175"/>
      <c r="B212" s="175"/>
      <c r="C212" s="175"/>
      <c r="D212" s="175"/>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row>
    <row r="213" spans="1:26" ht="13.5" customHeight="1">
      <c r="A213" s="175"/>
      <c r="B213" s="175"/>
      <c r="C213" s="175"/>
      <c r="D213" s="175"/>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row>
    <row r="214" spans="1:26" ht="13.5" customHeight="1">
      <c r="A214" s="175"/>
      <c r="B214" s="175"/>
      <c r="C214" s="175"/>
      <c r="D214" s="175"/>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row>
    <row r="215" spans="1:26" ht="13.5" customHeight="1">
      <c r="A215" s="175"/>
      <c r="B215" s="175"/>
      <c r="C215" s="175"/>
      <c r="D215" s="175"/>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row>
    <row r="216" spans="1:26" ht="13.5" customHeight="1">
      <c r="A216" s="175"/>
      <c r="B216" s="175"/>
      <c r="C216" s="175"/>
      <c r="D216" s="175"/>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row>
    <row r="217" spans="1:26" ht="13.5" customHeight="1">
      <c r="A217" s="175"/>
      <c r="B217" s="175"/>
      <c r="C217" s="175"/>
      <c r="D217" s="175"/>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row>
    <row r="218" spans="1:26" ht="13.5" customHeight="1">
      <c r="A218" s="175"/>
      <c r="B218" s="175"/>
      <c r="C218" s="175"/>
      <c r="D218" s="175"/>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row>
    <row r="219" spans="1:26" ht="13.5" customHeight="1">
      <c r="A219" s="175"/>
      <c r="B219" s="175"/>
      <c r="C219" s="175"/>
      <c r="D219" s="175"/>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row>
    <row r="220" spans="1:26" ht="13.5" customHeight="1">
      <c r="A220" s="175"/>
      <c r="B220" s="175"/>
      <c r="C220" s="175"/>
      <c r="D220" s="175"/>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row>
    <row r="221" spans="1:26" ht="13.5" customHeight="1">
      <c r="A221" s="175"/>
      <c r="B221" s="175"/>
      <c r="C221" s="175"/>
      <c r="D221" s="175"/>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row>
    <row r="222" spans="1:26" ht="13.5" customHeight="1">
      <c r="A222" s="175"/>
      <c r="B222" s="175"/>
      <c r="C222" s="175"/>
      <c r="D222" s="175"/>
      <c r="E222" s="175"/>
      <c r="F222" s="175"/>
      <c r="G222" s="175"/>
      <c r="H222" s="175"/>
      <c r="I222" s="175"/>
      <c r="J222" s="175"/>
      <c r="K222" s="175"/>
      <c r="L222" s="175"/>
      <c r="M222" s="175"/>
      <c r="N222" s="175"/>
      <c r="O222" s="175"/>
      <c r="P222" s="175"/>
      <c r="Q222" s="175"/>
      <c r="R222" s="175"/>
      <c r="S222" s="175"/>
      <c r="T222" s="175"/>
      <c r="U222" s="175"/>
      <c r="V222" s="175"/>
      <c r="W222" s="175"/>
      <c r="X222" s="175"/>
      <c r="Y222" s="175"/>
      <c r="Z222" s="175"/>
    </row>
    <row r="223" spans="1:26" ht="13.5" customHeight="1">
      <c r="A223" s="175"/>
      <c r="B223" s="175"/>
      <c r="C223" s="175"/>
      <c r="D223" s="175"/>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row>
    <row r="224" spans="1:26" ht="13.5" customHeight="1">
      <c r="A224" s="175"/>
      <c r="B224" s="175"/>
      <c r="C224" s="175"/>
      <c r="D224" s="175"/>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row>
    <row r="225" spans="1:26" ht="13.5" customHeight="1">
      <c r="A225" s="175"/>
      <c r="B225" s="175"/>
      <c r="C225" s="175"/>
      <c r="D225" s="175"/>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row>
    <row r="226" spans="1:26" ht="13.5" customHeight="1">
      <c r="A226" s="175"/>
      <c r="B226" s="175"/>
      <c r="C226" s="175"/>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row>
    <row r="227" spans="1:26" ht="13.5" customHeight="1">
      <c r="A227" s="175"/>
      <c r="B227" s="175"/>
      <c r="C227" s="175"/>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row>
    <row r="228" spans="1:26" ht="13.5" customHeight="1">
      <c r="A228" s="175"/>
      <c r="B228" s="175"/>
      <c r="C228" s="175"/>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row>
    <row r="229" spans="1:26" ht="13.5" customHeight="1">
      <c r="A229" s="175"/>
      <c r="B229" s="175"/>
      <c r="C229" s="175"/>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row>
    <row r="230" spans="1:26" ht="13.5" customHeight="1">
      <c r="A230" s="175"/>
      <c r="B230" s="175"/>
      <c r="C230" s="175"/>
      <c r="D230" s="175"/>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row>
    <row r="231" spans="1:26" ht="13.5" customHeight="1">
      <c r="A231" s="175"/>
      <c r="B231" s="175"/>
      <c r="C231" s="175"/>
      <c r="D231" s="175"/>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row>
    <row r="232" spans="1:26" ht="13.5" customHeight="1">
      <c r="A232" s="175"/>
      <c r="B232" s="175"/>
      <c r="C232" s="175"/>
      <c r="D232" s="175"/>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row>
    <row r="233" spans="1:26" ht="13.5" customHeight="1">
      <c r="A233" s="175"/>
      <c r="B233" s="175"/>
      <c r="C233" s="175"/>
      <c r="D233" s="175"/>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row>
    <row r="234" spans="1:26" ht="13.5" customHeight="1">
      <c r="A234" s="175"/>
      <c r="B234" s="175"/>
      <c r="C234" s="175"/>
      <c r="D234" s="175"/>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row>
    <row r="235" spans="1:26" ht="13.5" customHeight="1">
      <c r="A235" s="175"/>
      <c r="B235" s="175"/>
      <c r="C235" s="175"/>
      <c r="D235" s="175"/>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row>
    <row r="236" spans="1:26" ht="13.5" customHeight="1">
      <c r="A236" s="175"/>
      <c r="B236" s="175"/>
      <c r="C236" s="175"/>
      <c r="D236" s="175"/>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row>
    <row r="237" spans="1:26" ht="13.5" customHeight="1">
      <c r="A237" s="175"/>
      <c r="B237" s="175"/>
      <c r="C237" s="175"/>
      <c r="D237" s="175"/>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row>
    <row r="238" spans="1:26" ht="13.5" customHeight="1">
      <c r="A238" s="175"/>
      <c r="B238" s="175"/>
      <c r="C238" s="175"/>
      <c r="D238" s="175"/>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row>
    <row r="239" spans="1:26" ht="13.5" customHeight="1">
      <c r="A239" s="175"/>
      <c r="B239" s="175"/>
      <c r="C239" s="175"/>
      <c r="D239" s="175"/>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row>
    <row r="240" spans="1:26" ht="13.5" customHeight="1">
      <c r="A240" s="175"/>
      <c r="B240" s="175"/>
      <c r="C240" s="175"/>
      <c r="D240" s="175"/>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row>
    <row r="241" spans="1:26" ht="13.5" customHeight="1">
      <c r="A241" s="175"/>
      <c r="B241" s="175"/>
      <c r="C241" s="175"/>
      <c r="D241" s="175"/>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row>
    <row r="242" spans="1:26" ht="13.5" customHeight="1">
      <c r="A242" s="175"/>
      <c r="B242" s="175"/>
      <c r="C242" s="175"/>
      <c r="D242" s="175"/>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row>
    <row r="243" spans="1:26" ht="13.5" customHeight="1">
      <c r="A243" s="175"/>
      <c r="B243" s="175"/>
      <c r="C243" s="175"/>
      <c r="D243" s="175"/>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row>
    <row r="244" spans="1:26" ht="13.5" customHeight="1">
      <c r="A244" s="175"/>
      <c r="B244" s="175"/>
      <c r="C244" s="175"/>
      <c r="D244" s="175"/>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row>
    <row r="245" spans="1:26" ht="13.5" customHeight="1">
      <c r="A245" s="175"/>
      <c r="B245" s="175"/>
      <c r="C245" s="175"/>
      <c r="D245" s="175"/>
      <c r="E245" s="175"/>
      <c r="F245" s="175"/>
      <c r="G245" s="175"/>
      <c r="H245" s="175"/>
      <c r="I245" s="175"/>
      <c r="J245" s="175"/>
      <c r="K245" s="175"/>
      <c r="L245" s="175"/>
      <c r="M245" s="175"/>
      <c r="N245" s="175"/>
      <c r="O245" s="175"/>
      <c r="P245" s="175"/>
      <c r="Q245" s="175"/>
      <c r="R245" s="175"/>
      <c r="S245" s="175"/>
      <c r="T245" s="175"/>
      <c r="U245" s="175"/>
      <c r="V245" s="175"/>
      <c r="W245" s="175"/>
      <c r="X245" s="175"/>
      <c r="Y245" s="175"/>
      <c r="Z245" s="175"/>
    </row>
    <row r="246" spans="1:26" ht="13.5" customHeight="1">
      <c r="A246" s="175"/>
      <c r="B246" s="175"/>
      <c r="C246" s="175"/>
      <c r="D246" s="175"/>
      <c r="E246" s="175"/>
      <c r="F246" s="175"/>
      <c r="G246" s="175"/>
      <c r="H246" s="175"/>
      <c r="I246" s="175"/>
      <c r="J246" s="175"/>
      <c r="K246" s="175"/>
      <c r="L246" s="175"/>
      <c r="M246" s="175"/>
      <c r="N246" s="175"/>
      <c r="O246" s="175"/>
      <c r="P246" s="175"/>
      <c r="Q246" s="175"/>
      <c r="R246" s="175"/>
      <c r="S246" s="175"/>
      <c r="T246" s="175"/>
      <c r="U246" s="175"/>
      <c r="V246" s="175"/>
      <c r="W246" s="175"/>
      <c r="X246" s="175"/>
      <c r="Y246" s="175"/>
      <c r="Z246" s="175"/>
    </row>
    <row r="247" spans="1:26" ht="13.5" customHeight="1">
      <c r="A247" s="175"/>
      <c r="B247" s="175"/>
      <c r="C247" s="175"/>
      <c r="D247" s="175"/>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row>
    <row r="248" spans="1:26" ht="13.5" customHeight="1">
      <c r="A248" s="175"/>
      <c r="B248" s="175"/>
      <c r="C248" s="175"/>
      <c r="D248" s="175"/>
      <c r="E248" s="175"/>
      <c r="F248" s="175"/>
      <c r="G248" s="175"/>
      <c r="H248" s="175"/>
      <c r="I248" s="175"/>
      <c r="J248" s="175"/>
      <c r="K248" s="175"/>
      <c r="L248" s="175"/>
      <c r="M248" s="175"/>
      <c r="N248" s="175"/>
      <c r="O248" s="175"/>
      <c r="P248" s="175"/>
      <c r="Q248" s="175"/>
      <c r="R248" s="175"/>
      <c r="S248" s="175"/>
      <c r="T248" s="175"/>
      <c r="U248" s="175"/>
      <c r="V248" s="175"/>
      <c r="W248" s="175"/>
      <c r="X248" s="175"/>
      <c r="Y248" s="175"/>
      <c r="Z248" s="175"/>
    </row>
    <row r="249" spans="1:26" ht="13.5" customHeight="1">
      <c r="A249" s="175"/>
      <c r="B249" s="175"/>
      <c r="C249" s="175"/>
      <c r="D249" s="175"/>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row>
    <row r="250" spans="1:26" ht="13.5" customHeight="1">
      <c r="A250" s="175"/>
      <c r="B250" s="175"/>
      <c r="C250" s="175"/>
      <c r="D250" s="175"/>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row>
    <row r="251" spans="1:26" ht="13.5" customHeight="1">
      <c r="A251" s="175"/>
      <c r="B251" s="175"/>
      <c r="C251" s="175"/>
      <c r="D251" s="175"/>
      <c r="E251" s="175"/>
      <c r="F251" s="175"/>
      <c r="G251" s="175"/>
      <c r="H251" s="175"/>
      <c r="I251" s="175"/>
      <c r="J251" s="175"/>
      <c r="K251" s="175"/>
      <c r="L251" s="175"/>
      <c r="M251" s="175"/>
      <c r="N251" s="175"/>
      <c r="O251" s="175"/>
      <c r="P251" s="175"/>
      <c r="Q251" s="175"/>
      <c r="R251" s="175"/>
      <c r="S251" s="175"/>
      <c r="T251" s="175"/>
      <c r="U251" s="175"/>
      <c r="V251" s="175"/>
      <c r="W251" s="175"/>
      <c r="X251" s="175"/>
      <c r="Y251" s="175"/>
      <c r="Z251" s="175"/>
    </row>
    <row r="252" spans="1:26" ht="13.5" customHeight="1">
      <c r="A252" s="175"/>
      <c r="B252" s="175"/>
      <c r="C252" s="175"/>
      <c r="D252" s="175"/>
      <c r="E252" s="175"/>
      <c r="F252" s="175"/>
      <c r="G252" s="175"/>
      <c r="H252" s="175"/>
      <c r="I252" s="175"/>
      <c r="J252" s="175"/>
      <c r="K252" s="175"/>
      <c r="L252" s="175"/>
      <c r="M252" s="175"/>
      <c r="N252" s="175"/>
      <c r="O252" s="175"/>
      <c r="P252" s="175"/>
      <c r="Q252" s="175"/>
      <c r="R252" s="175"/>
      <c r="S252" s="175"/>
      <c r="T252" s="175"/>
      <c r="U252" s="175"/>
      <c r="V252" s="175"/>
      <c r="W252" s="175"/>
      <c r="X252" s="175"/>
      <c r="Y252" s="175"/>
      <c r="Z252" s="175"/>
    </row>
    <row r="253" spans="1:26" ht="13.5" customHeight="1">
      <c r="A253" s="175"/>
      <c r="B253" s="175"/>
      <c r="C253" s="175"/>
      <c r="D253" s="175"/>
      <c r="E253" s="175"/>
      <c r="F253" s="175"/>
      <c r="G253" s="175"/>
      <c r="H253" s="175"/>
      <c r="I253" s="175"/>
      <c r="J253" s="175"/>
      <c r="K253" s="175"/>
      <c r="L253" s="175"/>
      <c r="M253" s="175"/>
      <c r="N253" s="175"/>
      <c r="O253" s="175"/>
      <c r="P253" s="175"/>
      <c r="Q253" s="175"/>
      <c r="R253" s="175"/>
      <c r="S253" s="175"/>
      <c r="T253" s="175"/>
      <c r="U253" s="175"/>
      <c r="V253" s="175"/>
      <c r="W253" s="175"/>
      <c r="X253" s="175"/>
      <c r="Y253" s="175"/>
      <c r="Z253" s="175"/>
    </row>
    <row r="254" spans="1:26" ht="15.75" customHeight="1"/>
    <row r="255" spans="1:26" ht="15.75" customHeight="1"/>
    <row r="256" spans="1:2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6600"/>
  </sheetPr>
  <dimension ref="A1:Z1000"/>
  <sheetViews>
    <sheetView showGridLines="0" zoomScale="90" zoomScaleNormal="90" workbookViewId="0">
      <pane ySplit="1" topLeftCell="A2" activePane="bottomLeft" state="frozen"/>
      <selection pane="bottomLeft" activeCell="G5" sqref="G5"/>
    </sheetView>
  </sheetViews>
  <sheetFormatPr defaultColWidth="11.25" defaultRowHeight="15" customHeight="1"/>
  <cols>
    <col min="1" max="1" width="45.5" style="226" customWidth="1"/>
    <col min="2" max="2" width="13.75" style="226" customWidth="1"/>
    <col min="3" max="3" width="14.75" style="226" customWidth="1"/>
    <col min="4" max="4" width="15.5" style="226" customWidth="1"/>
    <col min="5" max="5" width="16.375" style="226" customWidth="1"/>
    <col min="6" max="7" width="15.5" style="226" customWidth="1"/>
    <col min="8" max="8" width="14.375" style="226" customWidth="1"/>
    <col min="9" max="9" width="14.25" style="226" customWidth="1"/>
    <col min="10" max="10" width="14" style="226" customWidth="1"/>
    <col min="11" max="11" width="12.875" style="226" customWidth="1"/>
    <col min="12" max="12" width="8.75" style="226" customWidth="1"/>
    <col min="13" max="26" width="8.5" style="226" customWidth="1"/>
    <col min="27" max="16384" width="11.25" style="226"/>
  </cols>
  <sheetData>
    <row r="1" spans="1:26" s="225" customFormat="1" ht="21" customHeight="1" thickBot="1">
      <c r="A1" s="223" t="s">
        <v>894</v>
      </c>
      <c r="B1" s="168">
        <v>2017</v>
      </c>
      <c r="C1" s="168">
        <v>2018</v>
      </c>
      <c r="D1" s="168">
        <v>2019</v>
      </c>
      <c r="E1" s="168">
        <v>2020</v>
      </c>
      <c r="F1" s="168">
        <v>2021</v>
      </c>
      <c r="G1" s="169" t="s">
        <v>4</v>
      </c>
      <c r="H1" s="169" t="s">
        <v>5</v>
      </c>
      <c r="I1" s="169" t="s">
        <v>6</v>
      </c>
      <c r="J1" s="169" t="s">
        <v>7</v>
      </c>
      <c r="K1" s="224" t="s">
        <v>8</v>
      </c>
    </row>
    <row r="2" spans="1:26" ht="13.5" customHeight="1">
      <c r="A2" s="26" t="s">
        <v>715</v>
      </c>
      <c r="B2" s="172">
        <v>66339804.200000003</v>
      </c>
      <c r="C2" s="172">
        <v>86516287</v>
      </c>
      <c r="D2" s="172">
        <v>102174244</v>
      </c>
      <c r="E2" s="172">
        <v>108546019.7</v>
      </c>
      <c r="F2" s="172">
        <v>122958106.09999999</v>
      </c>
      <c r="G2" s="184">
        <f>SALE!G52</f>
        <v>152966854.41872773</v>
      </c>
      <c r="H2" s="184">
        <f>SALE!H52</f>
        <v>188404935.07902077</v>
      </c>
      <c r="I2" s="184">
        <f>SALE!I52</f>
        <v>214796852.91652524</v>
      </c>
      <c r="J2" s="184">
        <f>SALE!J52</f>
        <v>240783800.808613</v>
      </c>
      <c r="K2" s="184">
        <f>SALE!K52</f>
        <v>267580989.30453843</v>
      </c>
      <c r="L2" s="26"/>
      <c r="N2" s="26"/>
      <c r="O2" s="26"/>
      <c r="P2" s="26"/>
      <c r="Q2" s="26"/>
      <c r="R2" s="26"/>
      <c r="S2" s="26"/>
      <c r="T2" s="26"/>
      <c r="U2" s="26"/>
      <c r="V2" s="26"/>
      <c r="W2" s="26"/>
      <c r="X2" s="26"/>
      <c r="Y2" s="26"/>
      <c r="Z2" s="26"/>
    </row>
    <row r="3" spans="1:26" ht="13.5" customHeight="1">
      <c r="A3" s="747" t="s">
        <v>698</v>
      </c>
      <c r="B3" s="176">
        <v>55198024.899999999</v>
      </c>
      <c r="C3" s="176">
        <v>71224159.200000003</v>
      </c>
      <c r="D3" s="176">
        <v>82686444.700000003</v>
      </c>
      <c r="E3" s="176">
        <v>84591522.400000006</v>
      </c>
      <c r="F3" s="176">
        <v>95325974.099999994</v>
      </c>
      <c r="G3" s="227">
        <f>G59</f>
        <v>118267145.50319974</v>
      </c>
      <c r="H3" s="227">
        <f>H59</f>
        <v>145954671.15837255</v>
      </c>
      <c r="I3" s="227">
        <f>I59</f>
        <v>165882033.42931643</v>
      </c>
      <c r="J3" s="227">
        <f>J59</f>
        <v>185341242.92554253</v>
      </c>
      <c r="K3" s="227">
        <f>K59</f>
        <v>205701416.36043397</v>
      </c>
      <c r="L3" s="21"/>
      <c r="M3" s="708"/>
      <c r="N3" s="21"/>
      <c r="O3" s="21"/>
      <c r="P3" s="21"/>
      <c r="Q3" s="21"/>
      <c r="R3" s="21"/>
      <c r="S3" s="21"/>
      <c r="T3" s="21"/>
      <c r="U3" s="21"/>
      <c r="V3" s="21"/>
      <c r="W3" s="21"/>
      <c r="X3" s="21"/>
      <c r="Y3" s="21"/>
      <c r="Z3" s="21"/>
    </row>
    <row r="4" spans="1:26" ht="13.5" customHeight="1">
      <c r="A4" s="26" t="s">
        <v>699</v>
      </c>
      <c r="B4" s="172">
        <v>11141779.300000001</v>
      </c>
      <c r="C4" s="172">
        <v>15292127.800000001</v>
      </c>
      <c r="D4" s="172">
        <v>19487799.300000001</v>
      </c>
      <c r="E4" s="172">
        <v>23954497.300000001</v>
      </c>
      <c r="F4" s="228">
        <v>27632132</v>
      </c>
      <c r="G4" s="222">
        <f>G2-G3</f>
        <v>34699708.915527984</v>
      </c>
      <c r="H4" s="222">
        <f>H2-H3</f>
        <v>42450263.920648217</v>
      </c>
      <c r="I4" s="222">
        <f>I2-I3</f>
        <v>48914819.487208813</v>
      </c>
      <c r="J4" s="222">
        <f>J2-J3</f>
        <v>55442557.883070469</v>
      </c>
      <c r="K4" s="222">
        <f>K2-K3</f>
        <v>61879572.944104463</v>
      </c>
      <c r="L4" s="26"/>
      <c r="M4" s="707" t="s">
        <v>447</v>
      </c>
      <c r="N4" s="26"/>
      <c r="O4" s="26"/>
      <c r="P4" s="26"/>
      <c r="Q4" s="26"/>
      <c r="R4" s="26"/>
      <c r="S4" s="26"/>
      <c r="T4" s="26"/>
      <c r="U4" s="26"/>
      <c r="V4" s="26"/>
      <c r="W4" s="26"/>
      <c r="X4" s="26"/>
      <c r="Y4" s="26"/>
      <c r="Z4" s="26"/>
    </row>
    <row r="5" spans="1:26" ht="13.5" customHeight="1">
      <c r="A5" s="747" t="s">
        <v>700</v>
      </c>
      <c r="B5" s="176">
        <v>250509.8</v>
      </c>
      <c r="C5" s="176">
        <v>342083.9</v>
      </c>
      <c r="D5" s="176">
        <v>631177.9</v>
      </c>
      <c r="E5" s="176">
        <v>794121.8</v>
      </c>
      <c r="F5" s="176">
        <v>1287956</v>
      </c>
      <c r="G5" s="177">
        <f>F5*1.05</f>
        <v>1352353.8</v>
      </c>
      <c r="H5" s="177">
        <f>G5*1.05</f>
        <v>1419971.4900000002</v>
      </c>
      <c r="I5" s="177">
        <f>H5*1.05</f>
        <v>1490970.0645000003</v>
      </c>
      <c r="J5" s="177">
        <f>I5*1.06</f>
        <v>1580428.2683700004</v>
      </c>
      <c r="K5" s="177">
        <f>J5*1.06</f>
        <v>1675253.9644722005</v>
      </c>
      <c r="L5" s="21"/>
      <c r="M5" s="708" t="s">
        <v>698</v>
      </c>
      <c r="N5" s="21"/>
      <c r="O5" s="21"/>
      <c r="P5" s="21"/>
      <c r="Q5" s="21"/>
      <c r="R5" s="21"/>
      <c r="S5" s="21"/>
      <c r="T5" s="21"/>
      <c r="U5" s="21"/>
      <c r="V5" s="21"/>
      <c r="W5" s="21"/>
      <c r="X5" s="21"/>
      <c r="Y5" s="21"/>
      <c r="Z5" s="21"/>
    </row>
    <row r="6" spans="1:26" ht="13.5" customHeight="1">
      <c r="A6" s="21" t="s">
        <v>701</v>
      </c>
      <c r="B6" s="176">
        <v>234286.6</v>
      </c>
      <c r="C6" s="176">
        <v>436573.2</v>
      </c>
      <c r="D6" s="176">
        <v>569754.80000000005</v>
      </c>
      <c r="E6" s="176">
        <v>594151.5</v>
      </c>
      <c r="F6" s="176">
        <v>714707.2</v>
      </c>
      <c r="G6" s="177">
        <f>G2*G31+G7</f>
        <v>904810.2619524335</v>
      </c>
      <c r="H6" s="177">
        <f>H2*H31+H7</f>
        <v>966089.12929450185</v>
      </c>
      <c r="I6" s="177">
        <f>I2*I31+I7</f>
        <v>1114506.0154515551</v>
      </c>
      <c r="J6" s="177">
        <f>J2*J31+J7</f>
        <v>1093101.7305773939</v>
      </c>
      <c r="K6" s="177">
        <f>K2*K31+K7</f>
        <v>1247121.2235915745</v>
      </c>
      <c r="L6" s="21"/>
      <c r="M6" s="707" t="s">
        <v>699</v>
      </c>
      <c r="N6" s="21"/>
      <c r="O6" s="21"/>
      <c r="P6" s="21"/>
      <c r="Q6" s="21"/>
      <c r="R6" s="21"/>
      <c r="S6" s="21"/>
      <c r="T6" s="21"/>
      <c r="U6" s="21"/>
      <c r="V6" s="21"/>
      <c r="W6" s="21"/>
      <c r="X6" s="21"/>
      <c r="Y6" s="21"/>
      <c r="Z6" s="21"/>
    </row>
    <row r="7" spans="1:26" ht="13.5" customHeight="1">
      <c r="A7" s="747" t="s">
        <v>454</v>
      </c>
      <c r="B7" s="176">
        <v>233202.3</v>
      </c>
      <c r="C7" s="176">
        <v>436416.6</v>
      </c>
      <c r="D7" s="176">
        <v>568136.69999999995</v>
      </c>
      <c r="E7" s="176">
        <v>594003.80000000005</v>
      </c>
      <c r="F7" s="176">
        <v>674427.7</v>
      </c>
      <c r="G7" s="177">
        <f>'FI&amp;FE'!G2</f>
        <v>893706.72619458963</v>
      </c>
      <c r="H7" s="177">
        <f>'FI&amp;FE'!H2</f>
        <v>950293.91934189457</v>
      </c>
      <c r="I7" s="177">
        <f>'FI&amp;FE'!I2</f>
        <v>1092974.3955517199</v>
      </c>
      <c r="J7" s="177">
        <f>'FI&amp;FE'!J2</f>
        <v>1064900.4558730179</v>
      </c>
      <c r="K7" s="177">
        <f>'FI&amp;FE'!K2</f>
        <v>1209586.2398088295</v>
      </c>
      <c r="L7" s="21"/>
      <c r="M7" s="708" t="s">
        <v>700</v>
      </c>
      <c r="N7" s="21"/>
      <c r="O7" s="21"/>
      <c r="P7" s="21"/>
      <c r="Q7" s="21"/>
      <c r="R7" s="21"/>
      <c r="S7" s="21"/>
      <c r="T7" s="21"/>
      <c r="U7" s="21"/>
      <c r="V7" s="21"/>
      <c r="W7" s="21"/>
      <c r="X7" s="21"/>
      <c r="Y7" s="21"/>
      <c r="Z7" s="21"/>
    </row>
    <row r="8" spans="1:26" ht="13.5" customHeight="1">
      <c r="A8" s="21" t="s">
        <v>896</v>
      </c>
      <c r="B8" s="176">
        <v>0</v>
      </c>
      <c r="C8" s="176">
        <v>-2101</v>
      </c>
      <c r="D8" s="176">
        <v>-3473.3</v>
      </c>
      <c r="E8" s="176">
        <v>-3706.9</v>
      </c>
      <c r="F8" s="176">
        <v>-2210.5</v>
      </c>
      <c r="G8" s="177">
        <f>G2*G33</f>
        <v>-4391.2730292540964</v>
      </c>
      <c r="H8" s="177">
        <f>H2*H33</f>
        <v>-5076.6030132664937</v>
      </c>
      <c r="I8" s="177">
        <f>I2*I33</f>
        <v>-5271.8442190348569</v>
      </c>
      <c r="J8" s="177">
        <f>J2*J33</f>
        <v>-6436.6258249237671</v>
      </c>
      <c r="K8" s="177">
        <f>K2*K33</f>
        <v>-6976.7763187896935</v>
      </c>
      <c r="L8" s="21"/>
      <c r="M8" s="708" t="s">
        <v>701</v>
      </c>
      <c r="N8" s="21"/>
      <c r="O8" s="21"/>
      <c r="P8" s="21"/>
      <c r="Q8" s="21"/>
      <c r="R8" s="21"/>
      <c r="S8" s="21"/>
      <c r="T8" s="21"/>
      <c r="U8" s="21"/>
      <c r="V8" s="21"/>
      <c r="W8" s="21"/>
      <c r="X8" s="21"/>
      <c r="Y8" s="21"/>
      <c r="Z8" s="21"/>
    </row>
    <row r="9" spans="1:26" ht="13.5" customHeight="1">
      <c r="A9" s="21" t="s">
        <v>703</v>
      </c>
      <c r="B9" s="176">
        <v>7017061.2999999998</v>
      </c>
      <c r="C9" s="176">
        <v>9659741.1999999993</v>
      </c>
      <c r="D9" s="176">
        <v>12437282.699999999</v>
      </c>
      <c r="E9" s="176">
        <v>15333798.800000001</v>
      </c>
      <c r="F9" s="176">
        <v>17914173.300000001</v>
      </c>
      <c r="G9" s="177">
        <f>G2*G34</f>
        <v>21415359.618621882</v>
      </c>
      <c r="H9" s="177">
        <f>H2*H34</f>
        <v>25811476.105825849</v>
      </c>
      <c r="I9" s="177">
        <f>I2*I34</f>
        <v>28997575.143730909</v>
      </c>
      <c r="J9" s="177">
        <f>J2*J34</f>
        <v>32505813.109162759</v>
      </c>
      <c r="K9" s="177">
        <f>K2*K34</f>
        <v>36123433.556112692</v>
      </c>
      <c r="L9" s="21"/>
      <c r="M9" s="709" t="s">
        <v>454</v>
      </c>
      <c r="N9" s="21"/>
      <c r="O9" s="21"/>
      <c r="P9" s="21"/>
      <c r="Q9" s="21"/>
      <c r="R9" s="21"/>
      <c r="S9" s="21"/>
      <c r="T9" s="21"/>
      <c r="U9" s="21"/>
      <c r="V9" s="21"/>
      <c r="W9" s="21"/>
      <c r="X9" s="21"/>
      <c r="Y9" s="21"/>
      <c r="Z9" s="21"/>
    </row>
    <row r="10" spans="1:26" ht="13.5" customHeight="1">
      <c r="A10" s="21" t="s">
        <v>704</v>
      </c>
      <c r="B10" s="176">
        <v>1345497.4</v>
      </c>
      <c r="C10" s="176">
        <v>1761613.9</v>
      </c>
      <c r="D10" s="176">
        <v>2073782.9</v>
      </c>
      <c r="E10" s="176">
        <v>3404431.8</v>
      </c>
      <c r="F10" s="176">
        <v>3823390.1</v>
      </c>
      <c r="G10" s="177">
        <f>G2*G35</f>
        <v>5138931.1664195182</v>
      </c>
      <c r="H10" s="177">
        <f>H2*H35</f>
        <v>6329475.7316150256</v>
      </c>
      <c r="I10" s="177">
        <f>I2*I35</f>
        <v>6786520.1777666844</v>
      </c>
      <c r="J10" s="177">
        <f>J2*J35</f>
        <v>7366795.6421827944</v>
      </c>
      <c r="K10" s="177">
        <f>K2*K35</f>
        <v>8186657.3221279709</v>
      </c>
      <c r="L10" s="21"/>
      <c r="M10" s="708" t="s">
        <v>702</v>
      </c>
      <c r="N10" s="21"/>
      <c r="O10" s="21"/>
      <c r="P10" s="21"/>
      <c r="Q10" s="21"/>
      <c r="R10" s="21"/>
      <c r="S10" s="21"/>
      <c r="T10" s="21"/>
      <c r="U10" s="21"/>
      <c r="V10" s="21"/>
      <c r="W10" s="21"/>
      <c r="X10" s="21"/>
      <c r="Y10" s="21"/>
      <c r="Z10" s="21"/>
    </row>
    <row r="11" spans="1:26" ht="13.5" customHeight="1">
      <c r="A11" s="26" t="s">
        <v>705</v>
      </c>
      <c r="B11" s="172">
        <v>2795443.8</v>
      </c>
      <c r="C11" s="172">
        <v>3774182.4</v>
      </c>
      <c r="D11" s="172">
        <v>5034683.4000000004</v>
      </c>
      <c r="E11" s="172">
        <v>5412529.9000000004</v>
      </c>
      <c r="F11" s="172">
        <v>6465606.9000000004</v>
      </c>
      <c r="G11" s="206">
        <f>G4+G5-G6+G8-G9-G10</f>
        <v>8588570.3955048993</v>
      </c>
      <c r="H11" s="206">
        <f>H4+H5-H6+H8-H9-H10</f>
        <v>10758117.840899576</v>
      </c>
      <c r="I11" s="206">
        <f>I4+I5-I6+I8-I9-I10</f>
        <v>13501916.37054063</v>
      </c>
      <c r="J11" s="206">
        <f>J4+J5-J6+J8-J9-J10</f>
        <v>16050839.043692604</v>
      </c>
      <c r="K11" s="206">
        <f>K4+K5-K6+K8-K9-K10</f>
        <v>17990638.030425634</v>
      </c>
      <c r="L11" s="26"/>
      <c r="M11" s="708" t="s">
        <v>703</v>
      </c>
      <c r="N11" s="26"/>
      <c r="O11" s="26"/>
      <c r="P11" s="26"/>
      <c r="Q11" s="26"/>
      <c r="R11" s="26"/>
      <c r="S11" s="26"/>
      <c r="T11" s="26"/>
      <c r="U11" s="26"/>
      <c r="V11" s="26"/>
      <c r="W11" s="26"/>
      <c r="X11" s="26"/>
      <c r="Y11" s="26"/>
      <c r="Z11" s="26"/>
    </row>
    <row r="12" spans="1:26" ht="13.5" customHeight="1">
      <c r="A12" s="21" t="s">
        <v>706</v>
      </c>
      <c r="B12" s="176">
        <v>17684.599999999999</v>
      </c>
      <c r="C12" s="176">
        <v>33233.300000000003</v>
      </c>
      <c r="D12" s="176">
        <v>41557</v>
      </c>
      <c r="E12" s="176">
        <v>43512.7</v>
      </c>
      <c r="F12" s="176">
        <v>54872.800000000003</v>
      </c>
      <c r="G12" s="205">
        <f t="shared" ref="G12:K13" si="0">G$2*G37</f>
        <v>64792.247718575149</v>
      </c>
      <c r="H12" s="205">
        <f t="shared" si="0"/>
        <v>81941.341009863667</v>
      </c>
      <c r="I12" s="205">
        <f t="shared" si="0"/>
        <v>92200.68132575693</v>
      </c>
      <c r="J12" s="205">
        <f t="shared" si="0"/>
        <v>104038.75257182415</v>
      </c>
      <c r="K12" s="205">
        <f t="shared" si="0"/>
        <v>115237.7196075041</v>
      </c>
      <c r="L12" s="21"/>
      <c r="M12" s="708" t="s">
        <v>704</v>
      </c>
      <c r="N12" s="21"/>
      <c r="O12" s="21"/>
      <c r="P12" s="21"/>
      <c r="Q12" s="21"/>
      <c r="R12" s="21"/>
      <c r="S12" s="21"/>
      <c r="T12" s="21"/>
      <c r="U12" s="21"/>
      <c r="V12" s="21"/>
      <c r="W12" s="21"/>
      <c r="X12" s="21"/>
      <c r="Y12" s="21"/>
      <c r="Z12" s="21"/>
    </row>
    <row r="13" spans="1:26" ht="13.5" customHeight="1">
      <c r="A13" s="21" t="s">
        <v>707</v>
      </c>
      <c r="B13" s="176">
        <v>3816.4</v>
      </c>
      <c r="C13" s="176">
        <v>21097.200000000001</v>
      </c>
      <c r="D13" s="176">
        <v>22793.3</v>
      </c>
      <c r="E13" s="176">
        <v>46307.199999999997</v>
      </c>
      <c r="F13" s="176">
        <v>48896</v>
      </c>
      <c r="G13" s="205">
        <f t="shared" si="0"/>
        <v>63043.562367455619</v>
      </c>
      <c r="H13" s="205">
        <f t="shared" si="0"/>
        <v>76285.404269265782</v>
      </c>
      <c r="I13" s="205">
        <f t="shared" si="0"/>
        <v>87748.81229207672</v>
      </c>
      <c r="J13" s="205">
        <f t="shared" si="0"/>
        <v>97929.337944585655</v>
      </c>
      <c r="K13" s="205">
        <f t="shared" si="0"/>
        <v>109070.11413144082</v>
      </c>
      <c r="L13" s="21"/>
      <c r="M13" s="707" t="s">
        <v>705</v>
      </c>
      <c r="N13" s="21"/>
      <c r="O13" s="21"/>
      <c r="P13" s="21"/>
      <c r="Q13" s="21"/>
      <c r="R13" s="21"/>
      <c r="S13" s="21"/>
      <c r="T13" s="21"/>
      <c r="U13" s="21"/>
      <c r="V13" s="21"/>
      <c r="W13" s="21"/>
      <c r="X13" s="21"/>
      <c r="Y13" s="21"/>
      <c r="Z13" s="21"/>
    </row>
    <row r="14" spans="1:26" ht="13.5" customHeight="1">
      <c r="A14" s="21" t="s">
        <v>708</v>
      </c>
      <c r="B14" s="176">
        <v>13868.3</v>
      </c>
      <c r="C14" s="176">
        <v>12136.2</v>
      </c>
      <c r="D14" s="176">
        <v>18763.8</v>
      </c>
      <c r="E14" s="176">
        <v>-2794.5</v>
      </c>
      <c r="F14" s="176">
        <v>5976.8</v>
      </c>
      <c r="G14" s="205">
        <f>G12-G13</f>
        <v>1748.6853511195295</v>
      </c>
      <c r="H14" s="205">
        <f>H12-H13</f>
        <v>5655.9367405978846</v>
      </c>
      <c r="I14" s="205">
        <f>I12-I13</f>
        <v>4451.8690336802101</v>
      </c>
      <c r="J14" s="205">
        <f>J12-J13</f>
        <v>6109.4146272384969</v>
      </c>
      <c r="K14" s="205">
        <f>K12-K13</f>
        <v>6167.6054760632833</v>
      </c>
      <c r="L14" s="21"/>
      <c r="M14" s="708" t="s">
        <v>706</v>
      </c>
      <c r="N14" s="21"/>
      <c r="O14" s="21"/>
      <c r="P14" s="21"/>
      <c r="Q14" s="21"/>
      <c r="R14" s="21"/>
      <c r="S14" s="21"/>
      <c r="T14" s="21"/>
      <c r="U14" s="21"/>
      <c r="V14" s="21"/>
      <c r="W14" s="21"/>
      <c r="X14" s="21"/>
      <c r="Y14" s="21"/>
      <c r="Z14" s="21"/>
    </row>
    <row r="15" spans="1:26" ht="13.5" customHeight="1">
      <c r="A15" s="26" t="s">
        <v>709</v>
      </c>
      <c r="B15" s="172">
        <v>2809312</v>
      </c>
      <c r="C15" s="172">
        <v>3786318.6</v>
      </c>
      <c r="D15" s="172">
        <v>5053447.2</v>
      </c>
      <c r="E15" s="172">
        <v>5409735.4000000004</v>
      </c>
      <c r="F15" s="172">
        <v>6471583.7999999998</v>
      </c>
      <c r="G15" s="206">
        <f>G11+G14</f>
        <v>8590319.0808560196</v>
      </c>
      <c r="H15" s="206">
        <f>H11+H14</f>
        <v>10763773.777640173</v>
      </c>
      <c r="I15" s="206">
        <f>I11+I14</f>
        <v>13506368.239574309</v>
      </c>
      <c r="J15" s="206">
        <f>J11+J14</f>
        <v>16056948.458319843</v>
      </c>
      <c r="K15" s="206">
        <f>K11+K14</f>
        <v>17996805.635901697</v>
      </c>
      <c r="L15" s="26"/>
      <c r="M15" s="708" t="s">
        <v>707</v>
      </c>
      <c r="N15" s="26"/>
      <c r="O15" s="26"/>
      <c r="P15" s="26"/>
      <c r="Q15" s="26"/>
      <c r="R15" s="26"/>
      <c r="S15" s="26"/>
      <c r="T15" s="26"/>
      <c r="U15" s="26"/>
      <c r="V15" s="26"/>
      <c r="W15" s="26"/>
      <c r="X15" s="26"/>
      <c r="Y15" s="26"/>
      <c r="Z15" s="26"/>
    </row>
    <row r="16" spans="1:26" ht="13.5" customHeight="1">
      <c r="A16" s="21" t="s">
        <v>710</v>
      </c>
      <c r="B16" s="176">
        <v>639743.6</v>
      </c>
      <c r="C16" s="176">
        <v>933836.7</v>
      </c>
      <c r="D16" s="176">
        <v>1248353.1000000001</v>
      </c>
      <c r="E16" s="176">
        <v>1598413.8</v>
      </c>
      <c r="F16" s="176">
        <v>1632975.7</v>
      </c>
      <c r="G16" s="205">
        <f t="shared" ref="G16:K17" si="1">G$2*G41</f>
        <v>2050995.4734455044</v>
      </c>
      <c r="H16" s="205">
        <f t="shared" si="1"/>
        <v>2600900.6821573982</v>
      </c>
      <c r="I16" s="205">
        <f t="shared" si="1"/>
        <v>2899306.1701638247</v>
      </c>
      <c r="J16" s="205">
        <f t="shared" si="1"/>
        <v>3267504.1036660452</v>
      </c>
      <c r="K16" s="205">
        <f t="shared" si="1"/>
        <v>3645614.7817873508</v>
      </c>
      <c r="L16" s="21"/>
      <c r="M16" s="708" t="s">
        <v>708</v>
      </c>
      <c r="N16" s="21"/>
      <c r="O16" s="21"/>
      <c r="P16" s="21"/>
      <c r="Q16" s="21"/>
      <c r="R16" s="21"/>
      <c r="S16" s="21"/>
      <c r="T16" s="21"/>
      <c r="U16" s="21"/>
      <c r="V16" s="21"/>
      <c r="W16" s="21"/>
      <c r="X16" s="21"/>
      <c r="Y16" s="21"/>
      <c r="Z16" s="21"/>
    </row>
    <row r="17" spans="1:26" ht="13.5" customHeight="1">
      <c r="A17" s="21" t="s">
        <v>711</v>
      </c>
      <c r="B17" s="176">
        <v>-37328.699999999997</v>
      </c>
      <c r="C17" s="176">
        <v>-27827.200000000001</v>
      </c>
      <c r="D17" s="176">
        <v>-31146</v>
      </c>
      <c r="E17" s="176">
        <v>-108551.1</v>
      </c>
      <c r="F17" s="176">
        <v>-62818.6</v>
      </c>
      <c r="G17" s="205">
        <f t="shared" si="1"/>
        <v>-115561.9566544386</v>
      </c>
      <c r="H17" s="205">
        <f t="shared" si="1"/>
        <v>-119294.69894492906</v>
      </c>
      <c r="I17" s="205">
        <f t="shared" si="1"/>
        <v>-149139.14953229146</v>
      </c>
      <c r="J17" s="205">
        <f t="shared" si="1"/>
        <v>-159821.32701696755</v>
      </c>
      <c r="K17" s="205">
        <f t="shared" si="1"/>
        <v>-181698.32789747303</v>
      </c>
      <c r="L17" s="21"/>
      <c r="M17" s="707" t="s">
        <v>709</v>
      </c>
      <c r="N17" s="21"/>
      <c r="O17" s="21"/>
      <c r="P17" s="21"/>
      <c r="Q17" s="21"/>
      <c r="R17" s="21"/>
      <c r="S17" s="21"/>
      <c r="T17" s="21"/>
      <c r="U17" s="21"/>
      <c r="V17" s="21"/>
      <c r="W17" s="21"/>
      <c r="X17" s="21"/>
      <c r="Y17" s="21"/>
      <c r="Z17" s="21"/>
    </row>
    <row r="18" spans="1:26" ht="13.5" customHeight="1">
      <c r="A18" s="26" t="s">
        <v>712</v>
      </c>
      <c r="B18" s="172">
        <v>2206897.1</v>
      </c>
      <c r="C18" s="172">
        <v>2880309.1</v>
      </c>
      <c r="D18" s="172">
        <v>3836240.1</v>
      </c>
      <c r="E18" s="172">
        <v>3919872.7</v>
      </c>
      <c r="F18" s="172">
        <v>4901426.7</v>
      </c>
      <c r="G18" s="206">
        <f>G15-G16-G17</f>
        <v>6654885.5640649535</v>
      </c>
      <c r="H18" s="206">
        <f>H15-H16-H17</f>
        <v>8282167.7944277041</v>
      </c>
      <c r="I18" s="206">
        <f>I15-I16-I17</f>
        <v>10756201.218942776</v>
      </c>
      <c r="J18" s="206">
        <f>J15-J16-J17</f>
        <v>12949265.681670766</v>
      </c>
      <c r="K18" s="206">
        <f>K15-K16-K17</f>
        <v>14532889.182011819</v>
      </c>
      <c r="L18" s="26"/>
      <c r="M18" s="708" t="s">
        <v>710</v>
      </c>
      <c r="N18" s="26"/>
      <c r="O18" s="26"/>
      <c r="P18" s="26"/>
      <c r="Q18" s="26"/>
      <c r="R18" s="26"/>
      <c r="S18" s="26"/>
      <c r="T18" s="26"/>
      <c r="U18" s="26"/>
      <c r="V18" s="26"/>
      <c r="W18" s="26"/>
      <c r="X18" s="26"/>
      <c r="Y18" s="26"/>
      <c r="Z18" s="26"/>
    </row>
    <row r="19" spans="1:26" ht="13.5" customHeight="1">
      <c r="A19" s="21" t="s">
        <v>713</v>
      </c>
      <c r="B19" s="176">
        <v>1217.5</v>
      </c>
      <c r="C19" s="176">
        <v>1584.9</v>
      </c>
      <c r="D19" s="176">
        <v>1970.5</v>
      </c>
      <c r="E19" s="176">
        <v>2104.9</v>
      </c>
      <c r="F19" s="176">
        <v>2557.4</v>
      </c>
      <c r="G19" s="205">
        <f>G2*G44</f>
        <v>3073.9247067261472</v>
      </c>
      <c r="H19" s="205">
        <f>H2*H44</f>
        <v>3852.3457232671249</v>
      </c>
      <c r="I19" s="205">
        <f>I2*I44</f>
        <v>4354.2032699199017</v>
      </c>
      <c r="J19" s="205">
        <f>J2*J44</f>
        <v>4902.1681166506824</v>
      </c>
      <c r="K19" s="205">
        <f>K2*K44</f>
        <v>5435.9710232765892</v>
      </c>
      <c r="L19" s="21"/>
      <c r="M19" s="708" t="s">
        <v>711</v>
      </c>
      <c r="N19" s="21"/>
      <c r="O19" s="21"/>
      <c r="P19" s="21"/>
      <c r="Q19" s="21"/>
      <c r="R19" s="21"/>
      <c r="S19" s="21"/>
      <c r="T19" s="21"/>
      <c r="U19" s="21"/>
      <c r="V19" s="21"/>
      <c r="W19" s="21"/>
      <c r="X19" s="21"/>
      <c r="Y19" s="21"/>
      <c r="Z19" s="21"/>
    </row>
    <row r="20" spans="1:26" ht="13.5" customHeight="1">
      <c r="A20" s="26" t="s">
        <v>714</v>
      </c>
      <c r="B20" s="176">
        <v>2205679.6</v>
      </c>
      <c r="C20" s="176">
        <v>2878724.1</v>
      </c>
      <c r="D20" s="176">
        <v>3834269.5</v>
      </c>
      <c r="E20" s="176">
        <v>3917767.8</v>
      </c>
      <c r="F20" s="176">
        <v>4898869.3</v>
      </c>
      <c r="G20" s="205">
        <f>G18-G19</f>
        <v>6651811.6393582271</v>
      </c>
      <c r="H20" s="205">
        <f>H18-H19</f>
        <v>8278315.4487044374</v>
      </c>
      <c r="I20" s="205">
        <f>I18-I19</f>
        <v>10751847.015672857</v>
      </c>
      <c r="J20" s="205">
        <f>J18-J19</f>
        <v>12944363.513554115</v>
      </c>
      <c r="K20" s="205">
        <f>K18-K19</f>
        <v>14527453.210988542</v>
      </c>
      <c r="L20" s="229"/>
      <c r="M20" s="710" t="s">
        <v>712</v>
      </c>
      <c r="N20" s="21"/>
      <c r="O20" s="21"/>
      <c r="P20" s="21"/>
      <c r="Q20" s="21"/>
      <c r="R20" s="21"/>
      <c r="S20" s="21"/>
      <c r="T20" s="21"/>
      <c r="U20" s="21"/>
      <c r="V20" s="21"/>
      <c r="W20" s="21"/>
      <c r="X20" s="21"/>
      <c r="Y20" s="21"/>
      <c r="Z20" s="21"/>
    </row>
    <row r="21" spans="1:26" ht="13.5" customHeight="1">
      <c r="A21" s="21"/>
      <c r="B21" s="176"/>
      <c r="C21" s="176"/>
      <c r="D21" s="176"/>
      <c r="E21" s="176"/>
      <c r="F21" s="176"/>
      <c r="G21" s="205"/>
      <c r="H21" s="205"/>
      <c r="I21" s="205"/>
      <c r="J21" s="205"/>
      <c r="K21" s="205"/>
      <c r="L21" s="229"/>
      <c r="M21" s="708" t="s">
        <v>713</v>
      </c>
      <c r="N21" s="21"/>
      <c r="O21" s="21"/>
      <c r="P21" s="21"/>
      <c r="Q21" s="21"/>
      <c r="R21" s="21"/>
      <c r="S21" s="21"/>
      <c r="T21" s="21"/>
      <c r="U21" s="21"/>
      <c r="V21" s="21"/>
      <c r="W21" s="21"/>
      <c r="X21" s="21"/>
      <c r="Y21" s="21"/>
      <c r="Z21" s="21"/>
    </row>
    <row r="22" spans="1:26" ht="13.5" customHeight="1">
      <c r="A22" s="21" t="s">
        <v>716</v>
      </c>
      <c r="B22" s="220"/>
      <c r="C22" s="220"/>
      <c r="D22" s="220"/>
      <c r="E22" s="220">
        <f>690259427</f>
        <v>690259427</v>
      </c>
      <c r="F22" s="220">
        <f>710319805</f>
        <v>710319805</v>
      </c>
      <c r="G22" s="227">
        <f>DCF!B40*2</f>
        <v>1463709630</v>
      </c>
      <c r="H22" s="227">
        <f>G22</f>
        <v>1463709630</v>
      </c>
      <c r="I22" s="227">
        <f>H22</f>
        <v>1463709630</v>
      </c>
      <c r="J22" s="227">
        <f>I22</f>
        <v>1463709630</v>
      </c>
      <c r="K22" s="227">
        <f>J22</f>
        <v>1463709630</v>
      </c>
      <c r="L22" s="21"/>
      <c r="M22" s="707" t="s">
        <v>714</v>
      </c>
      <c r="N22" s="21"/>
      <c r="O22" s="21"/>
      <c r="P22" s="21"/>
      <c r="Q22" s="21"/>
      <c r="R22" s="21"/>
      <c r="S22" s="21"/>
      <c r="T22" s="21"/>
      <c r="U22" s="21"/>
      <c r="V22" s="21"/>
      <c r="W22" s="21"/>
      <c r="X22" s="21"/>
      <c r="Y22" s="21"/>
      <c r="Z22" s="21"/>
    </row>
    <row r="23" spans="1:26" ht="13.5" customHeight="1">
      <c r="A23" s="21" t="s">
        <v>25</v>
      </c>
      <c r="B23" s="220"/>
      <c r="C23" s="220"/>
      <c r="D23" s="220"/>
      <c r="E23" s="230">
        <f>E20*10^6/E22</f>
        <v>5675.7903575868149</v>
      </c>
      <c r="F23" s="230">
        <f>F20*10^6/F22</f>
        <v>6896.7094335768943</v>
      </c>
      <c r="G23" s="227">
        <f>(G20*10^6)/G22</f>
        <v>4544.4885399559935</v>
      </c>
      <c r="H23" s="227">
        <f>(H20*10^6)/H22</f>
        <v>5655.7088093383918</v>
      </c>
      <c r="I23" s="227">
        <f>(I20*10^6)/I22</f>
        <v>7345.6147280201039</v>
      </c>
      <c r="J23" s="227">
        <f>(J20*10^6)/J22</f>
        <v>8843.5323839155953</v>
      </c>
      <c r="K23" s="227">
        <f>(K20*10^6)/K22</f>
        <v>9925.0923224359358</v>
      </c>
      <c r="L23" s="21"/>
      <c r="M23" s="21"/>
      <c r="N23" s="21"/>
      <c r="O23" s="21"/>
      <c r="P23" s="21"/>
      <c r="Q23" s="21"/>
      <c r="R23" s="21"/>
      <c r="S23" s="21"/>
      <c r="T23" s="21"/>
      <c r="U23" s="21"/>
      <c r="V23" s="21"/>
      <c r="W23" s="21"/>
      <c r="X23" s="21"/>
      <c r="Y23" s="21"/>
      <c r="Z23" s="21"/>
    </row>
    <row r="24" spans="1:26" ht="13.5" customHeight="1">
      <c r="A24" s="21"/>
      <c r="B24" s="229"/>
      <c r="C24" s="229"/>
      <c r="D24" s="229"/>
      <c r="E24" s="229"/>
      <c r="F24" s="229"/>
      <c r="G24" s="21"/>
      <c r="H24" s="21"/>
      <c r="I24" s="21"/>
      <c r="J24" s="21"/>
      <c r="K24" s="21"/>
      <c r="L24" s="21"/>
      <c r="M24" s="21"/>
      <c r="N24" s="21"/>
      <c r="O24" s="21"/>
      <c r="P24" s="21"/>
      <c r="Q24" s="21"/>
      <c r="R24" s="21"/>
      <c r="S24" s="21"/>
      <c r="T24" s="21"/>
      <c r="U24" s="21"/>
      <c r="V24" s="21"/>
      <c r="W24" s="21"/>
      <c r="X24" s="21"/>
      <c r="Y24" s="21"/>
      <c r="Z24" s="21"/>
    </row>
    <row r="25" spans="1:26" ht="20.25" customHeight="1">
      <c r="A25" s="231" t="s">
        <v>717</v>
      </c>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spans="1:26" s="225" customFormat="1" ht="13.5" customHeight="1">
      <c r="A26" s="232" t="s">
        <v>715</v>
      </c>
      <c r="B26" s="233">
        <f t="shared" ref="B26:K26" si="2">B2/B$2</f>
        <v>1</v>
      </c>
      <c r="C26" s="233">
        <f t="shared" si="2"/>
        <v>1</v>
      </c>
      <c r="D26" s="233">
        <f t="shared" si="2"/>
        <v>1</v>
      </c>
      <c r="E26" s="233">
        <f t="shared" si="2"/>
        <v>1</v>
      </c>
      <c r="F26" s="233">
        <f t="shared" si="2"/>
        <v>1</v>
      </c>
      <c r="G26" s="234">
        <f t="shared" si="2"/>
        <v>1</v>
      </c>
      <c r="H26" s="234">
        <f t="shared" si="2"/>
        <v>1</v>
      </c>
      <c r="I26" s="234">
        <f t="shared" si="2"/>
        <v>1</v>
      </c>
      <c r="J26" s="234">
        <f t="shared" si="2"/>
        <v>1</v>
      </c>
      <c r="K26" s="234">
        <f t="shared" si="2"/>
        <v>1</v>
      </c>
      <c r="L26" s="26"/>
      <c r="M26" s="26"/>
      <c r="N26" s="26"/>
      <c r="O26" s="26"/>
      <c r="P26" s="26"/>
      <c r="Q26" s="26"/>
      <c r="R26" s="26"/>
      <c r="S26" s="26"/>
      <c r="T26" s="26"/>
      <c r="U26" s="26"/>
      <c r="V26" s="26"/>
      <c r="W26" s="26"/>
      <c r="X26" s="26"/>
      <c r="Y26" s="26"/>
      <c r="Z26" s="26"/>
    </row>
    <row r="27" spans="1:26" ht="13.5" customHeight="1">
      <c r="A27" s="235" t="s">
        <v>698</v>
      </c>
      <c r="B27" s="236">
        <f t="shared" ref="B27:K27" si="3">B3/B$2</f>
        <v>0.83204986155204841</v>
      </c>
      <c r="C27" s="236">
        <f t="shared" si="3"/>
        <v>0.82324567627364775</v>
      </c>
      <c r="D27" s="236">
        <f t="shared" si="3"/>
        <v>0.80926896508282464</v>
      </c>
      <c r="E27" s="236">
        <f t="shared" si="3"/>
        <v>0.77931482548871389</v>
      </c>
      <c r="F27" s="236">
        <f t="shared" si="3"/>
        <v>0.77527197777812873</v>
      </c>
      <c r="G27" s="237">
        <f t="shared" si="3"/>
        <v>0.77315537377436128</v>
      </c>
      <c r="H27" s="237">
        <f t="shared" si="3"/>
        <v>0.77468602983863599</v>
      </c>
      <c r="I27" s="237">
        <f t="shared" si="3"/>
        <v>0.77227404022433144</v>
      </c>
      <c r="J27" s="237">
        <f t="shared" si="3"/>
        <v>0.76974132937149298</v>
      </c>
      <c r="K27" s="237">
        <f t="shared" si="3"/>
        <v>0.76874450944764883</v>
      </c>
      <c r="L27" s="21"/>
      <c r="M27" s="21"/>
      <c r="N27" s="21"/>
      <c r="O27" s="21"/>
      <c r="P27" s="21"/>
      <c r="Q27" s="21"/>
      <c r="R27" s="21"/>
      <c r="S27" s="21"/>
      <c r="T27" s="21"/>
      <c r="U27" s="21"/>
      <c r="V27" s="21"/>
      <c r="W27" s="21"/>
      <c r="X27" s="21"/>
      <c r="Y27" s="21"/>
      <c r="Z27" s="21"/>
    </row>
    <row r="28" spans="1:26" s="225" customFormat="1" ht="13.5" customHeight="1">
      <c r="A28" s="232" t="s">
        <v>699</v>
      </c>
      <c r="B28" s="238">
        <f t="shared" ref="B28:K28" si="4">B4/B$2</f>
        <v>0.16795013844795159</v>
      </c>
      <c r="C28" s="238">
        <f t="shared" si="4"/>
        <v>0.17675432372635225</v>
      </c>
      <c r="D28" s="238">
        <f t="shared" si="4"/>
        <v>0.19073103491717541</v>
      </c>
      <c r="E28" s="238">
        <f t="shared" si="4"/>
        <v>0.22068517451128611</v>
      </c>
      <c r="F28" s="238">
        <f t="shared" si="4"/>
        <v>0.22472802222187124</v>
      </c>
      <c r="G28" s="239">
        <f t="shared" si="4"/>
        <v>0.22684462622563872</v>
      </c>
      <c r="H28" s="239">
        <f t="shared" si="4"/>
        <v>0.22531397016136406</v>
      </c>
      <c r="I28" s="239">
        <f t="shared" si="4"/>
        <v>0.22772595977566851</v>
      </c>
      <c r="J28" s="239">
        <f t="shared" si="4"/>
        <v>0.23025867062850705</v>
      </c>
      <c r="K28" s="239">
        <f t="shared" si="4"/>
        <v>0.23125549055235115</v>
      </c>
      <c r="L28" s="26"/>
      <c r="M28" s="26"/>
      <c r="N28" s="26"/>
      <c r="O28" s="26"/>
      <c r="P28" s="26"/>
      <c r="Q28" s="26"/>
      <c r="R28" s="26"/>
      <c r="S28" s="26"/>
      <c r="T28" s="26"/>
      <c r="U28" s="26"/>
      <c r="V28" s="26"/>
      <c r="W28" s="26"/>
      <c r="X28" s="26"/>
      <c r="Y28" s="26"/>
      <c r="Z28" s="26"/>
    </row>
    <row r="29" spans="1:26" ht="13.5" customHeight="1">
      <c r="A29" s="235" t="s">
        <v>700</v>
      </c>
      <c r="B29" s="240">
        <f t="shared" ref="B29:K29" si="5">B5/B$2</f>
        <v>3.776161280861905E-3</v>
      </c>
      <c r="C29" s="240">
        <f t="shared" si="5"/>
        <v>3.9539826761173886E-3</v>
      </c>
      <c r="D29" s="240">
        <f t="shared" si="5"/>
        <v>6.1774658200553952E-3</v>
      </c>
      <c r="E29" s="240">
        <f t="shared" si="5"/>
        <v>7.3159918916861034E-3</v>
      </c>
      <c r="F29" s="236">
        <f t="shared" si="5"/>
        <v>1.0474754701837426E-2</v>
      </c>
      <c r="G29" s="237">
        <f t="shared" si="5"/>
        <v>8.8408289831083259E-3</v>
      </c>
      <c r="H29" s="237">
        <f t="shared" si="5"/>
        <v>7.5368062381403972E-3</v>
      </c>
      <c r="I29" s="237">
        <f t="shared" si="5"/>
        <v>6.9413031162026562E-3</v>
      </c>
      <c r="J29" s="237">
        <f t="shared" si="5"/>
        <v>6.5636818717144671E-3</v>
      </c>
      <c r="K29" s="237">
        <f t="shared" si="5"/>
        <v>6.2607361189085291E-3</v>
      </c>
      <c r="L29" s="21"/>
      <c r="M29" s="21"/>
      <c r="N29" s="21"/>
      <c r="O29" s="21"/>
      <c r="P29" s="21"/>
      <c r="Q29" s="21"/>
      <c r="R29" s="21"/>
      <c r="S29" s="21"/>
      <c r="T29" s="21"/>
      <c r="U29" s="21"/>
      <c r="V29" s="21"/>
      <c r="W29" s="21"/>
      <c r="X29" s="21"/>
      <c r="Y29" s="21"/>
      <c r="Z29" s="21"/>
    </row>
    <row r="30" spans="1:26" ht="13.5" customHeight="1">
      <c r="A30" s="235" t="s">
        <v>701</v>
      </c>
      <c r="B30" s="240">
        <f t="shared" ref="B30:K30" si="6">B6/B$2</f>
        <v>3.5316142823345865E-3</v>
      </c>
      <c r="C30" s="240">
        <f t="shared" si="6"/>
        <v>5.0461388848090536E-3</v>
      </c>
      <c r="D30" s="240">
        <f t="shared" si="6"/>
        <v>5.5763055119840187E-3</v>
      </c>
      <c r="E30" s="240">
        <f t="shared" si="6"/>
        <v>5.4737290380809786E-3</v>
      </c>
      <c r="F30" s="240">
        <f t="shared" si="6"/>
        <v>5.812607421089743E-3</v>
      </c>
      <c r="G30" s="237">
        <f t="shared" si="6"/>
        <v>5.915073990314451E-3</v>
      </c>
      <c r="H30" s="237">
        <f t="shared" si="6"/>
        <v>5.1277273012477345E-3</v>
      </c>
      <c r="I30" s="237">
        <f t="shared" si="6"/>
        <v>5.1886515110380902E-3</v>
      </c>
      <c r="J30" s="237">
        <f t="shared" si="6"/>
        <v>4.5397644148255879E-3</v>
      </c>
      <c r="K30" s="237">
        <f t="shared" si="6"/>
        <v>4.6607243168990788E-3</v>
      </c>
      <c r="L30" s="21"/>
      <c r="M30" s="21"/>
      <c r="N30" s="21"/>
      <c r="O30" s="21"/>
      <c r="P30" s="21"/>
      <c r="Q30" s="21"/>
      <c r="R30" s="21"/>
      <c r="S30" s="21"/>
      <c r="T30" s="21"/>
      <c r="U30" s="21"/>
      <c r="V30" s="21"/>
      <c r="W30" s="21"/>
      <c r="X30" s="21"/>
      <c r="Y30" s="21"/>
      <c r="Z30" s="21"/>
    </row>
    <row r="31" spans="1:26" ht="13.5" customHeight="1">
      <c r="A31" s="235" t="s">
        <v>718</v>
      </c>
      <c r="B31" s="217">
        <f>(B6-B7)/B2</f>
        <v>1.6344636724146638E-5</v>
      </c>
      <c r="C31" s="217">
        <f>(C6-C7)/C2</f>
        <v>1.8100638091419125E-6</v>
      </c>
      <c r="D31" s="217">
        <f>(D6-D7)/D2</f>
        <v>1.5836672106916622E-5</v>
      </c>
      <c r="E31" s="217">
        <f>(E6-E7)/E2</f>
        <v>1.3607131832946743E-6</v>
      </c>
      <c r="F31" s="217">
        <f>(F6-F7)/F2</f>
        <v>3.2758718621805449E-4</v>
      </c>
      <c r="G31" s="218">
        <f>AVERAGE(B31:F31)</f>
        <v>7.2587854408310868E-5</v>
      </c>
      <c r="H31" s="218">
        <f>AVERAGE(C31:G31)</f>
        <v>8.3836497945143711E-5</v>
      </c>
      <c r="I31" s="218">
        <f>AVERAGE(D31:H31)</f>
        <v>1.0024178477234408E-4</v>
      </c>
      <c r="J31" s="218">
        <f>AVERAGE(E31:I31)</f>
        <v>1.1712280730542956E-4</v>
      </c>
      <c r="K31" s="218">
        <f>AVERAGE(F31:J31)</f>
        <v>1.4027522612985655E-4</v>
      </c>
      <c r="L31" s="21"/>
      <c r="M31" s="21"/>
      <c r="N31" s="21"/>
      <c r="O31" s="21"/>
      <c r="P31" s="21"/>
      <c r="Q31" s="21"/>
      <c r="R31" s="21"/>
      <c r="S31" s="21"/>
      <c r="T31" s="21"/>
      <c r="U31" s="21"/>
      <c r="V31" s="21"/>
      <c r="W31" s="21"/>
      <c r="X31" s="21"/>
      <c r="Y31" s="21"/>
      <c r="Z31" s="21"/>
    </row>
    <row r="32" spans="1:26" ht="13.5" customHeight="1">
      <c r="A32" s="235" t="s">
        <v>454</v>
      </c>
      <c r="B32" s="240">
        <f t="shared" ref="B32:F38" si="7">B7/B$2</f>
        <v>3.5152696456104398E-3</v>
      </c>
      <c r="C32" s="240">
        <f t="shared" si="7"/>
        <v>5.044328820999912E-3</v>
      </c>
      <c r="D32" s="240">
        <f t="shared" si="7"/>
        <v>5.5604688398771017E-3</v>
      </c>
      <c r="E32" s="240">
        <f t="shared" si="7"/>
        <v>5.4723683248976843E-3</v>
      </c>
      <c r="F32" s="240">
        <f t="shared" si="7"/>
        <v>5.4850202348716882E-3</v>
      </c>
      <c r="G32" s="241">
        <f>G7/G2</f>
        <v>5.8424861359061405E-3</v>
      </c>
      <c r="H32" s="241">
        <f>H7/H2</f>
        <v>5.0438908033025908E-3</v>
      </c>
      <c r="I32" s="241">
        <f>I7/I2</f>
        <v>5.0884097262657458E-3</v>
      </c>
      <c r="J32" s="241">
        <f>J7/J2</f>
        <v>4.4226416075201589E-3</v>
      </c>
      <c r="K32" s="241">
        <f>K7/K2</f>
        <v>4.5204490907692213E-3</v>
      </c>
      <c r="L32" s="21"/>
      <c r="M32" s="21"/>
      <c r="N32" s="21"/>
      <c r="O32" s="21"/>
      <c r="P32" s="21"/>
      <c r="Q32" s="21"/>
      <c r="R32" s="21"/>
      <c r="S32" s="21"/>
      <c r="T32" s="21"/>
      <c r="U32" s="21"/>
      <c r="V32" s="21"/>
      <c r="W32" s="21"/>
      <c r="X32" s="21"/>
      <c r="Y32" s="21"/>
      <c r="Z32" s="21"/>
    </row>
    <row r="33" spans="1:26" ht="13.5" customHeight="1">
      <c r="A33" s="235" t="s">
        <v>702</v>
      </c>
      <c r="B33" s="240">
        <f t="shared" si="7"/>
        <v>0</v>
      </c>
      <c r="C33" s="240">
        <f t="shared" si="7"/>
        <v>-2.4284444846783589E-5</v>
      </c>
      <c r="D33" s="240">
        <f t="shared" si="7"/>
        <v>-3.3993889888727734E-5</v>
      </c>
      <c r="E33" s="240">
        <f t="shared" si="7"/>
        <v>-3.415049220823709E-5</v>
      </c>
      <c r="F33" s="240">
        <f t="shared" si="7"/>
        <v>-1.7977667923757976E-5</v>
      </c>
      <c r="G33" s="241">
        <f>AVERAGE(D33:F33)</f>
        <v>-2.8707350006907597E-5</v>
      </c>
      <c r="H33" s="241">
        <f>AVERAGE(E33:G33)</f>
        <v>-2.6945170046300886E-5</v>
      </c>
      <c r="I33" s="241">
        <f>AVERAGE(F33:H33)</f>
        <v>-2.4543395992322153E-5</v>
      </c>
      <c r="J33" s="241">
        <f>AVERAGE(G33:I33)</f>
        <v>-2.673197201517688E-5</v>
      </c>
      <c r="K33" s="241">
        <f>AVERAGE(H33:J33)</f>
        <v>-2.6073512684599976E-5</v>
      </c>
      <c r="L33" s="21"/>
      <c r="M33" s="21"/>
      <c r="N33" s="21"/>
      <c r="O33" s="21"/>
      <c r="P33" s="21"/>
      <c r="Q33" s="21"/>
      <c r="R33" s="21"/>
      <c r="S33" s="21"/>
      <c r="T33" s="21"/>
      <c r="U33" s="21"/>
      <c r="V33" s="21"/>
      <c r="W33" s="21"/>
      <c r="X33" s="21"/>
      <c r="Y33" s="21"/>
      <c r="Z33" s="21"/>
    </row>
    <row r="34" spans="1:26" ht="13.5" customHeight="1">
      <c r="A34" s="235" t="s">
        <v>703</v>
      </c>
      <c r="B34" s="240">
        <f t="shared" si="7"/>
        <v>0.1057745253339171</v>
      </c>
      <c r="C34" s="240">
        <f t="shared" si="7"/>
        <v>0.11165228577134846</v>
      </c>
      <c r="D34" s="240">
        <f t="shared" si="7"/>
        <v>0.12172620234899902</v>
      </c>
      <c r="E34" s="240">
        <f t="shared" si="7"/>
        <v>0.14126541758398536</v>
      </c>
      <c r="F34" s="240">
        <f t="shared" si="7"/>
        <v>0.14569330862522126</v>
      </c>
      <c r="G34" s="241">
        <v>0.14000000000000001</v>
      </c>
      <c r="H34" s="241">
        <f>G34-0.3%</f>
        <v>0.13700000000000001</v>
      </c>
      <c r="I34" s="241">
        <f>H34-0.2%</f>
        <v>0.13500000000000001</v>
      </c>
      <c r="J34" s="241">
        <f>I34</f>
        <v>0.13500000000000001</v>
      </c>
      <c r="K34" s="241">
        <f>J34</f>
        <v>0.13500000000000001</v>
      </c>
      <c r="L34" s="21"/>
      <c r="M34" s="21"/>
      <c r="N34" s="21"/>
      <c r="O34" s="21"/>
      <c r="P34" s="21"/>
      <c r="Q34" s="21"/>
      <c r="R34" s="21"/>
      <c r="S34" s="21"/>
      <c r="T34" s="21"/>
      <c r="U34" s="21"/>
      <c r="V34" s="21"/>
      <c r="W34" s="21"/>
      <c r="X34" s="21"/>
      <c r="Y34" s="21"/>
      <c r="Z34" s="21"/>
    </row>
    <row r="35" spans="1:26" ht="13.5" customHeight="1">
      <c r="A35" s="235" t="s">
        <v>704</v>
      </c>
      <c r="B35" s="240">
        <f t="shared" si="7"/>
        <v>2.0281901887193088E-2</v>
      </c>
      <c r="C35" s="240">
        <f t="shared" si="7"/>
        <v>2.0361644738637476E-2</v>
      </c>
      <c r="D35" s="240">
        <f t="shared" si="7"/>
        <v>2.0296532852251883E-2</v>
      </c>
      <c r="E35" s="240">
        <f t="shared" si="7"/>
        <v>3.1363948760251038E-2</v>
      </c>
      <c r="F35" s="240">
        <f t="shared" si="7"/>
        <v>3.1095063361585074E-2</v>
      </c>
      <c r="G35" s="241">
        <f>F35+0.25%</f>
        <v>3.3595063361585076E-2</v>
      </c>
      <c r="H35" s="241">
        <f>G35</f>
        <v>3.3595063361585076E-2</v>
      </c>
      <c r="I35" s="241">
        <f>H35-0.2%</f>
        <v>3.1595063361585074E-2</v>
      </c>
      <c r="J35" s="241">
        <f>I35-0.1%</f>
        <v>3.0595063361585073E-2</v>
      </c>
      <c r="K35" s="241">
        <f>J35</f>
        <v>3.0595063361585073E-2</v>
      </c>
      <c r="L35" s="21"/>
      <c r="M35" s="21"/>
      <c r="N35" s="21"/>
      <c r="O35" s="21"/>
      <c r="P35" s="21"/>
      <c r="Q35" s="21"/>
      <c r="R35" s="21"/>
      <c r="S35" s="21"/>
      <c r="T35" s="21"/>
      <c r="U35" s="21"/>
      <c r="V35" s="21"/>
      <c r="W35" s="21"/>
      <c r="X35" s="21"/>
      <c r="Y35" s="21"/>
      <c r="Z35" s="21"/>
    </row>
    <row r="36" spans="1:26" s="225" customFormat="1" ht="13.5" customHeight="1">
      <c r="A36" s="232" t="s">
        <v>705</v>
      </c>
      <c r="B36" s="242">
        <f t="shared" si="7"/>
        <v>4.2138258225368708E-2</v>
      </c>
      <c r="C36" s="242">
        <f t="shared" si="7"/>
        <v>4.3623952562827854E-2</v>
      </c>
      <c r="D36" s="242">
        <f t="shared" si="7"/>
        <v>4.9275465155386916E-2</v>
      </c>
      <c r="E36" s="242">
        <f t="shared" si="7"/>
        <v>4.9863918685910141E-2</v>
      </c>
      <c r="F36" s="242">
        <f t="shared" si="7"/>
        <v>5.2583819847888832E-2</v>
      </c>
      <c r="G36" s="243">
        <f>G11/G2</f>
        <v>5.6146610506840632E-2</v>
      </c>
      <c r="H36" s="243">
        <f>H11/H2</f>
        <v>5.7101040566625322E-2</v>
      </c>
      <c r="I36" s="243">
        <f>I11/I2</f>
        <v>6.2859004623255679E-2</v>
      </c>
      <c r="J36" s="243">
        <f>J11/J2</f>
        <v>6.6660792751795678E-2</v>
      </c>
      <c r="K36" s="243">
        <f>K11/K2</f>
        <v>6.7234365480090916E-2</v>
      </c>
      <c r="L36" s="26"/>
      <c r="M36" s="26"/>
      <c r="N36" s="26"/>
      <c r="O36" s="26"/>
      <c r="P36" s="26"/>
      <c r="Q36" s="26"/>
      <c r="R36" s="26"/>
      <c r="S36" s="26"/>
      <c r="T36" s="26"/>
      <c r="U36" s="26"/>
      <c r="V36" s="26"/>
      <c r="W36" s="26"/>
      <c r="X36" s="26"/>
      <c r="Y36" s="26"/>
      <c r="Z36" s="26"/>
    </row>
    <row r="37" spans="1:26" ht="13.5" customHeight="1">
      <c r="A37" s="235" t="s">
        <v>706</v>
      </c>
      <c r="B37" s="240">
        <f t="shared" si="7"/>
        <v>2.6657600535999167E-4</v>
      </c>
      <c r="C37" s="240">
        <f t="shared" si="7"/>
        <v>3.8412767297792149E-4</v>
      </c>
      <c r="D37" s="240">
        <f t="shared" si="7"/>
        <v>4.0672676765780619E-4</v>
      </c>
      <c r="E37" s="240">
        <f t="shared" si="7"/>
        <v>4.0086868334979577E-4</v>
      </c>
      <c r="F37" s="240">
        <f t="shared" si="7"/>
        <v>4.4627232592028354E-4</v>
      </c>
      <c r="G37" s="241">
        <f t="shared" ref="G37:K38" si="8">AVERAGE(E37:F37)</f>
        <v>4.2357050463503966E-4</v>
      </c>
      <c r="H37" s="241">
        <f t="shared" si="8"/>
        <v>4.349214152776616E-4</v>
      </c>
      <c r="I37" s="241">
        <f t="shared" si="8"/>
        <v>4.292459599563506E-4</v>
      </c>
      <c r="J37" s="241">
        <f t="shared" si="8"/>
        <v>4.3208368761700608E-4</v>
      </c>
      <c r="K37" s="241">
        <f t="shared" si="8"/>
        <v>4.3066482378667834E-4</v>
      </c>
      <c r="L37" s="21"/>
      <c r="M37" s="21"/>
      <c r="N37" s="21"/>
      <c r="O37" s="21"/>
      <c r="P37" s="21"/>
      <c r="Q37" s="21"/>
      <c r="R37" s="21"/>
      <c r="S37" s="21"/>
      <c r="T37" s="21"/>
      <c r="U37" s="21"/>
      <c r="V37" s="21"/>
      <c r="W37" s="21"/>
      <c r="X37" s="21"/>
      <c r="Y37" s="21"/>
      <c r="Z37" s="21"/>
    </row>
    <row r="38" spans="1:26" ht="13.5" customHeight="1">
      <c r="A38" s="235" t="s">
        <v>707</v>
      </c>
      <c r="B38" s="240">
        <f t="shared" si="7"/>
        <v>5.7528056436440308E-5</v>
      </c>
      <c r="C38" s="240">
        <f t="shared" si="7"/>
        <v>2.4385235117637446E-4</v>
      </c>
      <c r="D38" s="240">
        <f t="shared" si="7"/>
        <v>2.2308263910423453E-4</v>
      </c>
      <c r="E38" s="240">
        <f t="shared" si="7"/>
        <v>4.2661352418065678E-4</v>
      </c>
      <c r="F38" s="240">
        <f t="shared" si="7"/>
        <v>3.9766389993217373E-4</v>
      </c>
      <c r="G38" s="241">
        <f t="shared" si="8"/>
        <v>4.1213871205641529E-4</v>
      </c>
      <c r="H38" s="241">
        <f t="shared" si="8"/>
        <v>4.0490130599429451E-4</v>
      </c>
      <c r="I38" s="241">
        <f t="shared" si="8"/>
        <v>4.085200090253549E-4</v>
      </c>
      <c r="J38" s="241">
        <f t="shared" si="8"/>
        <v>4.067106575098247E-4</v>
      </c>
      <c r="K38" s="241">
        <f t="shared" si="8"/>
        <v>4.076153332675898E-4</v>
      </c>
      <c r="L38" s="21"/>
      <c r="M38" s="21"/>
      <c r="N38" s="21"/>
      <c r="O38" s="21"/>
      <c r="P38" s="21"/>
      <c r="Q38" s="21"/>
      <c r="R38" s="21"/>
      <c r="S38" s="21"/>
      <c r="T38" s="21"/>
      <c r="U38" s="21"/>
      <c r="V38" s="21"/>
      <c r="W38" s="21"/>
      <c r="X38" s="21"/>
      <c r="Y38" s="21"/>
      <c r="Z38" s="21"/>
    </row>
    <row r="39" spans="1:26" ht="13.5" customHeight="1">
      <c r="A39" s="235" t="s">
        <v>708</v>
      </c>
      <c r="B39" s="240">
        <f t="shared" ref="B39:K39" si="9">B14/B$2</f>
        <v>2.0904945631419273E-4</v>
      </c>
      <c r="C39" s="240">
        <f t="shared" si="9"/>
        <v>1.4027647765327701E-4</v>
      </c>
      <c r="D39" s="240">
        <f t="shared" si="9"/>
        <v>1.8364510727380572E-4</v>
      </c>
      <c r="E39" s="240">
        <f t="shared" si="9"/>
        <v>-2.5744840830860978E-5</v>
      </c>
      <c r="F39" s="240">
        <f t="shared" si="9"/>
        <v>4.8608425988109783E-5</v>
      </c>
      <c r="G39" s="241">
        <f t="shared" si="9"/>
        <v>1.1431792578624392E-5</v>
      </c>
      <c r="H39" s="241">
        <f t="shared" si="9"/>
        <v>3.0020109283367085E-5</v>
      </c>
      <c r="I39" s="241">
        <f t="shared" si="9"/>
        <v>2.0725950930995733E-5</v>
      </c>
      <c r="J39" s="241">
        <f t="shared" si="9"/>
        <v>2.5373030107181358E-5</v>
      </c>
      <c r="K39" s="241">
        <f t="shared" si="9"/>
        <v>2.3049490519088512E-5</v>
      </c>
      <c r="L39" s="21"/>
      <c r="M39" s="21"/>
      <c r="N39" s="21"/>
      <c r="O39" s="21"/>
      <c r="P39" s="21"/>
      <c r="Q39" s="21"/>
      <c r="R39" s="21"/>
      <c r="S39" s="21"/>
      <c r="T39" s="21"/>
      <c r="U39" s="21"/>
      <c r="V39" s="21"/>
      <c r="W39" s="21"/>
      <c r="X39" s="21"/>
      <c r="Y39" s="21"/>
      <c r="Z39" s="21"/>
    </row>
    <row r="40" spans="1:26" s="225" customFormat="1" ht="13.5" customHeight="1">
      <c r="A40" s="232" t="s">
        <v>709</v>
      </c>
      <c r="B40" s="242">
        <f t="shared" ref="B40:K40" si="10">B15/B$2</f>
        <v>4.2347306174292262E-2</v>
      </c>
      <c r="C40" s="242">
        <f t="shared" si="10"/>
        <v>4.3764229040481127E-2</v>
      </c>
      <c r="D40" s="242">
        <f t="shared" si="10"/>
        <v>4.945911026266072E-2</v>
      </c>
      <c r="E40" s="242">
        <f t="shared" si="10"/>
        <v>4.9838173845079277E-2</v>
      </c>
      <c r="F40" s="242">
        <f t="shared" si="10"/>
        <v>5.2632429087162071E-2</v>
      </c>
      <c r="G40" s="243">
        <f t="shared" si="10"/>
        <v>5.6158042299419259E-2</v>
      </c>
      <c r="H40" s="243">
        <f t="shared" si="10"/>
        <v>5.7131060675908688E-2</v>
      </c>
      <c r="I40" s="243">
        <f t="shared" si="10"/>
        <v>6.2879730574186665E-2</v>
      </c>
      <c r="J40" s="243">
        <f t="shared" si="10"/>
        <v>6.6686165781902867E-2</v>
      </c>
      <c r="K40" s="243">
        <f t="shared" si="10"/>
        <v>6.7257414970609997E-2</v>
      </c>
      <c r="L40" s="26"/>
      <c r="M40" s="26"/>
      <c r="N40" s="26"/>
      <c r="O40" s="26"/>
      <c r="P40" s="26"/>
      <c r="Q40" s="26"/>
      <c r="R40" s="26"/>
      <c r="S40" s="26"/>
      <c r="T40" s="26"/>
      <c r="U40" s="26"/>
      <c r="V40" s="26"/>
      <c r="W40" s="26"/>
      <c r="X40" s="26"/>
      <c r="Y40" s="26"/>
      <c r="Z40" s="26"/>
    </row>
    <row r="41" spans="1:26" ht="13.5" customHeight="1">
      <c r="A41" s="235" t="s">
        <v>710</v>
      </c>
      <c r="B41" s="240">
        <f t="shared" ref="B41:F44" si="11">B16/B$2</f>
        <v>9.6434351550286901E-3</v>
      </c>
      <c r="C41" s="240">
        <f t="shared" si="11"/>
        <v>1.0793767652095379E-2</v>
      </c>
      <c r="D41" s="240">
        <f t="shared" si="11"/>
        <v>1.2217884381899611E-2</v>
      </c>
      <c r="E41" s="240">
        <f t="shared" si="11"/>
        <v>1.4725678605421955E-2</v>
      </c>
      <c r="F41" s="240">
        <f t="shared" si="11"/>
        <v>1.3280748637035164E-2</v>
      </c>
      <c r="G41" s="241">
        <f>AVERAGE(D41:F41)</f>
        <v>1.3408103874785577E-2</v>
      </c>
      <c r="H41" s="241">
        <f>AVERAGE(E41:G41)</f>
        <v>1.3804843705747563E-2</v>
      </c>
      <c r="I41" s="241">
        <f>AVERAGE(F41:H41)</f>
        <v>1.3497898739189435E-2</v>
      </c>
      <c r="J41" s="241">
        <f>AVERAGE(G41:I41)</f>
        <v>1.3570282106574192E-2</v>
      </c>
      <c r="K41" s="241">
        <f>AVERAGE(H41:J41)</f>
        <v>1.3624341517170397E-2</v>
      </c>
      <c r="L41" s="21"/>
      <c r="M41" s="21"/>
      <c r="N41" s="21"/>
      <c r="O41" s="21"/>
      <c r="P41" s="21"/>
      <c r="Q41" s="21"/>
      <c r="R41" s="21"/>
      <c r="S41" s="21"/>
      <c r="T41" s="21"/>
      <c r="U41" s="21"/>
      <c r="V41" s="21"/>
      <c r="W41" s="21"/>
      <c r="X41" s="21"/>
      <c r="Y41" s="21"/>
      <c r="Z41" s="21"/>
    </row>
    <row r="42" spans="1:26" ht="13.5" customHeight="1">
      <c r="A42" s="235" t="s">
        <v>711</v>
      </c>
      <c r="B42" s="240">
        <f t="shared" si="11"/>
        <v>-5.6268933033721549E-4</v>
      </c>
      <c r="C42" s="240">
        <f t="shared" si="11"/>
        <v>-3.2164117260372028E-4</v>
      </c>
      <c r="D42" s="240">
        <f t="shared" si="11"/>
        <v>-3.0483220409245208E-4</v>
      </c>
      <c r="E42" s="240">
        <f t="shared" si="11"/>
        <v>-1.0000468031901497E-3</v>
      </c>
      <c r="F42" s="240">
        <f t="shared" si="11"/>
        <v>-5.1089433622953306E-4</v>
      </c>
      <c r="G42" s="241">
        <f>AVERAGE(E42:F42)</f>
        <v>-7.5547056970984143E-4</v>
      </c>
      <c r="H42" s="241">
        <f>AVERAGE(F42:G42)</f>
        <v>-6.331824529696873E-4</v>
      </c>
      <c r="I42" s="241">
        <f>AVERAGE(G42:H42)</f>
        <v>-6.9432651133976436E-4</v>
      </c>
      <c r="J42" s="241">
        <f>AVERAGE(H42:I42)</f>
        <v>-6.6375448215472577E-4</v>
      </c>
      <c r="K42" s="241">
        <f>AVERAGE(I42:J42)</f>
        <v>-6.7904049674724501E-4</v>
      </c>
      <c r="L42" s="21"/>
      <c r="M42" s="21"/>
      <c r="N42" s="21"/>
      <c r="O42" s="21"/>
      <c r="P42" s="21"/>
      <c r="Q42" s="21"/>
      <c r="R42" s="21"/>
      <c r="S42" s="21"/>
      <c r="T42" s="21"/>
      <c r="U42" s="21"/>
      <c r="V42" s="21"/>
      <c r="W42" s="21"/>
      <c r="X42" s="21"/>
      <c r="Y42" s="21"/>
      <c r="Z42" s="21"/>
    </row>
    <row r="43" spans="1:26" s="225" customFormat="1" ht="13.5" customHeight="1">
      <c r="A43" s="232" t="s">
        <v>712</v>
      </c>
      <c r="B43" s="242">
        <f t="shared" si="11"/>
        <v>3.3266560349600793E-2</v>
      </c>
      <c r="C43" s="242">
        <f t="shared" si="11"/>
        <v>3.3292102560989474E-2</v>
      </c>
      <c r="D43" s="242">
        <f t="shared" si="11"/>
        <v>3.7546058084853555E-2</v>
      </c>
      <c r="E43" s="242">
        <f t="shared" si="11"/>
        <v>3.6112542042847473E-2</v>
      </c>
      <c r="F43" s="242">
        <f t="shared" si="11"/>
        <v>3.9862574786356443E-2</v>
      </c>
      <c r="G43" s="243">
        <f>G18/G2</f>
        <v>4.350540899434352E-2</v>
      </c>
      <c r="H43" s="243">
        <f>H18/H2</f>
        <v>4.3959399423130811E-2</v>
      </c>
      <c r="I43" s="243">
        <f>I18/I2</f>
        <v>5.0076158346336996E-2</v>
      </c>
      <c r="J43" s="243">
        <f>J18/J2</f>
        <v>5.3779638157483399E-2</v>
      </c>
      <c r="K43" s="243">
        <f>K18/K2</f>
        <v>5.4312113950186848E-2</v>
      </c>
      <c r="L43" s="26"/>
      <c r="M43" s="26"/>
      <c r="N43" s="26"/>
      <c r="O43" s="26"/>
      <c r="P43" s="26"/>
      <c r="Q43" s="26"/>
      <c r="R43" s="26"/>
      <c r="S43" s="26"/>
      <c r="T43" s="26"/>
      <c r="U43" s="26"/>
      <c r="V43" s="26"/>
      <c r="W43" s="26"/>
      <c r="X43" s="26"/>
      <c r="Y43" s="26"/>
      <c r="Z43" s="26"/>
    </row>
    <row r="44" spans="1:26" ht="13.5" customHeight="1">
      <c r="A44" s="235" t="s">
        <v>713</v>
      </c>
      <c r="B44" s="240">
        <f t="shared" si="11"/>
        <v>1.8352481058423141E-5</v>
      </c>
      <c r="C44" s="240">
        <f t="shared" si="11"/>
        <v>1.8319094068380444E-5</v>
      </c>
      <c r="D44" s="240">
        <f t="shared" si="11"/>
        <v>1.9285682211654043E-5</v>
      </c>
      <c r="E44" s="240">
        <f t="shared" si="11"/>
        <v>1.9391775081366711E-5</v>
      </c>
      <c r="F44" s="240">
        <f t="shared" si="11"/>
        <v>2.0798954059361525E-5</v>
      </c>
      <c r="G44" s="241">
        <f>AVERAGE(E44:F44)</f>
        <v>2.0095364570364118E-5</v>
      </c>
      <c r="H44" s="241">
        <f>AVERAGE(F44:G44)</f>
        <v>2.0447159314862822E-5</v>
      </c>
      <c r="I44" s="241">
        <f>AVERAGE(G44:H44)</f>
        <v>2.027126194261347E-5</v>
      </c>
      <c r="J44" s="241">
        <f>AVERAGE(H44:I44)</f>
        <v>2.0359210628738144E-5</v>
      </c>
      <c r="K44" s="241">
        <f>AVERAGE(I44:J44)</f>
        <v>2.0315236285675807E-5</v>
      </c>
      <c r="L44" s="21"/>
      <c r="M44" s="21"/>
      <c r="N44" s="21"/>
      <c r="O44" s="21"/>
      <c r="P44" s="21"/>
      <c r="Q44" s="21"/>
      <c r="R44" s="21"/>
      <c r="S44" s="21"/>
      <c r="T44" s="21"/>
      <c r="U44" s="21"/>
      <c r="V44" s="21"/>
      <c r="W44" s="21"/>
      <c r="X44" s="21"/>
      <c r="Y44" s="21"/>
      <c r="Z44" s="21"/>
    </row>
    <row r="45" spans="1:26" ht="13.5" customHeight="1">
      <c r="A45" s="30" t="s">
        <v>714</v>
      </c>
      <c r="B45" s="240">
        <f t="shared" ref="B45:K45" si="12">B20/B$2</f>
        <v>3.3248207868542365E-2</v>
      </c>
      <c r="C45" s="240">
        <f t="shared" si="12"/>
        <v>3.327378231106936E-2</v>
      </c>
      <c r="D45" s="240">
        <f t="shared" si="12"/>
        <v>3.7526771423921669E-2</v>
      </c>
      <c r="E45" s="240">
        <f t="shared" si="12"/>
        <v>3.6093150267766105E-2</v>
      </c>
      <c r="F45" s="240">
        <f t="shared" si="12"/>
        <v>3.9841775832297081E-2</v>
      </c>
      <c r="G45" s="241">
        <f t="shared" si="12"/>
        <v>4.3485313629773155E-2</v>
      </c>
      <c r="H45" s="241">
        <f t="shared" si="12"/>
        <v>4.3938952263815952E-2</v>
      </c>
      <c r="I45" s="241">
        <f t="shared" si="12"/>
        <v>5.0055887084394388E-2</v>
      </c>
      <c r="J45" s="241">
        <f t="shared" si="12"/>
        <v>5.3759278946854658E-2</v>
      </c>
      <c r="K45" s="241">
        <f t="shared" si="12"/>
        <v>5.429179871390117E-2</v>
      </c>
      <c r="L45" s="21"/>
      <c r="M45" s="21"/>
      <c r="N45" s="21"/>
      <c r="O45" s="21"/>
      <c r="P45" s="21"/>
      <c r="Q45" s="21"/>
      <c r="R45" s="21"/>
      <c r="S45" s="21"/>
      <c r="T45" s="21"/>
      <c r="U45" s="21"/>
      <c r="V45" s="21"/>
      <c r="W45" s="21"/>
      <c r="X45" s="21"/>
      <c r="Y45" s="21"/>
      <c r="Z45" s="21"/>
    </row>
    <row r="46" spans="1:26" ht="13.5" customHeight="1">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spans="1:26" ht="15" customHeight="1">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spans="1:26" ht="21" customHeight="1">
      <c r="A48" s="244" t="s">
        <v>683</v>
      </c>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spans="1:26" s="225" customFormat="1" ht="13.5" customHeight="1">
      <c r="A49" s="245" t="s">
        <v>9</v>
      </c>
      <c r="B49" s="219"/>
      <c r="C49" s="219"/>
      <c r="D49" s="219"/>
      <c r="E49" s="219"/>
      <c r="F49" s="219"/>
      <c r="G49" s="222">
        <f>SALE!G3*(1-IS!G50)</f>
        <v>26800965.174725812</v>
      </c>
      <c r="H49" s="222">
        <f>SALE!H3*(1-IS!H50)</f>
        <v>28703833.702131346</v>
      </c>
      <c r="I49" s="222">
        <f>SALE!I3*(1-IS!I50)</f>
        <v>29275096.274830624</v>
      </c>
      <c r="J49" s="222">
        <f>SALE!J3*(1-IS!J50)</f>
        <v>29125822.26907282</v>
      </c>
      <c r="K49" s="222">
        <f>SALE!K3*(1-IS!K50)</f>
        <v>28816176.532323327</v>
      </c>
      <c r="L49" s="26"/>
      <c r="M49" s="26"/>
      <c r="N49" s="26"/>
      <c r="O49" s="26"/>
      <c r="P49" s="26"/>
      <c r="Q49" s="26"/>
      <c r="R49" s="26"/>
      <c r="S49" s="26"/>
      <c r="T49" s="26"/>
      <c r="U49" s="26"/>
      <c r="V49" s="26"/>
      <c r="W49" s="26"/>
      <c r="X49" s="26"/>
      <c r="Y49" s="26"/>
      <c r="Z49" s="26"/>
    </row>
    <row r="50" spans="1:26" s="251" customFormat="1" ht="13.5" customHeight="1">
      <c r="A50" s="246" t="s">
        <v>48</v>
      </c>
      <c r="B50" s="247"/>
      <c r="C50" s="247"/>
      <c r="D50" s="247"/>
      <c r="E50" s="247"/>
      <c r="F50" s="248">
        <v>0.23</v>
      </c>
      <c r="G50" s="249">
        <v>0.23</v>
      </c>
      <c r="H50" s="249">
        <v>0.23</v>
      </c>
      <c r="I50" s="249">
        <v>0.23</v>
      </c>
      <c r="J50" s="249">
        <v>0.23</v>
      </c>
      <c r="K50" s="249">
        <v>0.23</v>
      </c>
      <c r="L50" s="250"/>
      <c r="M50" s="250"/>
      <c r="N50" s="250"/>
      <c r="O50" s="250"/>
      <c r="P50" s="250"/>
      <c r="Q50" s="250"/>
      <c r="R50" s="250"/>
      <c r="S50" s="250"/>
      <c r="T50" s="250"/>
      <c r="U50" s="250"/>
      <c r="V50" s="250"/>
      <c r="W50" s="250"/>
      <c r="X50" s="250"/>
      <c r="Y50" s="250"/>
      <c r="Z50" s="250"/>
    </row>
    <row r="51" spans="1:26" s="225" customFormat="1" ht="13.5" customHeight="1">
      <c r="A51" s="245" t="s">
        <v>49</v>
      </c>
      <c r="B51" s="219"/>
      <c r="C51" s="219"/>
      <c r="D51" s="219"/>
      <c r="E51" s="219"/>
      <c r="F51" s="219"/>
      <c r="G51" s="222">
        <f>(SALE!G11+SALE!G19)*(1-IS!G52)</f>
        <v>55833554.831699312</v>
      </c>
      <c r="H51" s="222">
        <f>(SALE!H11+SALE!H19)*(1-IS!H52)</f>
        <v>59288665.76189594</v>
      </c>
      <c r="I51" s="222">
        <f>(SALE!I11+SALE!I19)*(1-IS!I52)</f>
        <v>62010653.949755386</v>
      </c>
      <c r="J51" s="222">
        <f>(SALE!J11+SALE!J19)*(1-IS!J52)</f>
        <v>64277041.8010915</v>
      </c>
      <c r="K51" s="222">
        <f>(SALE!K11+SALE!K19)*(1-IS!K52)</f>
        <v>66598322.717267215</v>
      </c>
      <c r="L51" s="26"/>
      <c r="M51" s="26"/>
      <c r="N51" s="26"/>
      <c r="O51" s="26"/>
      <c r="P51" s="26"/>
      <c r="Q51" s="26"/>
      <c r="R51" s="26"/>
      <c r="S51" s="26"/>
      <c r="T51" s="26"/>
      <c r="U51" s="26"/>
      <c r="V51" s="26"/>
      <c r="W51" s="26"/>
      <c r="X51" s="26"/>
      <c r="Y51" s="26"/>
      <c r="Z51" s="26"/>
    </row>
    <row r="52" spans="1:26" s="251" customFormat="1" ht="13.5" customHeight="1">
      <c r="A52" s="246" t="s">
        <v>48</v>
      </c>
      <c r="B52" s="247"/>
      <c r="C52" s="247"/>
      <c r="D52" s="247"/>
      <c r="E52" s="247"/>
      <c r="F52" s="252">
        <v>0.23</v>
      </c>
      <c r="G52" s="249">
        <v>0.23</v>
      </c>
      <c r="H52" s="249">
        <v>0.23</v>
      </c>
      <c r="I52" s="249">
        <v>0.23</v>
      </c>
      <c r="J52" s="249">
        <v>0.23</v>
      </c>
      <c r="K52" s="249">
        <v>0.23</v>
      </c>
      <c r="L52" s="250"/>
      <c r="M52" s="250"/>
      <c r="N52" s="250"/>
      <c r="O52" s="250"/>
      <c r="P52" s="250"/>
      <c r="Q52" s="250"/>
      <c r="R52" s="250"/>
      <c r="S52" s="250"/>
      <c r="T52" s="250"/>
      <c r="U52" s="250"/>
      <c r="V52" s="250"/>
      <c r="W52" s="250"/>
      <c r="X52" s="250"/>
      <c r="Y52" s="250"/>
      <c r="Z52" s="250"/>
    </row>
    <row r="53" spans="1:26" s="225" customFormat="1" ht="13.5" customHeight="1">
      <c r="A53" s="245" t="s">
        <v>43</v>
      </c>
      <c r="B53" s="219"/>
      <c r="C53" s="219"/>
      <c r="D53" s="219"/>
      <c r="E53" s="219"/>
      <c r="F53" s="219"/>
      <c r="G53" s="222">
        <f>SALE!G27*(1-IS!G54)</f>
        <v>8811000</v>
      </c>
      <c r="H53" s="222">
        <f>SALE!H27*(1-IS!H54)</f>
        <v>19151100</v>
      </c>
      <c r="I53" s="222">
        <f>SALE!I27*(1-IS!I54)</f>
        <v>22149963</v>
      </c>
      <c r="J53" s="222">
        <f>SALE!J27*(1-IS!J54)</f>
        <v>25316400.892500002</v>
      </c>
      <c r="K53" s="222">
        <f>SALE!K27*(1-IS!K54)</f>
        <v>28817605.271250006</v>
      </c>
      <c r="L53" s="26"/>
      <c r="M53" s="26"/>
      <c r="N53" s="26"/>
      <c r="O53" s="26"/>
      <c r="P53" s="26"/>
      <c r="Q53" s="26"/>
      <c r="R53" s="26"/>
      <c r="S53" s="26"/>
      <c r="T53" s="26"/>
      <c r="U53" s="26"/>
      <c r="V53" s="26"/>
      <c r="W53" s="26"/>
      <c r="X53" s="26"/>
      <c r="Y53" s="26"/>
      <c r="Z53" s="26"/>
    </row>
    <row r="54" spans="1:26" s="251" customFormat="1" ht="13.5" customHeight="1">
      <c r="A54" s="246" t="s">
        <v>48</v>
      </c>
      <c r="B54" s="247"/>
      <c r="C54" s="247"/>
      <c r="D54" s="247"/>
      <c r="E54" s="247"/>
      <c r="F54" s="247"/>
      <c r="G54" s="253">
        <v>0.11</v>
      </c>
      <c r="H54" s="249">
        <v>0.13500000000000001</v>
      </c>
      <c r="I54" s="253">
        <v>0.15</v>
      </c>
      <c r="J54" s="253">
        <v>0.15</v>
      </c>
      <c r="K54" s="253">
        <v>0.15</v>
      </c>
      <c r="L54" s="250"/>
      <c r="M54" s="250"/>
      <c r="N54" s="250"/>
      <c r="O54" s="250"/>
      <c r="P54" s="250"/>
      <c r="Q54" s="250"/>
      <c r="R54" s="250"/>
      <c r="S54" s="250"/>
      <c r="T54" s="250"/>
      <c r="U54" s="250"/>
      <c r="V54" s="250"/>
      <c r="W54" s="250"/>
      <c r="X54" s="250"/>
      <c r="Y54" s="250"/>
      <c r="Z54" s="250"/>
    </row>
    <row r="55" spans="1:26" s="225" customFormat="1" ht="13.5" customHeight="1">
      <c r="A55" s="245" t="s">
        <v>50</v>
      </c>
      <c r="B55" s="219"/>
      <c r="C55" s="219"/>
      <c r="D55" s="219"/>
      <c r="E55" s="219"/>
      <c r="F55" s="219"/>
      <c r="G55" s="184">
        <f>(1-G56)*SALE!G36</f>
        <v>23826065.496774618</v>
      </c>
      <c r="H55" s="184">
        <f>(1-H56)*SALE!H36</f>
        <v>33451079.694345258</v>
      </c>
      <c r="I55" s="184">
        <f>(1-I56)*SALE!I36</f>
        <v>44399241.164730437</v>
      </c>
      <c r="J55" s="184">
        <f>(1-J56)*SALE!J36</f>
        <v>55719827.626878224</v>
      </c>
      <c r="K55" s="184">
        <f>(1-K56)*SALE!K36</f>
        <v>67715068.296553403</v>
      </c>
      <c r="L55" s="27"/>
      <c r="M55" s="26"/>
      <c r="N55" s="26"/>
      <c r="O55" s="26"/>
      <c r="P55" s="26"/>
      <c r="Q55" s="26"/>
      <c r="R55" s="26"/>
      <c r="S55" s="26"/>
      <c r="T55" s="26"/>
      <c r="U55" s="26"/>
      <c r="V55" s="26"/>
      <c r="W55" s="26"/>
      <c r="X55" s="26"/>
      <c r="Y55" s="26"/>
      <c r="Z55" s="26"/>
    </row>
    <row r="56" spans="1:26" s="251" customFormat="1" ht="13.5" customHeight="1">
      <c r="A56" s="246" t="s">
        <v>48</v>
      </c>
      <c r="B56" s="247"/>
      <c r="C56" s="247"/>
      <c r="D56" s="247"/>
      <c r="E56" s="247"/>
      <c r="F56" s="252">
        <v>0.27</v>
      </c>
      <c r="G56" s="249">
        <v>0.255</v>
      </c>
      <c r="H56" s="249">
        <v>0.26</v>
      </c>
      <c r="I56" s="249">
        <v>0.26</v>
      </c>
      <c r="J56" s="249">
        <v>0.26500000000000001</v>
      </c>
      <c r="K56" s="249">
        <v>0.26500000000000001</v>
      </c>
      <c r="L56" s="250"/>
      <c r="M56" s="250"/>
      <c r="N56" s="250"/>
      <c r="O56" s="250"/>
      <c r="P56" s="250"/>
      <c r="Q56" s="250"/>
      <c r="R56" s="250"/>
      <c r="S56" s="250"/>
      <c r="T56" s="250"/>
      <c r="U56" s="250"/>
      <c r="V56" s="250"/>
      <c r="W56" s="250"/>
      <c r="X56" s="250"/>
      <c r="Y56" s="250"/>
      <c r="Z56" s="250"/>
    </row>
    <row r="57" spans="1:26" s="225" customFormat="1" ht="13.5" customHeight="1">
      <c r="A57" s="245" t="s">
        <v>13</v>
      </c>
      <c r="B57" s="219"/>
      <c r="C57" s="219"/>
      <c r="D57" s="219"/>
      <c r="E57" s="219"/>
      <c r="F57" s="219"/>
      <c r="G57" s="184">
        <f>(1-G58)*SALE!G45</f>
        <v>2995560</v>
      </c>
      <c r="H57" s="184">
        <f>(1-H58)*SALE!H45</f>
        <v>5359992</v>
      </c>
      <c r="I57" s="184">
        <f>(1-I58)*SALE!I45</f>
        <v>8047079.0400000019</v>
      </c>
      <c r="J57" s="184">
        <f>(1-J58)*SALE!J45</f>
        <v>10902150.336000003</v>
      </c>
      <c r="K57" s="184">
        <f>(1-K58)*SALE!K45</f>
        <v>13754243.543040004</v>
      </c>
      <c r="L57" s="26"/>
      <c r="M57" s="26"/>
      <c r="N57" s="26"/>
      <c r="O57" s="26"/>
      <c r="P57" s="26"/>
      <c r="Q57" s="26"/>
      <c r="R57" s="26"/>
      <c r="S57" s="26"/>
      <c r="T57" s="26"/>
      <c r="U57" s="26"/>
      <c r="V57" s="26"/>
      <c r="W57" s="26"/>
      <c r="X57" s="26"/>
      <c r="Y57" s="26"/>
      <c r="Z57" s="26"/>
    </row>
    <row r="58" spans="1:26" s="251" customFormat="1" ht="13.5" customHeight="1">
      <c r="A58" s="246" t="s">
        <v>48</v>
      </c>
      <c r="B58" s="247"/>
      <c r="C58" s="247"/>
      <c r="D58" s="247"/>
      <c r="E58" s="247"/>
      <c r="F58" s="247"/>
      <c r="G58" s="249">
        <v>0.20499999999999999</v>
      </c>
      <c r="H58" s="253">
        <v>0.21</v>
      </c>
      <c r="I58" s="253">
        <v>0.21</v>
      </c>
      <c r="J58" s="249">
        <v>0.215</v>
      </c>
      <c r="K58" s="249">
        <v>0.22</v>
      </c>
      <c r="L58" s="250"/>
      <c r="M58" s="250"/>
      <c r="N58" s="250"/>
      <c r="O58" s="250"/>
      <c r="P58" s="250"/>
      <c r="Q58" s="250"/>
      <c r="R58" s="250"/>
      <c r="S58" s="250"/>
      <c r="T58" s="250"/>
      <c r="U58" s="250"/>
      <c r="V58" s="250"/>
      <c r="W58" s="250"/>
      <c r="X58" s="250"/>
      <c r="Y58" s="250"/>
      <c r="Z58" s="250"/>
    </row>
    <row r="59" spans="1:26" s="225" customFormat="1" ht="13.5" customHeight="1">
      <c r="A59" s="245" t="s">
        <v>51</v>
      </c>
      <c r="B59" s="172">
        <f>B3</f>
        <v>55198024.899999999</v>
      </c>
      <c r="C59" s="172">
        <f>C3</f>
        <v>71224159.200000003</v>
      </c>
      <c r="D59" s="172">
        <f>D3</f>
        <v>82686444.700000003</v>
      </c>
      <c r="E59" s="172">
        <f>E3</f>
        <v>84591522.400000006</v>
      </c>
      <c r="F59" s="172">
        <f>F3</f>
        <v>95325974.099999994</v>
      </c>
      <c r="G59" s="222">
        <f>G49+G51+G53+G55+G57</f>
        <v>118267145.50319974</v>
      </c>
      <c r="H59" s="222">
        <f>H49+H51+H53+H55+H57</f>
        <v>145954671.15837255</v>
      </c>
      <c r="I59" s="222">
        <f>I49+I51+I53+I55+I57</f>
        <v>165882033.42931643</v>
      </c>
      <c r="J59" s="222">
        <f>J49+J51+J53+J55+J57</f>
        <v>185341242.92554253</v>
      </c>
      <c r="K59" s="222">
        <f>K49+K51+K53+K55+K57</f>
        <v>205701416.36043397</v>
      </c>
      <c r="L59" s="26"/>
      <c r="M59" s="26"/>
      <c r="N59" s="26"/>
      <c r="O59" s="26"/>
      <c r="P59" s="26"/>
      <c r="Q59" s="26"/>
      <c r="R59" s="26"/>
      <c r="S59" s="26"/>
      <c r="T59" s="26"/>
      <c r="U59" s="26"/>
      <c r="V59" s="26"/>
      <c r="W59" s="26"/>
      <c r="X59" s="26"/>
      <c r="Y59" s="26"/>
      <c r="Z59" s="26"/>
    </row>
    <row r="60" spans="1:26" s="251" customFormat="1" ht="13.5" customHeight="1">
      <c r="A60" s="246" t="s">
        <v>48</v>
      </c>
      <c r="B60" s="254">
        <f t="shared" ref="B60:K60" si="13">1-B59/B2</f>
        <v>0.16795013844795159</v>
      </c>
      <c r="C60" s="254">
        <f t="shared" si="13"/>
        <v>0.17675432372635225</v>
      </c>
      <c r="D60" s="254">
        <f t="shared" si="13"/>
        <v>0.19073103491717536</v>
      </c>
      <c r="E60" s="254">
        <f t="shared" si="13"/>
        <v>0.22068517451128611</v>
      </c>
      <c r="F60" s="254">
        <f t="shared" si="13"/>
        <v>0.22472802222187127</v>
      </c>
      <c r="G60" s="255">
        <f t="shared" si="13"/>
        <v>0.22684462622563872</v>
      </c>
      <c r="H60" s="255">
        <f t="shared" si="13"/>
        <v>0.22531397016136401</v>
      </c>
      <c r="I60" s="255">
        <f t="shared" si="13"/>
        <v>0.22772595977566856</v>
      </c>
      <c r="J60" s="255">
        <f t="shared" si="13"/>
        <v>0.23025867062850702</v>
      </c>
      <c r="K60" s="255">
        <f t="shared" si="13"/>
        <v>0.23125549055235117</v>
      </c>
      <c r="L60" s="250"/>
      <c r="M60" s="250"/>
      <c r="N60" s="250"/>
      <c r="O60" s="250"/>
      <c r="P60" s="250"/>
      <c r="Q60" s="250"/>
      <c r="R60" s="250"/>
      <c r="S60" s="250"/>
      <c r="T60" s="250"/>
      <c r="U60" s="250"/>
      <c r="V60" s="250"/>
      <c r="W60" s="250"/>
      <c r="X60" s="250"/>
      <c r="Y60" s="250"/>
      <c r="Z60" s="250"/>
    </row>
    <row r="61" spans="1:26" ht="13.5" customHeight="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spans="1:26" ht="13.5" customHeight="1">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spans="1:26" ht="13.5" customHeight="1">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spans="1:26" ht="13.5" customHeight="1">
      <c r="A64" s="21"/>
      <c r="B64" s="21"/>
      <c r="C64" s="21"/>
      <c r="D64" s="256"/>
      <c r="E64" s="256"/>
      <c r="F64" s="256"/>
      <c r="G64" s="21"/>
      <c r="H64" s="21"/>
      <c r="I64" s="21"/>
      <c r="J64" s="21"/>
      <c r="K64" s="21"/>
      <c r="L64" s="21"/>
      <c r="M64" s="21"/>
      <c r="N64" s="21"/>
      <c r="O64" s="21"/>
      <c r="P64" s="21"/>
      <c r="Q64" s="21"/>
      <c r="R64" s="21"/>
      <c r="S64" s="21"/>
      <c r="T64" s="21"/>
      <c r="U64" s="21"/>
      <c r="V64" s="21"/>
      <c r="W64" s="21"/>
      <c r="X64" s="21"/>
      <c r="Y64" s="21"/>
      <c r="Z64" s="21"/>
    </row>
    <row r="65" spans="1:26" ht="13.5" customHeight="1">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spans="1:26" ht="13.5" customHeight="1">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spans="1:26" ht="13.5" customHeight="1">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spans="1:26" ht="13.5" customHeight="1">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spans="1:26" ht="13.5" customHeight="1">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spans="1:26" ht="13.5" customHeight="1">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spans="1:26" ht="13.5"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spans="1:26" ht="13.5" customHeight="1">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spans="1:26" ht="13.5"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spans="1:26" ht="13.5" customHeight="1">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spans="1:26" ht="13.5"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spans="1:26" ht="13.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spans="1:26" ht="13.5"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spans="1:26" ht="13.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spans="1:26" ht="13.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spans="1:26" ht="13.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spans="1:26" ht="13.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spans="1:26" ht="13.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spans="1:26" ht="13.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spans="1:26" ht="13.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spans="1:26" ht="13.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spans="1:26" ht="13.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spans="1:26" ht="13.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spans="1:26" ht="13.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spans="1:26" ht="13.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spans="1:26" ht="13.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spans="1:26" ht="13.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spans="1:26" ht="13.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spans="1:26" ht="13.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spans="1:26" ht="13.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spans="1:26" ht="13.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spans="1:26" ht="13.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spans="1:26" ht="13.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spans="1:26" ht="13.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spans="1:26" ht="13.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spans="1:26" ht="13.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spans="1:26" ht="13.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spans="1:26" ht="13.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spans="1:26" ht="13.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spans="1:26" ht="13.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spans="1:26" ht="13.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spans="1:26" ht="13.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spans="1:26" ht="13.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spans="1:26" ht="13.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spans="1:26" ht="13.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spans="1:26" ht="13.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spans="1:26" ht="13.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spans="1:26" ht="13.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spans="1:26" ht="13.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spans="1:26" ht="13.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spans="1:26" ht="13.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spans="1:26" ht="13.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spans="1:26" ht="13.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spans="1:26" ht="13.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spans="1:26" ht="13.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spans="1:26" ht="13.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spans="1:26" ht="13.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spans="1:26" ht="13.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spans="1:26" ht="13.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spans="1:26" ht="13.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spans="1:26" ht="13.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spans="1:26" ht="13.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spans="1:26" ht="13.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spans="1:26" ht="13.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spans="1:26" ht="13.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spans="1:26" ht="13.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spans="1:26" ht="13.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spans="1:26" ht="13.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spans="1:26" ht="13.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spans="1:26" ht="13.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spans="1:26" ht="13.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spans="1:26" ht="13.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spans="1:26" ht="13.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spans="1:26" ht="13.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spans="1:26" ht="13.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spans="1:26" ht="13.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spans="1:26" ht="13.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spans="1:26" ht="13.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spans="1:26" ht="13.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spans="1:26" ht="13.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spans="1:26" ht="13.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spans="1:26" ht="13.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spans="1:26" ht="13.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spans="1:26" ht="13.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spans="1:26" ht="13.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spans="1:26" ht="13.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spans="1:26" ht="13.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spans="1:26" ht="13.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spans="1:26" ht="13.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spans="1:26" ht="13.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spans="1:26" ht="13.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spans="1:26" ht="13.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spans="1:26" ht="13.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spans="1:26" ht="13.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spans="1:26" ht="13.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spans="1:26" ht="13.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spans="1:26" ht="13.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spans="1:26" ht="13.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spans="1:26" ht="13.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spans="1:26" ht="13.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spans="1:26" ht="13.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spans="1:26" ht="13.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spans="1:26" ht="13.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spans="1:26" ht="13.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spans="1:26" ht="13.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spans="1:26" ht="13.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spans="1:26" ht="13.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spans="1:26" ht="13.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spans="1:26" ht="13.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spans="1:26" ht="13.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spans="1:26" ht="13.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spans="1:26" ht="13.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spans="1:26" ht="13.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spans="1:26" ht="13.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spans="1:26" ht="13.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spans="1:26" ht="13.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spans="1:26" ht="13.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spans="1:26" ht="13.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spans="1:26" ht="13.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spans="1:26" ht="13.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spans="1:26" ht="13.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spans="1:26" ht="13.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spans="1:26" ht="13.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spans="1:26" ht="13.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spans="1:26" ht="13.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spans="1:26" ht="13.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spans="1:26" ht="13.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spans="1:26" ht="13.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spans="1:26" ht="13.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spans="1:26" ht="13.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spans="1:26" ht="13.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spans="1:26" ht="13.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spans="1:26" ht="13.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spans="1:26" ht="13.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spans="1:26" ht="13.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spans="1:26" ht="13.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spans="1:26" ht="13.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spans="1:26" ht="13.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spans="1:26" ht="13.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spans="1:26" ht="13.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spans="1:26" ht="13.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spans="1:26" ht="13.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spans="1:26" ht="13.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spans="1:26" ht="13.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spans="1:26" ht="13.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spans="1:26" ht="13.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spans="1:26" ht="13.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spans="1:26" ht="13.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spans="1:26" ht="13.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spans="1:26" ht="13.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spans="1:26" ht="13.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spans="1:26" ht="13.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spans="1:26" ht="13.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spans="1:26" ht="13.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spans="1:26" ht="13.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spans="1:26" ht="13.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spans="1:26" ht="13.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spans="1:26" ht="13.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spans="1:26" ht="13.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spans="1:26" ht="13.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spans="1:26" ht="13.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spans="1:26" ht="13.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spans="1:26" ht="13.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spans="1:26" ht="13.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spans="1:26" ht="13.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spans="1:26" ht="13.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spans="1:26" ht="13.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spans="1:26" ht="13.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spans="1:26" ht="13.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spans="1:26" ht="13.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spans="1:26" ht="13.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spans="1:26" ht="13.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spans="1:26" ht="13.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spans="1:26" ht="13.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spans="1:26" ht="13.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spans="1:26" ht="13.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spans="1:26" ht="13.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spans="1:26" ht="13.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spans="1:26" ht="13.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spans="1:26" ht="13.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spans="1:26" ht="13.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spans="1:26" ht="13.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spans="1:26" ht="13.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spans="1:26" ht="13.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spans="1:26" ht="13.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spans="1:26" ht="13.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spans="1:26" ht="13.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spans="1:26" ht="13.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spans="1:26" ht="13.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spans="1:26" ht="13.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spans="1:26" ht="13.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spans="1:26" ht="13.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spans="1:26" ht="13.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spans="1:26" ht="13.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spans="1:26" ht="13.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spans="1:26" ht="13.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spans="1:26" ht="15.75" customHeight="1"/>
    <row r="262" spans="1:26" ht="15.75" customHeight="1"/>
    <row r="263" spans="1:26" ht="15.75" customHeight="1"/>
    <row r="264" spans="1:26" ht="15.75" customHeight="1"/>
    <row r="265" spans="1:26" ht="15.75" customHeight="1"/>
    <row r="266" spans="1:26" ht="15.75" customHeight="1"/>
    <row r="267" spans="1:26" ht="15.75" customHeight="1"/>
    <row r="268" spans="1:26" ht="15.75" customHeight="1"/>
    <row r="269" spans="1:26" ht="15.75" customHeight="1"/>
    <row r="270" spans="1:26" ht="15.75" customHeight="1"/>
    <row r="271" spans="1:26" ht="15.75" customHeight="1"/>
    <row r="272" spans="1:26"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6600"/>
  </sheetPr>
  <dimension ref="A1:AA996"/>
  <sheetViews>
    <sheetView showGridLines="0" tabSelected="1" zoomScaleNormal="100" workbookViewId="0">
      <pane xSplit="2" ySplit="1" topLeftCell="C422" activePane="bottomRight" state="frozen"/>
      <selection pane="topRight" activeCell="C1" sqref="C1"/>
      <selection pane="bottomLeft" activeCell="A2" sqref="A2"/>
      <selection pane="bottomRight" activeCell="B88" sqref="B88"/>
    </sheetView>
  </sheetViews>
  <sheetFormatPr defaultColWidth="11.25" defaultRowHeight="15" customHeight="1"/>
  <cols>
    <col min="1" max="1" width="5.375" style="402" customWidth="1"/>
    <col min="2" max="2" width="46.5" style="175" customWidth="1"/>
    <col min="3" max="3" width="13.375" style="175" customWidth="1"/>
    <col min="4" max="4" width="14.5" style="175" customWidth="1"/>
    <col min="5" max="6" width="13.625" style="175" customWidth="1"/>
    <col min="7" max="8" width="13.5" style="175" customWidth="1"/>
    <col min="9" max="9" width="15.25" style="175" customWidth="1"/>
    <col min="10" max="10" width="15.125" style="175" customWidth="1"/>
    <col min="11" max="11" width="14.5" style="175" customWidth="1"/>
    <col min="12" max="12" width="13.5" style="175" customWidth="1"/>
    <col min="13" max="13" width="12.5" style="175" customWidth="1"/>
    <col min="14" max="27" width="8.5" style="175" customWidth="1"/>
    <col min="28" max="16384" width="11.25" style="175"/>
  </cols>
  <sheetData>
    <row r="1" spans="1:27" s="170" customFormat="1" ht="21" customHeight="1" thickBot="1">
      <c r="A1" s="401"/>
      <c r="B1" s="167" t="s">
        <v>894</v>
      </c>
      <c r="C1" s="168">
        <v>2017</v>
      </c>
      <c r="D1" s="168">
        <v>2018</v>
      </c>
      <c r="E1" s="168">
        <v>2019</v>
      </c>
      <c r="F1" s="168">
        <v>2020</v>
      </c>
      <c r="G1" s="168">
        <v>2021</v>
      </c>
      <c r="H1" s="169" t="s">
        <v>4</v>
      </c>
      <c r="I1" s="169" t="s">
        <v>5</v>
      </c>
      <c r="J1" s="169" t="s">
        <v>6</v>
      </c>
      <c r="K1" s="169" t="s">
        <v>7</v>
      </c>
      <c r="L1" s="169" t="s">
        <v>8</v>
      </c>
    </row>
    <row r="2" spans="1:27" ht="12.75">
      <c r="B2" s="171" t="s">
        <v>333</v>
      </c>
      <c r="C2" s="172">
        <v>18862861.300000001</v>
      </c>
      <c r="D2" s="172">
        <v>23371994.800000001</v>
      </c>
      <c r="E2" s="172">
        <v>35011896.899999999</v>
      </c>
      <c r="F2" s="172">
        <v>37317234</v>
      </c>
      <c r="G2" s="172">
        <v>51955257.799999997</v>
      </c>
      <c r="H2" s="173">
        <f>H3+H4+H8+H17+H20</f>
        <v>68268394.601149321</v>
      </c>
      <c r="I2" s="173">
        <f>I3+I4+I8+I17+I20</f>
        <v>77842032.100244328</v>
      </c>
      <c r="J2" s="173">
        <f>J3+J4+J8+J17+J20</f>
        <v>87916689.999618039</v>
      </c>
      <c r="K2" s="173">
        <f>K3+K4+K8+K17+K20</f>
        <v>96497048.961816832</v>
      </c>
      <c r="L2" s="173">
        <f>L3+L4+L8+L17+L20</f>
        <v>119694904.7311016</v>
      </c>
      <c r="M2" s="174"/>
      <c r="N2" s="174"/>
      <c r="O2" s="174"/>
      <c r="P2" s="174"/>
      <c r="Q2" s="174"/>
      <c r="R2" s="174"/>
      <c r="S2" s="174"/>
      <c r="T2" s="174"/>
      <c r="U2" s="174"/>
      <c r="V2" s="171"/>
      <c r="W2" s="171"/>
      <c r="X2" s="171"/>
      <c r="Y2" s="171"/>
      <c r="Z2" s="171"/>
      <c r="AA2" s="171"/>
    </row>
    <row r="3" spans="1:27" ht="12.75">
      <c r="B3" s="171" t="s">
        <v>334</v>
      </c>
      <c r="C3" s="172">
        <v>3410983.4</v>
      </c>
      <c r="D3" s="172">
        <v>3749550.3</v>
      </c>
      <c r="E3" s="172">
        <v>3115236.8</v>
      </c>
      <c r="F3" s="172">
        <v>7347857.4000000004</v>
      </c>
      <c r="G3" s="172">
        <v>4142015.8</v>
      </c>
      <c r="H3" s="173">
        <f>CF!G31</f>
        <v>15191704.313609459</v>
      </c>
      <c r="I3" s="173">
        <f>CF!H31</f>
        <v>15373246.433311703</v>
      </c>
      <c r="J3" s="173">
        <f>CF!I31</f>
        <v>21499100.660470165</v>
      </c>
      <c r="K3" s="173">
        <f>CF!J31</f>
        <v>21515604.436541852</v>
      </c>
      <c r="L3" s="173">
        <f>CF!K31</f>
        <v>40291145.402090564</v>
      </c>
      <c r="M3" s="174"/>
      <c r="N3" s="174"/>
      <c r="O3" s="174"/>
      <c r="P3" s="174"/>
      <c r="Q3" s="174"/>
      <c r="R3" s="174"/>
      <c r="S3" s="174"/>
      <c r="T3" s="174"/>
      <c r="U3" s="174"/>
      <c r="V3" s="171"/>
      <c r="W3" s="171"/>
      <c r="X3" s="171"/>
      <c r="Y3" s="171"/>
      <c r="Z3" s="171"/>
      <c r="AA3" s="171"/>
    </row>
    <row r="4" spans="1:27" ht="12.75">
      <c r="B4" s="171" t="s">
        <v>337</v>
      </c>
      <c r="C4" s="172">
        <v>0</v>
      </c>
      <c r="D4" s="172">
        <v>50922.5</v>
      </c>
      <c r="E4" s="172">
        <v>3137000</v>
      </c>
      <c r="F4" s="172">
        <v>8057318.7999999998</v>
      </c>
      <c r="G4" s="172">
        <v>14236626.300000001</v>
      </c>
      <c r="H4" s="173">
        <f>G4</f>
        <v>14236626.300000001</v>
      </c>
      <c r="I4" s="173">
        <f>H4</f>
        <v>14236626.300000001</v>
      </c>
      <c r="J4" s="173">
        <f>I4</f>
        <v>14236626.300000001</v>
      </c>
      <c r="K4" s="173">
        <f>J4</f>
        <v>14236626.300000001</v>
      </c>
      <c r="L4" s="173">
        <f>K4</f>
        <v>14236626.300000001</v>
      </c>
      <c r="M4" s="174"/>
      <c r="N4" s="174"/>
      <c r="O4" s="174"/>
      <c r="P4" s="174"/>
      <c r="Q4" s="174"/>
      <c r="R4" s="174"/>
      <c r="S4" s="174"/>
      <c r="T4" s="174"/>
      <c r="U4" s="174"/>
      <c r="V4" s="171"/>
      <c r="W4" s="171"/>
      <c r="X4" s="171"/>
      <c r="Y4" s="171"/>
      <c r="Z4" s="171"/>
      <c r="AA4" s="171"/>
    </row>
    <row r="5" spans="1:27" ht="12.75">
      <c r="B5" s="175" t="s">
        <v>338</v>
      </c>
      <c r="C5" s="176">
        <v>0</v>
      </c>
      <c r="D5" s="176">
        <v>0</v>
      </c>
      <c r="E5" s="176">
        <v>0</v>
      </c>
      <c r="F5" s="176">
        <v>0</v>
      </c>
      <c r="G5" s="176">
        <v>0</v>
      </c>
      <c r="H5" s="177">
        <v>0</v>
      </c>
      <c r="I5" s="177">
        <v>0</v>
      </c>
      <c r="J5" s="177">
        <v>0</v>
      </c>
      <c r="K5" s="177">
        <v>0</v>
      </c>
      <c r="L5" s="177">
        <v>0</v>
      </c>
      <c r="M5" s="178"/>
      <c r="N5" s="178"/>
      <c r="O5" s="178"/>
      <c r="P5" s="178"/>
      <c r="Q5" s="178"/>
      <c r="R5" s="178"/>
      <c r="S5" s="178"/>
      <c r="T5" s="178"/>
      <c r="U5" s="178"/>
    </row>
    <row r="6" spans="1:27" ht="12.75">
      <c r="B6" s="175" t="s">
        <v>339</v>
      </c>
      <c r="C6" s="176">
        <v>0</v>
      </c>
      <c r="D6" s="176">
        <v>0</v>
      </c>
      <c r="E6" s="176">
        <v>0</v>
      </c>
      <c r="F6" s="176">
        <v>0</v>
      </c>
      <c r="G6" s="176">
        <v>0</v>
      </c>
      <c r="H6" s="177">
        <v>0</v>
      </c>
      <c r="I6" s="177">
        <v>0</v>
      </c>
      <c r="J6" s="177">
        <v>0</v>
      </c>
      <c r="K6" s="177">
        <v>0</v>
      </c>
      <c r="L6" s="177">
        <v>0</v>
      </c>
      <c r="M6" s="178"/>
      <c r="N6" s="178"/>
      <c r="O6" s="178"/>
      <c r="P6" s="178"/>
      <c r="Q6" s="178"/>
      <c r="R6" s="178"/>
      <c r="S6" s="178"/>
      <c r="T6" s="178"/>
      <c r="U6" s="178"/>
    </row>
    <row r="7" spans="1:27" ht="12.75">
      <c r="B7" s="175" t="s">
        <v>340</v>
      </c>
      <c r="C7" s="176">
        <v>0</v>
      </c>
      <c r="D7" s="176">
        <v>50922.5</v>
      </c>
      <c r="E7" s="176">
        <v>3137000</v>
      </c>
      <c r="F7" s="176">
        <v>8057318.7999999998</v>
      </c>
      <c r="G7" s="176">
        <v>14236626.300000001</v>
      </c>
      <c r="H7" s="179">
        <f>G7</f>
        <v>14236626.300000001</v>
      </c>
      <c r="I7" s="179">
        <f>H7</f>
        <v>14236626.300000001</v>
      </c>
      <c r="J7" s="179">
        <f>I7</f>
        <v>14236626.300000001</v>
      </c>
      <c r="K7" s="179">
        <f>J7</f>
        <v>14236626.300000001</v>
      </c>
      <c r="L7" s="179">
        <f>K7</f>
        <v>14236626.300000001</v>
      </c>
      <c r="M7" s="178"/>
      <c r="N7" s="178"/>
      <c r="O7" s="178"/>
      <c r="P7" s="178"/>
      <c r="Q7" s="178"/>
      <c r="R7" s="178"/>
      <c r="S7" s="178"/>
      <c r="T7" s="178"/>
      <c r="U7" s="178"/>
    </row>
    <row r="8" spans="1:27" ht="12.75">
      <c r="B8" s="171" t="s">
        <v>341</v>
      </c>
      <c r="C8" s="172">
        <v>2765847.8</v>
      </c>
      <c r="D8" s="172">
        <v>1542529.7</v>
      </c>
      <c r="E8" s="172">
        <v>1815085.6</v>
      </c>
      <c r="F8" s="172">
        <v>1595251</v>
      </c>
      <c r="G8" s="172">
        <v>3162122</v>
      </c>
      <c r="H8" s="173">
        <f>SUM(H9:H16)</f>
        <v>3810168.3515339755</v>
      </c>
      <c r="I8" s="173">
        <f>SUM(I9:I16)</f>
        <v>4871403.3732408257</v>
      </c>
      <c r="J8" s="173">
        <f>SUM(J9:J16)</f>
        <v>5410175.6295619868</v>
      </c>
      <c r="K8" s="173">
        <f>SUM(K9:K16)</f>
        <v>6278645.9089771863</v>
      </c>
      <c r="L8" s="173">
        <f>SUM(L9:L16)</f>
        <v>6709005.5691084936</v>
      </c>
      <c r="M8" s="174"/>
      <c r="N8" s="174"/>
      <c r="O8" s="174"/>
      <c r="P8" s="174"/>
      <c r="Q8" s="174"/>
      <c r="R8" s="174"/>
      <c r="S8" s="174"/>
      <c r="T8" s="174"/>
      <c r="U8" s="174"/>
      <c r="V8" s="171"/>
      <c r="W8" s="171"/>
      <c r="X8" s="171"/>
      <c r="Y8" s="171"/>
      <c r="Z8" s="171"/>
      <c r="AA8" s="171"/>
    </row>
    <row r="9" spans="1:27" ht="12.75">
      <c r="B9" s="175" t="s">
        <v>342</v>
      </c>
      <c r="C9" s="176">
        <v>1431776.8</v>
      </c>
      <c r="D9" s="176">
        <v>369573.7</v>
      </c>
      <c r="E9" s="176">
        <v>262268.40000000002</v>
      </c>
      <c r="F9" s="176">
        <v>196394.5</v>
      </c>
      <c r="G9" s="176">
        <v>384236.6</v>
      </c>
      <c r="H9" s="179">
        <f>NWC!G4</f>
        <v>298005.72237965919</v>
      </c>
      <c r="I9" s="179">
        <f>NWC!H4</f>
        <v>566280.27106786449</v>
      </c>
      <c r="J9" s="179">
        <f>NWC!I4</f>
        <v>405209.35788888647</v>
      </c>
      <c r="K9" s="179">
        <f>NWC!J4</f>
        <v>691531.6680560105</v>
      </c>
      <c r="L9" s="179">
        <f>NWC!K4</f>
        <v>522964.32902610209</v>
      </c>
      <c r="M9" s="178"/>
      <c r="N9" s="178"/>
      <c r="O9" s="178"/>
      <c r="P9" s="178"/>
      <c r="Q9" s="178"/>
      <c r="R9" s="178"/>
      <c r="S9" s="178"/>
      <c r="T9" s="178"/>
      <c r="U9" s="178"/>
    </row>
    <row r="10" spans="1:27" ht="12.75">
      <c r="B10" s="175" t="s">
        <v>343</v>
      </c>
      <c r="C10" s="176">
        <v>117942</v>
      </c>
      <c r="D10" s="176">
        <v>21007.3</v>
      </c>
      <c r="E10" s="176">
        <v>195016.8</v>
      </c>
      <c r="F10" s="176">
        <v>287913.3</v>
      </c>
      <c r="G10" s="176">
        <v>390738.8</v>
      </c>
      <c r="H10" s="179">
        <f>NWC!G11</f>
        <v>486101.21797694452</v>
      </c>
      <c r="I10" s="179">
        <f>NWC!H11</f>
        <v>598717.08000270254</v>
      </c>
      <c r="J10" s="179">
        <f>NWC!I11</f>
        <v>682585.8596432918</v>
      </c>
      <c r="K10" s="179">
        <f>NWC!J11</f>
        <v>765167.717457194</v>
      </c>
      <c r="L10" s="179">
        <f>NWC!K11</f>
        <v>850324.37453644373</v>
      </c>
      <c r="M10" s="178"/>
      <c r="N10" s="178"/>
      <c r="O10" s="178"/>
      <c r="P10" s="178"/>
      <c r="Q10" s="178"/>
      <c r="R10" s="178"/>
      <c r="S10" s="178"/>
      <c r="T10" s="178"/>
      <c r="U10" s="178"/>
    </row>
    <row r="11" spans="1:27" ht="12.75">
      <c r="B11" s="175" t="s">
        <v>344</v>
      </c>
      <c r="C11" s="176">
        <v>0</v>
      </c>
      <c r="D11" s="176">
        <v>0</v>
      </c>
      <c r="E11" s="176">
        <v>0</v>
      </c>
      <c r="F11" s="176">
        <v>0</v>
      </c>
      <c r="G11" s="176">
        <v>0</v>
      </c>
      <c r="H11" s="177">
        <v>0</v>
      </c>
      <c r="I11" s="177">
        <v>0</v>
      </c>
      <c r="J11" s="177">
        <v>0</v>
      </c>
      <c r="K11" s="177">
        <v>0</v>
      </c>
      <c r="L11" s="177">
        <v>0</v>
      </c>
      <c r="M11" s="178"/>
      <c r="N11" s="178"/>
      <c r="O11" s="178"/>
      <c r="P11" s="178"/>
      <c r="Q11" s="178"/>
      <c r="R11" s="178"/>
      <c r="S11" s="178"/>
      <c r="T11" s="178"/>
      <c r="U11" s="178"/>
    </row>
    <row r="12" spans="1:27" ht="12.75">
      <c r="B12" s="175" t="s">
        <v>345</v>
      </c>
      <c r="C12" s="176">
        <v>0</v>
      </c>
      <c r="D12" s="176">
        <v>0</v>
      </c>
      <c r="E12" s="176">
        <v>0</v>
      </c>
      <c r="F12" s="176">
        <v>0</v>
      </c>
      <c r="G12" s="176">
        <v>0</v>
      </c>
      <c r="H12" s="177">
        <v>0</v>
      </c>
      <c r="I12" s="177">
        <v>0</v>
      </c>
      <c r="J12" s="177">
        <v>0</v>
      </c>
      <c r="K12" s="177">
        <v>0</v>
      </c>
      <c r="L12" s="177">
        <v>0</v>
      </c>
      <c r="M12" s="178"/>
      <c r="N12" s="178"/>
      <c r="O12" s="178"/>
      <c r="P12" s="178"/>
      <c r="Q12" s="178"/>
      <c r="R12" s="178"/>
      <c r="S12" s="178"/>
      <c r="T12" s="178"/>
      <c r="U12" s="178"/>
    </row>
    <row r="13" spans="1:27" ht="12.75">
      <c r="B13" s="175" t="s">
        <v>346</v>
      </c>
      <c r="C13" s="176">
        <v>84700</v>
      </c>
      <c r="D13" s="176">
        <v>0</v>
      </c>
      <c r="E13" s="176">
        <v>0</v>
      </c>
      <c r="F13" s="176">
        <v>80000</v>
      </c>
      <c r="G13" s="176">
        <v>961917.7</v>
      </c>
      <c r="H13" s="179">
        <f>NWC!G15</f>
        <v>1273163.5766175648</v>
      </c>
      <c r="I13" s="179">
        <f>NWC!H15</f>
        <v>1662321.9265498335</v>
      </c>
      <c r="J13" s="179">
        <f>NWC!I15</f>
        <v>1895181.3454742085</v>
      </c>
      <c r="K13" s="179">
        <f>NWC!J15</f>
        <v>2124467.6604372803</v>
      </c>
      <c r="L13" s="179">
        <f>NWC!K15</f>
        <v>2360902.8365539913</v>
      </c>
      <c r="M13" s="178"/>
      <c r="N13" s="178"/>
      <c r="O13" s="178"/>
      <c r="P13" s="178"/>
      <c r="Q13" s="178"/>
      <c r="R13" s="178"/>
      <c r="S13" s="178"/>
      <c r="T13" s="178"/>
      <c r="U13" s="178"/>
    </row>
    <row r="14" spans="1:27" ht="12.75">
      <c r="B14" s="175" t="s">
        <v>347</v>
      </c>
      <c r="C14" s="176">
        <v>1131428.8999999999</v>
      </c>
      <c r="D14" s="176">
        <v>1151948.8</v>
      </c>
      <c r="E14" s="176">
        <v>1357800.4</v>
      </c>
      <c r="F14" s="176">
        <v>1030943.1</v>
      </c>
      <c r="G14" s="176">
        <v>1425228.9</v>
      </c>
      <c r="H14" s="179">
        <f>NWC!G13</f>
        <v>1752897.8345598069</v>
      </c>
      <c r="I14" s="179">
        <f>NWC!H13</f>
        <v>2044084.0956204252</v>
      </c>
      <c r="J14" s="179">
        <f>NWC!I13</f>
        <v>2427199.0665555997</v>
      </c>
      <c r="K14" s="179">
        <f>NWC!J13</f>
        <v>2697478.8630267014</v>
      </c>
      <c r="L14" s="179">
        <f>NWC!K13</f>
        <v>2974814.0289919563</v>
      </c>
      <c r="M14" s="178"/>
      <c r="N14" s="178"/>
      <c r="O14" s="178"/>
      <c r="P14" s="178"/>
      <c r="Q14" s="178"/>
      <c r="R14" s="178"/>
      <c r="S14" s="178"/>
      <c r="T14" s="178"/>
      <c r="U14" s="178"/>
    </row>
    <row r="15" spans="1:27" ht="12.75">
      <c r="B15" s="175" t="s">
        <v>348</v>
      </c>
      <c r="C15" s="176">
        <v>0</v>
      </c>
      <c r="D15" s="176">
        <v>0</v>
      </c>
      <c r="E15" s="176">
        <v>0</v>
      </c>
      <c r="F15" s="176">
        <v>0</v>
      </c>
      <c r="G15" s="176">
        <v>0</v>
      </c>
      <c r="H15" s="177">
        <v>0</v>
      </c>
      <c r="I15" s="177">
        <v>0</v>
      </c>
      <c r="J15" s="177">
        <v>0</v>
      </c>
      <c r="K15" s="177">
        <v>0</v>
      </c>
      <c r="L15" s="177">
        <v>0</v>
      </c>
      <c r="M15" s="178"/>
      <c r="N15" s="178"/>
      <c r="O15" s="178"/>
      <c r="P15" s="178"/>
      <c r="Q15" s="178"/>
      <c r="R15" s="178"/>
      <c r="S15" s="178"/>
      <c r="T15" s="178"/>
      <c r="U15" s="178"/>
    </row>
    <row r="16" spans="1:27" ht="12.75">
      <c r="B16" s="175" t="s">
        <v>349</v>
      </c>
      <c r="C16" s="176">
        <v>0</v>
      </c>
      <c r="D16" s="176">
        <v>0</v>
      </c>
      <c r="E16" s="176">
        <v>0</v>
      </c>
      <c r="F16" s="176">
        <v>0</v>
      </c>
      <c r="G16" s="176">
        <v>0</v>
      </c>
      <c r="H16" s="177">
        <v>0</v>
      </c>
      <c r="I16" s="177">
        <v>0</v>
      </c>
      <c r="J16" s="177">
        <v>0</v>
      </c>
      <c r="K16" s="177">
        <v>0</v>
      </c>
      <c r="L16" s="177">
        <v>0</v>
      </c>
      <c r="M16" s="178"/>
      <c r="N16" s="178"/>
      <c r="O16" s="178"/>
      <c r="P16" s="178"/>
      <c r="Q16" s="178"/>
      <c r="R16" s="178"/>
      <c r="S16" s="178"/>
      <c r="T16" s="178"/>
      <c r="U16" s="178"/>
    </row>
    <row r="17" spans="2:27" ht="12.75">
      <c r="B17" s="171" t="s">
        <v>350</v>
      </c>
      <c r="C17" s="172">
        <v>12050162.699999999</v>
      </c>
      <c r="D17" s="172">
        <v>17446005.300000001</v>
      </c>
      <c r="E17" s="172">
        <v>25745428.399999999</v>
      </c>
      <c r="F17" s="172">
        <v>19422177.5</v>
      </c>
      <c r="G17" s="172">
        <v>29167232.300000001</v>
      </c>
      <c r="H17" s="173">
        <f>H18+H19</f>
        <v>33482468.0133982</v>
      </c>
      <c r="I17" s="173">
        <f>I18+I19</f>
        <v>41451060.035121664</v>
      </c>
      <c r="J17" s="173">
        <f>J18+J19</f>
        <v>44600358.42416735</v>
      </c>
      <c r="K17" s="173">
        <f>K18+K19</f>
        <v>52041135.695255265</v>
      </c>
      <c r="L17" s="173">
        <f>L18+L19</f>
        <v>55766694.836486042</v>
      </c>
      <c r="M17" s="174"/>
      <c r="N17" s="174"/>
      <c r="O17" s="174"/>
      <c r="P17" s="174"/>
      <c r="Q17" s="174"/>
      <c r="R17" s="174"/>
      <c r="S17" s="174"/>
      <c r="T17" s="174"/>
      <c r="U17" s="174"/>
      <c r="V17" s="171"/>
      <c r="W17" s="171"/>
      <c r="X17" s="171"/>
      <c r="Y17" s="171"/>
      <c r="Z17" s="171"/>
      <c r="AA17" s="171"/>
    </row>
    <row r="18" spans="2:27" ht="12.75">
      <c r="B18" s="175" t="s">
        <v>351</v>
      </c>
      <c r="C18" s="176">
        <v>12309955.5</v>
      </c>
      <c r="D18" s="176">
        <v>17821137.600000001</v>
      </c>
      <c r="E18" s="176">
        <v>26195934.699999999</v>
      </c>
      <c r="F18" s="176">
        <v>19926363.5</v>
      </c>
      <c r="G18" s="176">
        <v>29850068.800000001</v>
      </c>
      <c r="H18" s="179">
        <f>NWC!G6</f>
        <v>34305807.390776843</v>
      </c>
      <c r="I18" s="179">
        <f>NWC!H6</f>
        <v>42470348.396641046</v>
      </c>
      <c r="J18" s="179">
        <f>NWC!I6</f>
        <v>45697088.549351797</v>
      </c>
      <c r="K18" s="179">
        <f>NWC!J6</f>
        <v>53320835.753335312</v>
      </c>
      <c r="L18" s="179">
        <f>NWC!K6</f>
        <v>57138007.004596353</v>
      </c>
      <c r="M18" s="178"/>
      <c r="N18" s="178"/>
      <c r="O18" s="178"/>
      <c r="P18" s="178"/>
      <c r="Q18" s="178"/>
      <c r="R18" s="178"/>
      <c r="S18" s="178"/>
      <c r="T18" s="178"/>
      <c r="U18" s="178"/>
    </row>
    <row r="19" spans="2:27" ht="12.75">
      <c r="B19" s="175" t="s">
        <v>352</v>
      </c>
      <c r="C19" s="176">
        <v>-259792.8</v>
      </c>
      <c r="D19" s="176">
        <v>-375132.3</v>
      </c>
      <c r="E19" s="176">
        <v>-450506.2</v>
      </c>
      <c r="F19" s="176">
        <v>-504186</v>
      </c>
      <c r="G19" s="176">
        <v>-682836.5</v>
      </c>
      <c r="H19" s="179">
        <f>NWC!G9</f>
        <v>-823339.37737864419</v>
      </c>
      <c r="I19" s="179">
        <f>NWC!H9</f>
        <v>-1019288.3615193851</v>
      </c>
      <c r="J19" s="179">
        <f>NWC!I9</f>
        <v>-1096730.1251844431</v>
      </c>
      <c r="K19" s="179">
        <f>NWC!J9</f>
        <v>-1279700.0580800476</v>
      </c>
      <c r="L19" s="179">
        <f>NWC!K9</f>
        <v>-1371312.1681103124</v>
      </c>
      <c r="M19" s="178"/>
      <c r="N19" s="178"/>
      <c r="O19" s="178"/>
      <c r="P19" s="178"/>
      <c r="Q19" s="178"/>
      <c r="R19" s="178"/>
      <c r="S19" s="178"/>
      <c r="T19" s="178"/>
      <c r="U19" s="178"/>
    </row>
    <row r="20" spans="2:27" ht="12.75">
      <c r="B20" s="171" t="s">
        <v>353</v>
      </c>
      <c r="C20" s="172">
        <v>635867.5</v>
      </c>
      <c r="D20" s="172">
        <v>582987</v>
      </c>
      <c r="E20" s="172">
        <v>1199146.1000000001</v>
      </c>
      <c r="F20" s="172">
        <v>894629.3</v>
      </c>
      <c r="G20" s="172">
        <v>1247261.3999999999</v>
      </c>
      <c r="H20" s="173">
        <f>NWC!G37</f>
        <v>1547427.6226076835</v>
      </c>
      <c r="I20" s="173">
        <f>NWC!H37</f>
        <v>1909695.9585701351</v>
      </c>
      <c r="J20" s="173">
        <f>NWC!I37</f>
        <v>2170428.9854185292</v>
      </c>
      <c r="K20" s="173">
        <f>NWC!J37</f>
        <v>2425036.6210425356</v>
      </c>
      <c r="L20" s="173">
        <f>NWC!K37</f>
        <v>2691432.6234165151</v>
      </c>
      <c r="M20" s="174"/>
      <c r="N20" s="174"/>
      <c r="O20" s="174"/>
      <c r="P20" s="174"/>
      <c r="Q20" s="174"/>
      <c r="R20" s="174"/>
      <c r="S20" s="174"/>
      <c r="T20" s="174"/>
      <c r="U20" s="174"/>
      <c r="V20" s="171"/>
      <c r="W20" s="171"/>
      <c r="X20" s="171"/>
      <c r="Y20" s="171"/>
      <c r="Z20" s="171"/>
      <c r="AA20" s="171"/>
    </row>
    <row r="21" spans="2:27" ht="15.75" customHeight="1">
      <c r="B21" s="175" t="s">
        <v>354</v>
      </c>
      <c r="C21" s="176">
        <v>338169.59999999998</v>
      </c>
      <c r="D21" s="176">
        <v>283034.7</v>
      </c>
      <c r="E21" s="176">
        <v>487030.6</v>
      </c>
      <c r="F21" s="176">
        <v>563786.30000000005</v>
      </c>
      <c r="G21" s="176">
        <v>569195.6</v>
      </c>
      <c r="H21" s="179">
        <f>(G21/G$20)*H$20</f>
        <v>706178.3473029423</v>
      </c>
      <c r="I21" s="179">
        <f>(H21/H20)*I20</f>
        <v>871501.78539631166</v>
      </c>
      <c r="J21" s="179">
        <f>(I21/I20)*J20</f>
        <v>990488.94531065505</v>
      </c>
      <c r="K21" s="179">
        <f>(J21/J20)*K20</f>
        <v>1106680.7443381785</v>
      </c>
      <c r="L21" s="179">
        <f>(K21/K20)*L20</f>
        <v>1228252.2388210981</v>
      </c>
      <c r="M21" s="178"/>
      <c r="N21" s="178"/>
      <c r="O21" s="178"/>
      <c r="P21" s="178"/>
      <c r="Q21" s="178"/>
      <c r="R21" s="178"/>
      <c r="S21" s="178"/>
      <c r="T21" s="178"/>
      <c r="U21" s="178"/>
    </row>
    <row r="22" spans="2:27" ht="15.75" customHeight="1">
      <c r="B22" s="175" t="s">
        <v>355</v>
      </c>
      <c r="C22" s="176">
        <v>297598.2</v>
      </c>
      <c r="D22" s="176">
        <v>298109.3</v>
      </c>
      <c r="E22" s="176">
        <v>709225.1</v>
      </c>
      <c r="F22" s="176">
        <v>326091.3</v>
      </c>
      <c r="G22" s="176">
        <v>636081.4</v>
      </c>
      <c r="H22" s="179">
        <f>(G22/G$20)*H$20</f>
        <v>789160.8997015116</v>
      </c>
      <c r="I22" s="179">
        <f t="shared" ref="I22:L23" si="0">(H22/H$20)*I$20</f>
        <v>973911.38609888311</v>
      </c>
      <c r="J22" s="179">
        <f t="shared" si="0"/>
        <v>1106880.6487923043</v>
      </c>
      <c r="K22" s="179">
        <f t="shared" si="0"/>
        <v>1236726.0695825315</v>
      </c>
      <c r="L22" s="179">
        <f t="shared" si="0"/>
        <v>1372583.3502972589</v>
      </c>
      <c r="M22" s="178"/>
      <c r="N22" s="178"/>
      <c r="O22" s="178"/>
      <c r="P22" s="178"/>
      <c r="Q22" s="178"/>
      <c r="R22" s="178"/>
      <c r="S22" s="178"/>
      <c r="T22" s="178"/>
      <c r="U22" s="178"/>
    </row>
    <row r="23" spans="2:27" ht="15.75" customHeight="1">
      <c r="B23" s="175" t="s">
        <v>356</v>
      </c>
      <c r="C23" s="176">
        <v>99.7</v>
      </c>
      <c r="D23" s="176">
        <v>1842.9</v>
      </c>
      <c r="E23" s="176">
        <v>2890.4</v>
      </c>
      <c r="F23" s="176">
        <v>4751.7</v>
      </c>
      <c r="G23" s="176">
        <v>41984.4</v>
      </c>
      <c r="H23" s="179">
        <f>(G23/G$20)*H$20</f>
        <v>52088.375603229637</v>
      </c>
      <c r="I23" s="179">
        <f t="shared" si="0"/>
        <v>64282.787074940337</v>
      </c>
      <c r="J23" s="179">
        <f t="shared" si="0"/>
        <v>73059.391315570028</v>
      </c>
      <c r="K23" s="179">
        <f t="shared" si="0"/>
        <v>81629.807121825666</v>
      </c>
      <c r="L23" s="179">
        <f t="shared" si="0"/>
        <v>90597.034298157829</v>
      </c>
      <c r="M23" s="178"/>
      <c r="N23" s="178"/>
      <c r="O23" s="178"/>
      <c r="P23" s="178"/>
      <c r="Q23" s="178"/>
      <c r="R23" s="178"/>
      <c r="S23" s="178"/>
      <c r="T23" s="178"/>
      <c r="U23" s="178"/>
    </row>
    <row r="24" spans="2:27" ht="15.75" customHeight="1">
      <c r="B24" s="175" t="s">
        <v>357</v>
      </c>
      <c r="C24" s="176">
        <v>0</v>
      </c>
      <c r="D24" s="176">
        <v>0</v>
      </c>
      <c r="E24" s="176">
        <v>0</v>
      </c>
      <c r="F24" s="176">
        <v>0</v>
      </c>
      <c r="G24" s="176">
        <v>0</v>
      </c>
      <c r="H24" s="177">
        <v>0</v>
      </c>
      <c r="I24" s="177">
        <v>0</v>
      </c>
      <c r="J24" s="177">
        <v>0</v>
      </c>
      <c r="K24" s="177">
        <v>0</v>
      </c>
      <c r="L24" s="177">
        <v>0</v>
      </c>
      <c r="M24" s="178"/>
      <c r="N24" s="178"/>
      <c r="O24" s="178"/>
      <c r="P24" s="178"/>
      <c r="Q24" s="178"/>
      <c r="R24" s="178"/>
      <c r="S24" s="178"/>
      <c r="T24" s="178"/>
      <c r="U24" s="178"/>
    </row>
    <row r="25" spans="2:27" ht="15.75" customHeight="1">
      <c r="B25" s="175" t="s">
        <v>358</v>
      </c>
      <c r="C25" s="176">
        <v>0</v>
      </c>
      <c r="D25" s="176">
        <v>0</v>
      </c>
      <c r="E25" s="176">
        <v>0</v>
      </c>
      <c r="F25" s="176">
        <v>0</v>
      </c>
      <c r="G25" s="176">
        <v>0</v>
      </c>
      <c r="H25" s="177">
        <v>0</v>
      </c>
      <c r="I25" s="177">
        <v>0</v>
      </c>
      <c r="J25" s="177">
        <v>0</v>
      </c>
      <c r="K25" s="177">
        <v>0</v>
      </c>
      <c r="L25" s="177">
        <v>0</v>
      </c>
      <c r="M25" s="178"/>
      <c r="N25" s="178"/>
      <c r="O25" s="178"/>
      <c r="P25" s="178"/>
      <c r="Q25" s="178"/>
      <c r="R25" s="178"/>
      <c r="S25" s="178"/>
      <c r="T25" s="178"/>
      <c r="U25" s="178"/>
    </row>
    <row r="26" spans="2:27" ht="15.75" customHeight="1">
      <c r="B26" s="171" t="s">
        <v>359</v>
      </c>
      <c r="C26" s="172">
        <v>3959802.9</v>
      </c>
      <c r="D26" s="172">
        <v>4750536.7</v>
      </c>
      <c r="E26" s="172">
        <v>6696198.5999999996</v>
      </c>
      <c r="F26" s="172">
        <v>8713646</v>
      </c>
      <c r="G26" s="172">
        <v>11016147</v>
      </c>
      <c r="H26" s="173">
        <f>H27+H35+H48+H51+H57</f>
        <v>14237397.053456694</v>
      </c>
      <c r="I26" s="173">
        <f>I27+I35+I48+I51+I57</f>
        <v>18246309.269577641</v>
      </c>
      <c r="J26" s="173">
        <f>J27+J35+J48+J51+J57</f>
        <v>22383397.233879119</v>
      </c>
      <c r="K26" s="173">
        <f>K27+K35+K48+K51+K57</f>
        <v>26380089.513461255</v>
      </c>
      <c r="L26" s="173">
        <f>L27+L35+L48+L51+L57</f>
        <v>30184719.013387639</v>
      </c>
      <c r="M26" s="174"/>
      <c r="N26" s="174"/>
      <c r="O26" s="174"/>
      <c r="P26" s="174"/>
      <c r="Q26" s="174"/>
      <c r="R26" s="174"/>
      <c r="S26" s="174"/>
      <c r="T26" s="174"/>
      <c r="U26" s="174"/>
      <c r="V26" s="171"/>
      <c r="W26" s="171"/>
      <c r="X26" s="171"/>
      <c r="Y26" s="171"/>
      <c r="Z26" s="171"/>
      <c r="AA26" s="171"/>
    </row>
    <row r="27" spans="2:27" ht="15.75" customHeight="1">
      <c r="B27" s="171" t="s">
        <v>360</v>
      </c>
      <c r="C27" s="172">
        <v>242116</v>
      </c>
      <c r="D27" s="172">
        <v>313775.59999999998</v>
      </c>
      <c r="E27" s="172">
        <v>374563.6</v>
      </c>
      <c r="F27" s="172">
        <v>439493.3</v>
      </c>
      <c r="G27" s="172">
        <v>482389.2</v>
      </c>
      <c r="H27" s="173">
        <f>H33</f>
        <v>482389.2</v>
      </c>
      <c r="I27" s="173">
        <f>I33</f>
        <v>482389.2</v>
      </c>
      <c r="J27" s="173">
        <f>J33</f>
        <v>482389.2</v>
      </c>
      <c r="K27" s="173">
        <f>K33</f>
        <v>482389.2</v>
      </c>
      <c r="L27" s="173">
        <f>L33</f>
        <v>482389.2</v>
      </c>
      <c r="M27" s="174"/>
      <c r="N27" s="174"/>
      <c r="O27" s="174"/>
      <c r="P27" s="174"/>
      <c r="Q27" s="174"/>
      <c r="R27" s="174"/>
      <c r="S27" s="174"/>
      <c r="T27" s="174"/>
      <c r="U27" s="174"/>
      <c r="V27" s="171"/>
      <c r="W27" s="171"/>
      <c r="X27" s="171"/>
      <c r="Y27" s="171"/>
      <c r="Z27" s="171"/>
      <c r="AA27" s="171"/>
    </row>
    <row r="28" spans="2:27" ht="15.75" customHeight="1">
      <c r="B28" s="175" t="s">
        <v>361</v>
      </c>
      <c r="C28" s="176">
        <v>0</v>
      </c>
      <c r="D28" s="176">
        <v>0</v>
      </c>
      <c r="E28" s="176">
        <v>0</v>
      </c>
      <c r="F28" s="176">
        <v>0</v>
      </c>
      <c r="G28" s="176">
        <v>0</v>
      </c>
      <c r="H28" s="177">
        <v>0</v>
      </c>
      <c r="I28" s="177">
        <v>0</v>
      </c>
      <c r="J28" s="177">
        <v>0</v>
      </c>
      <c r="K28" s="177">
        <v>0</v>
      </c>
      <c r="L28" s="177">
        <v>0</v>
      </c>
      <c r="M28" s="178"/>
      <c r="N28" s="178"/>
      <c r="O28" s="178"/>
      <c r="P28" s="178"/>
      <c r="Q28" s="178"/>
      <c r="R28" s="178"/>
      <c r="S28" s="178"/>
      <c r="T28" s="178"/>
      <c r="U28" s="178"/>
    </row>
    <row r="29" spans="2:27" ht="15.75" customHeight="1">
      <c r="B29" s="175" t="s">
        <v>362</v>
      </c>
      <c r="C29" s="176">
        <v>0</v>
      </c>
      <c r="D29" s="176">
        <v>0</v>
      </c>
      <c r="E29" s="176">
        <v>0</v>
      </c>
      <c r="F29" s="176">
        <v>0</v>
      </c>
      <c r="G29" s="176">
        <v>0</v>
      </c>
      <c r="H29" s="177">
        <v>0</v>
      </c>
      <c r="I29" s="177">
        <v>0</v>
      </c>
      <c r="J29" s="177">
        <v>0</v>
      </c>
      <c r="K29" s="177">
        <v>0</v>
      </c>
      <c r="L29" s="177">
        <v>0</v>
      </c>
      <c r="M29" s="178"/>
      <c r="N29" s="178"/>
      <c r="O29" s="178"/>
      <c r="P29" s="178"/>
      <c r="Q29" s="178"/>
      <c r="R29" s="178"/>
      <c r="S29" s="178"/>
      <c r="T29" s="178"/>
      <c r="U29" s="178"/>
    </row>
    <row r="30" spans="2:27" ht="15.75" customHeight="1">
      <c r="B30" s="175" t="s">
        <v>363</v>
      </c>
      <c r="C30" s="176">
        <v>0</v>
      </c>
      <c r="D30" s="176">
        <v>0</v>
      </c>
      <c r="E30" s="176">
        <v>0</v>
      </c>
      <c r="F30" s="176">
        <v>0</v>
      </c>
      <c r="G30" s="176">
        <v>0</v>
      </c>
      <c r="H30" s="177">
        <v>0</v>
      </c>
      <c r="I30" s="177">
        <v>0</v>
      </c>
      <c r="J30" s="177">
        <v>0</v>
      </c>
      <c r="K30" s="177">
        <v>0</v>
      </c>
      <c r="L30" s="177">
        <v>0</v>
      </c>
      <c r="M30" s="178"/>
      <c r="N30" s="178"/>
      <c r="O30" s="178"/>
      <c r="P30" s="178"/>
      <c r="Q30" s="178"/>
      <c r="R30" s="178"/>
      <c r="S30" s="178"/>
      <c r="T30" s="178"/>
      <c r="U30" s="178"/>
    </row>
    <row r="31" spans="2:27" ht="15.75" customHeight="1">
      <c r="B31" s="175" t="s">
        <v>364</v>
      </c>
      <c r="C31" s="176">
        <v>0</v>
      </c>
      <c r="D31" s="176">
        <v>0</v>
      </c>
      <c r="E31" s="176">
        <v>0</v>
      </c>
      <c r="F31" s="176">
        <v>0</v>
      </c>
      <c r="G31" s="176">
        <v>0</v>
      </c>
      <c r="H31" s="177">
        <v>0</v>
      </c>
      <c r="I31" s="177">
        <v>0</v>
      </c>
      <c r="J31" s="177">
        <v>0</v>
      </c>
      <c r="K31" s="177">
        <v>0</v>
      </c>
      <c r="L31" s="177">
        <v>0</v>
      </c>
      <c r="M31" s="178"/>
      <c r="N31" s="178"/>
      <c r="O31" s="178"/>
      <c r="P31" s="178"/>
      <c r="Q31" s="178"/>
      <c r="R31" s="178"/>
      <c r="S31" s="178"/>
      <c r="T31" s="178"/>
      <c r="U31" s="178"/>
    </row>
    <row r="32" spans="2:27" ht="15.75" customHeight="1">
      <c r="B32" s="175" t="s">
        <v>365</v>
      </c>
      <c r="C32" s="176">
        <v>0</v>
      </c>
      <c r="D32" s="176">
        <v>0</v>
      </c>
      <c r="E32" s="176">
        <v>0</v>
      </c>
      <c r="F32" s="176">
        <v>0</v>
      </c>
      <c r="G32" s="176">
        <v>0</v>
      </c>
      <c r="H32" s="177">
        <v>0</v>
      </c>
      <c r="I32" s="177">
        <v>0</v>
      </c>
      <c r="J32" s="177">
        <v>0</v>
      </c>
      <c r="K32" s="177">
        <v>0</v>
      </c>
      <c r="L32" s="177">
        <v>0</v>
      </c>
      <c r="M32" s="178"/>
      <c r="N32" s="178"/>
      <c r="O32" s="178"/>
      <c r="P32" s="178"/>
      <c r="Q32" s="178"/>
      <c r="R32" s="178"/>
      <c r="S32" s="178"/>
      <c r="T32" s="178"/>
      <c r="U32" s="178"/>
    </row>
    <row r="33" spans="1:27" ht="15.75" customHeight="1">
      <c r="B33" s="175" t="s">
        <v>366</v>
      </c>
      <c r="C33" s="176">
        <v>242116</v>
      </c>
      <c r="D33" s="176">
        <v>313775.59999999998</v>
      </c>
      <c r="E33" s="176">
        <v>374563.6</v>
      </c>
      <c r="F33" s="176">
        <v>439493.3</v>
      </c>
      <c r="G33" s="176">
        <v>482389.2</v>
      </c>
      <c r="H33" s="179">
        <f>G33</f>
        <v>482389.2</v>
      </c>
      <c r="I33" s="179">
        <f>H33</f>
        <v>482389.2</v>
      </c>
      <c r="J33" s="179">
        <f>I33</f>
        <v>482389.2</v>
      </c>
      <c r="K33" s="179">
        <f>J33</f>
        <v>482389.2</v>
      </c>
      <c r="L33" s="179">
        <f>K33</f>
        <v>482389.2</v>
      </c>
      <c r="M33" s="178"/>
      <c r="N33" s="178"/>
      <c r="O33" s="178"/>
      <c r="P33" s="178"/>
      <c r="Q33" s="178"/>
      <c r="R33" s="178"/>
      <c r="S33" s="178"/>
      <c r="T33" s="178"/>
      <c r="U33" s="178"/>
    </row>
    <row r="34" spans="1:27" ht="15.75" customHeight="1">
      <c r="B34" s="175" t="s">
        <v>367</v>
      </c>
      <c r="C34" s="176">
        <v>0</v>
      </c>
      <c r="D34" s="176">
        <v>0</v>
      </c>
      <c r="E34" s="176">
        <v>0</v>
      </c>
      <c r="F34" s="176">
        <v>0</v>
      </c>
      <c r="G34" s="176">
        <v>0</v>
      </c>
      <c r="H34" s="177">
        <v>0</v>
      </c>
      <c r="I34" s="177">
        <v>0</v>
      </c>
      <c r="J34" s="177">
        <v>0</v>
      </c>
      <c r="K34" s="177">
        <v>0</v>
      </c>
      <c r="L34" s="177">
        <v>0</v>
      </c>
      <c r="M34" s="178"/>
      <c r="N34" s="178"/>
      <c r="O34" s="178"/>
      <c r="P34" s="178"/>
      <c r="Q34" s="178"/>
      <c r="R34" s="178"/>
      <c r="S34" s="178"/>
      <c r="T34" s="178"/>
      <c r="U34" s="178"/>
    </row>
    <row r="35" spans="1:27" ht="15.75" customHeight="1">
      <c r="A35" s="403"/>
      <c r="B35" s="180" t="s">
        <v>368</v>
      </c>
      <c r="C35" s="181">
        <v>3463658</v>
      </c>
      <c r="D35" s="181">
        <v>3333147.7</v>
      </c>
      <c r="E35" s="181">
        <v>5403777</v>
      </c>
      <c r="F35" s="181">
        <v>7294961.7000000002</v>
      </c>
      <c r="G35" s="181">
        <v>9647168.9000000004</v>
      </c>
      <c r="H35" s="173">
        <f>H36+H42</f>
        <v>12654929.779283257</v>
      </c>
      <c r="I35" s="173">
        <f>I36+I42</f>
        <v>16541490.761504347</v>
      </c>
      <c r="J35" s="173">
        <f>J36+J42</f>
        <v>20603130.992958084</v>
      </c>
      <c r="K35" s="173">
        <f>K36+K42</f>
        <v>24623891.982795425</v>
      </c>
      <c r="L35" s="173">
        <f>L36+L42</f>
        <v>28361814.110993829</v>
      </c>
      <c r="M35" s="182"/>
      <c r="N35" s="182"/>
      <c r="O35" s="182"/>
      <c r="P35" s="182"/>
      <c r="Q35" s="182"/>
      <c r="R35" s="182"/>
      <c r="S35" s="182"/>
      <c r="T35" s="182"/>
      <c r="U35" s="182"/>
      <c r="V35" s="180"/>
      <c r="W35" s="180"/>
      <c r="X35" s="180"/>
      <c r="Y35" s="180"/>
      <c r="Z35" s="180"/>
      <c r="AA35" s="180"/>
    </row>
    <row r="36" spans="1:27" ht="15.75" customHeight="1">
      <c r="A36" s="403"/>
      <c r="B36" s="180" t="s">
        <v>369</v>
      </c>
      <c r="C36" s="181">
        <v>3435848.3</v>
      </c>
      <c r="D36" s="181">
        <v>3304923.5</v>
      </c>
      <c r="E36" s="181">
        <v>5375279.2000000002</v>
      </c>
      <c r="F36" s="181">
        <v>7267319.2999999998</v>
      </c>
      <c r="G36" s="181">
        <v>9566954.9000000004</v>
      </c>
      <c r="H36" s="173">
        <f>H37+H38</f>
        <v>12579624.282883257</v>
      </c>
      <c r="I36" s="173">
        <f>I37+I38</f>
        <v>16471264.742704347</v>
      </c>
      <c r="J36" s="173">
        <f>J37+J38</f>
        <v>20538155.465758085</v>
      </c>
      <c r="K36" s="173">
        <f>K37+K38</f>
        <v>24564337.961195424</v>
      </c>
      <c r="L36" s="173">
        <f>L37+L38</f>
        <v>28307612.758993827</v>
      </c>
      <c r="M36" s="182"/>
      <c r="N36" s="182"/>
      <c r="O36" s="182"/>
      <c r="P36" s="182"/>
      <c r="Q36" s="182"/>
      <c r="R36" s="182"/>
      <c r="S36" s="182"/>
      <c r="T36" s="182"/>
      <c r="U36" s="182"/>
      <c r="V36" s="180"/>
      <c r="W36" s="180"/>
      <c r="X36" s="180"/>
      <c r="Y36" s="180"/>
      <c r="Z36" s="180"/>
      <c r="AA36" s="180"/>
    </row>
    <row r="37" spans="1:27" ht="15.75" customHeight="1">
      <c r="A37" s="403"/>
      <c r="B37" s="30" t="s">
        <v>370</v>
      </c>
      <c r="C37" s="183">
        <v>4832699.9000000004</v>
      </c>
      <c r="D37" s="183">
        <v>5788326.2999999998</v>
      </c>
      <c r="E37" s="183">
        <v>9148456</v>
      </c>
      <c r="F37" s="183">
        <v>12963311.4</v>
      </c>
      <c r="G37" s="183">
        <v>17987087.800000001</v>
      </c>
      <c r="H37" s="179">
        <f>CAPEX!G3</f>
        <v>24255544.251573943</v>
      </c>
      <c r="I37" s="179">
        <f>CAPEX!H3</f>
        <v>32125612.911431175</v>
      </c>
      <c r="J37" s="179">
        <f>CAPEX!I3</f>
        <v>41120800.580762997</v>
      </c>
      <c r="K37" s="179">
        <f>CAPEX!J3</f>
        <v>51210083.271274924</v>
      </c>
      <c r="L37" s="179">
        <f>CAPEX!K3</f>
        <v>62328169.7467933</v>
      </c>
      <c r="M37" s="31"/>
      <c r="N37" s="31"/>
      <c r="O37" s="31"/>
      <c r="P37" s="31"/>
      <c r="Q37" s="31"/>
      <c r="R37" s="31"/>
      <c r="S37" s="31"/>
      <c r="T37" s="31"/>
      <c r="U37" s="31"/>
      <c r="V37" s="30"/>
      <c r="W37" s="30"/>
      <c r="X37" s="30"/>
      <c r="Y37" s="30"/>
      <c r="Z37" s="30"/>
      <c r="AA37" s="30"/>
    </row>
    <row r="38" spans="1:27" ht="15.75" customHeight="1">
      <c r="A38" s="403"/>
      <c r="B38" s="30" t="s">
        <v>371</v>
      </c>
      <c r="C38" s="183">
        <v>-1396851.6</v>
      </c>
      <c r="D38" s="183">
        <v>-2483402.7999999998</v>
      </c>
      <c r="E38" s="183">
        <v>-3773176.8</v>
      </c>
      <c r="F38" s="183">
        <v>-5695992.0999999996</v>
      </c>
      <c r="G38" s="183">
        <v>-8420132.9000000004</v>
      </c>
      <c r="H38" s="179">
        <f>CAPEX!G4</f>
        <v>-11675919.968690686</v>
      </c>
      <c r="I38" s="179">
        <f>CAPEX!H4</f>
        <v>-15654348.168726828</v>
      </c>
      <c r="J38" s="179">
        <f>CAPEX!I4</f>
        <v>-20582645.115004912</v>
      </c>
      <c r="K38" s="179">
        <f>CAPEX!J4</f>
        <v>-26645745.3100795</v>
      </c>
      <c r="L38" s="179">
        <f>CAPEX!K4</f>
        <v>-34020556.987799473</v>
      </c>
      <c r="M38" s="31"/>
      <c r="N38" s="31"/>
      <c r="O38" s="31"/>
      <c r="P38" s="31"/>
      <c r="Q38" s="31"/>
      <c r="R38" s="31"/>
      <c r="S38" s="31"/>
      <c r="T38" s="31"/>
      <c r="U38" s="31"/>
      <c r="V38" s="30"/>
      <c r="W38" s="30"/>
      <c r="X38" s="30"/>
      <c r="Y38" s="30"/>
      <c r="Z38" s="30"/>
      <c r="AA38" s="30"/>
    </row>
    <row r="39" spans="1:27" ht="15.75" customHeight="1">
      <c r="A39" s="403"/>
      <c r="B39" s="30" t="s">
        <v>372</v>
      </c>
      <c r="C39" s="183">
        <v>0</v>
      </c>
      <c r="D39" s="183">
        <v>0</v>
      </c>
      <c r="E39" s="183">
        <v>0</v>
      </c>
      <c r="F39" s="183">
        <v>0</v>
      </c>
      <c r="G39" s="183">
        <v>0</v>
      </c>
      <c r="H39" s="179"/>
      <c r="I39" s="179"/>
      <c r="J39" s="179"/>
      <c r="K39" s="179"/>
      <c r="L39" s="179"/>
      <c r="M39" s="31"/>
      <c r="N39" s="31"/>
      <c r="O39" s="31"/>
      <c r="P39" s="31"/>
      <c r="Q39" s="31"/>
      <c r="R39" s="31"/>
      <c r="S39" s="31"/>
      <c r="T39" s="31"/>
      <c r="U39" s="31"/>
      <c r="V39" s="30"/>
      <c r="W39" s="30"/>
      <c r="X39" s="30"/>
      <c r="Y39" s="30"/>
      <c r="Z39" s="30"/>
      <c r="AA39" s="30"/>
    </row>
    <row r="40" spans="1:27" ht="15" customHeight="1">
      <c r="A40" s="403"/>
      <c r="B40" s="30" t="s">
        <v>370</v>
      </c>
      <c r="C40" s="183">
        <v>0</v>
      </c>
      <c r="D40" s="183">
        <v>0</v>
      </c>
      <c r="E40" s="183">
        <v>0</v>
      </c>
      <c r="F40" s="183">
        <v>0</v>
      </c>
      <c r="G40" s="183">
        <v>0</v>
      </c>
      <c r="H40" s="179"/>
      <c r="I40" s="179"/>
      <c r="J40" s="179"/>
      <c r="K40" s="179"/>
      <c r="L40" s="179"/>
      <c r="M40" s="31"/>
      <c r="N40" s="31"/>
      <c r="O40" s="31"/>
      <c r="P40" s="31"/>
      <c r="Q40" s="31"/>
      <c r="R40" s="31"/>
      <c r="S40" s="31"/>
      <c r="T40" s="31"/>
      <c r="U40" s="31"/>
      <c r="V40" s="30"/>
      <c r="W40" s="30"/>
      <c r="X40" s="30"/>
      <c r="Y40" s="30"/>
      <c r="Z40" s="30"/>
      <c r="AA40" s="30"/>
    </row>
    <row r="41" spans="1:27" ht="15.75" customHeight="1">
      <c r="A41" s="403"/>
      <c r="B41" s="30" t="s">
        <v>371</v>
      </c>
      <c r="C41" s="183">
        <v>0</v>
      </c>
      <c r="D41" s="183">
        <v>0</v>
      </c>
      <c r="E41" s="183">
        <v>0</v>
      </c>
      <c r="F41" s="183">
        <v>0</v>
      </c>
      <c r="G41" s="183">
        <v>0</v>
      </c>
      <c r="H41" s="179"/>
      <c r="I41" s="179"/>
      <c r="J41" s="179"/>
      <c r="K41" s="179"/>
      <c r="L41" s="179"/>
      <c r="M41" s="31"/>
      <c r="N41" s="31"/>
      <c r="O41" s="31"/>
      <c r="P41" s="31"/>
      <c r="Q41" s="31"/>
      <c r="R41" s="31"/>
      <c r="S41" s="31"/>
      <c r="T41" s="31"/>
      <c r="U41" s="31"/>
      <c r="V41" s="30"/>
      <c r="W41" s="30"/>
      <c r="X41" s="30"/>
      <c r="Y41" s="30"/>
      <c r="Z41" s="30"/>
      <c r="AA41" s="30"/>
    </row>
    <row r="42" spans="1:27" ht="15.75" customHeight="1">
      <c r="A42" s="403"/>
      <c r="B42" s="180" t="s">
        <v>373</v>
      </c>
      <c r="C42" s="181">
        <v>27809.7</v>
      </c>
      <c r="D42" s="181">
        <v>28224.1</v>
      </c>
      <c r="E42" s="181">
        <v>28497.8</v>
      </c>
      <c r="F42" s="181">
        <v>27642.400000000001</v>
      </c>
      <c r="G42" s="181">
        <v>80213.899999999994</v>
      </c>
      <c r="H42" s="173">
        <f>H43+H44</f>
        <v>75305.496400000004</v>
      </c>
      <c r="I42" s="173">
        <f>I43+I44</f>
        <v>70226.018799999991</v>
      </c>
      <c r="J42" s="173">
        <f>J43+J44</f>
        <v>64975.527199999982</v>
      </c>
      <c r="K42" s="173">
        <f>K43+K44</f>
        <v>59554.021599999978</v>
      </c>
      <c r="L42" s="173">
        <f>L43+L44</f>
        <v>54201.35199999997</v>
      </c>
      <c r="M42" s="182"/>
      <c r="N42" s="182"/>
      <c r="O42" s="182"/>
      <c r="P42" s="182"/>
      <c r="Q42" s="182"/>
      <c r="R42" s="182"/>
      <c r="S42" s="182"/>
      <c r="T42" s="182"/>
      <c r="U42" s="182"/>
      <c r="V42" s="180"/>
      <c r="W42" s="180"/>
      <c r="X42" s="180"/>
      <c r="Y42" s="180"/>
      <c r="Z42" s="180"/>
      <c r="AA42" s="180"/>
    </row>
    <row r="43" spans="1:27" ht="15.75" customHeight="1">
      <c r="A43" s="403"/>
      <c r="B43" s="30" t="s">
        <v>370</v>
      </c>
      <c r="C43" s="183">
        <v>32779.5</v>
      </c>
      <c r="D43" s="183">
        <v>33838.400000000001</v>
      </c>
      <c r="E43" s="183">
        <v>34852.199999999997</v>
      </c>
      <c r="F43" s="183">
        <v>35811.599999999999</v>
      </c>
      <c r="G43" s="183">
        <v>90297.8</v>
      </c>
      <c r="H43" s="179">
        <f>CAPEX!G37</f>
        <v>91257.2</v>
      </c>
      <c r="I43" s="179">
        <f>CAPEX!H37</f>
        <v>92216.599999999991</v>
      </c>
      <c r="J43" s="179">
        <f>CAPEX!I37</f>
        <v>93175.999999999985</v>
      </c>
      <c r="K43" s="179">
        <f>CAPEX!J37</f>
        <v>94135.39999999998</v>
      </c>
      <c r="L43" s="179">
        <f>CAPEX!K37</f>
        <v>95094.799999999974</v>
      </c>
      <c r="M43" s="31"/>
      <c r="N43" s="31"/>
      <c r="O43" s="31"/>
      <c r="P43" s="31"/>
      <c r="Q43" s="31"/>
      <c r="R43" s="31"/>
      <c r="S43" s="31"/>
      <c r="T43" s="31"/>
      <c r="U43" s="31"/>
      <c r="V43" s="30"/>
      <c r="W43" s="30"/>
      <c r="X43" s="30"/>
      <c r="Y43" s="30"/>
      <c r="Z43" s="30"/>
      <c r="AA43" s="30"/>
    </row>
    <row r="44" spans="1:27" ht="15.75" customHeight="1">
      <c r="A44" s="403"/>
      <c r="B44" s="30" t="s">
        <v>371</v>
      </c>
      <c r="C44" s="183">
        <v>-4969.8</v>
      </c>
      <c r="D44" s="183">
        <v>-5614.3</v>
      </c>
      <c r="E44" s="183">
        <v>-6354.4</v>
      </c>
      <c r="F44" s="183">
        <v>-8169.3</v>
      </c>
      <c r="G44" s="183">
        <v>-10083.799999999999</v>
      </c>
      <c r="H44" s="179">
        <f>CAPEX!G38</f>
        <v>-15951.703600000001</v>
      </c>
      <c r="I44" s="179">
        <f>CAPEX!H38</f>
        <v>-21990.581200000001</v>
      </c>
      <c r="J44" s="179">
        <f>CAPEX!I38</f>
        <v>-28200.472800000003</v>
      </c>
      <c r="K44" s="179">
        <f>CAPEX!J38</f>
        <v>-34581.378400000001</v>
      </c>
      <c r="L44" s="179">
        <f>CAPEX!K38</f>
        <v>-40893.448000000004</v>
      </c>
      <c r="M44" s="31"/>
      <c r="N44" s="31"/>
      <c r="O44" s="31"/>
      <c r="P44" s="31"/>
      <c r="Q44" s="31"/>
      <c r="R44" s="31"/>
      <c r="S44" s="31"/>
      <c r="T44" s="31"/>
      <c r="U44" s="31"/>
      <c r="V44" s="30"/>
      <c r="W44" s="30"/>
      <c r="X44" s="30"/>
      <c r="Y44" s="30"/>
      <c r="Z44" s="30"/>
      <c r="AA44" s="30"/>
    </row>
    <row r="45" spans="1:27" ht="15.75" customHeight="1">
      <c r="A45" s="403"/>
      <c r="B45" s="180" t="s">
        <v>374</v>
      </c>
      <c r="C45" s="183">
        <v>0</v>
      </c>
      <c r="D45" s="183">
        <v>0</v>
      </c>
      <c r="E45" s="183">
        <v>0</v>
      </c>
      <c r="F45" s="183">
        <v>0</v>
      </c>
      <c r="G45" s="183">
        <v>0</v>
      </c>
      <c r="H45" s="179"/>
      <c r="I45" s="179"/>
      <c r="J45" s="179"/>
      <c r="K45" s="179"/>
      <c r="L45" s="179"/>
      <c r="M45" s="31"/>
      <c r="N45" s="31"/>
      <c r="O45" s="31"/>
      <c r="P45" s="31"/>
      <c r="Q45" s="31"/>
      <c r="R45" s="31"/>
      <c r="S45" s="31"/>
      <c r="T45" s="31"/>
      <c r="U45" s="31"/>
      <c r="V45" s="30"/>
      <c r="W45" s="30"/>
      <c r="X45" s="30"/>
      <c r="Y45" s="30"/>
      <c r="Z45" s="30"/>
      <c r="AA45" s="30"/>
    </row>
    <row r="46" spans="1:27" ht="15.75" customHeight="1">
      <c r="A46" s="403"/>
      <c r="B46" s="30" t="s">
        <v>375</v>
      </c>
      <c r="C46" s="183">
        <v>0</v>
      </c>
      <c r="D46" s="183">
        <v>0</v>
      </c>
      <c r="E46" s="183">
        <v>0</v>
      </c>
      <c r="F46" s="183">
        <v>0</v>
      </c>
      <c r="G46" s="183">
        <v>0</v>
      </c>
      <c r="H46" s="179"/>
      <c r="I46" s="179"/>
      <c r="J46" s="179"/>
      <c r="K46" s="179"/>
      <c r="L46" s="179"/>
      <c r="M46" s="31"/>
      <c r="N46" s="31"/>
      <c r="O46" s="31"/>
      <c r="P46" s="31"/>
      <c r="Q46" s="31"/>
      <c r="R46" s="31"/>
      <c r="S46" s="31"/>
      <c r="T46" s="31"/>
      <c r="U46" s="31"/>
      <c r="V46" s="30"/>
      <c r="W46" s="30"/>
      <c r="X46" s="30"/>
      <c r="Y46" s="30"/>
      <c r="Z46" s="30"/>
      <c r="AA46" s="30"/>
    </row>
    <row r="47" spans="1:27" ht="15.75" customHeight="1">
      <c r="A47" s="403"/>
      <c r="B47" s="30" t="s">
        <v>376</v>
      </c>
      <c r="C47" s="183">
        <v>0</v>
      </c>
      <c r="D47" s="183">
        <v>0</v>
      </c>
      <c r="E47" s="183">
        <v>0</v>
      </c>
      <c r="F47" s="183">
        <v>0</v>
      </c>
      <c r="G47" s="183">
        <v>0</v>
      </c>
      <c r="H47" s="179"/>
      <c r="I47" s="179"/>
      <c r="J47" s="179"/>
      <c r="K47" s="179"/>
      <c r="L47" s="179"/>
      <c r="M47" s="31"/>
      <c r="N47" s="31"/>
      <c r="O47" s="31"/>
      <c r="P47" s="31"/>
      <c r="Q47" s="31"/>
      <c r="R47" s="31"/>
      <c r="S47" s="31"/>
      <c r="T47" s="31"/>
      <c r="U47" s="31"/>
      <c r="V47" s="30"/>
      <c r="W47" s="30"/>
      <c r="X47" s="30"/>
      <c r="Y47" s="30"/>
      <c r="Z47" s="30"/>
      <c r="AA47" s="30"/>
    </row>
    <row r="48" spans="1:27" ht="15.75" customHeight="1">
      <c r="A48" s="403"/>
      <c r="B48" s="180" t="s">
        <v>377</v>
      </c>
      <c r="C48" s="181">
        <v>35457.4</v>
      </c>
      <c r="D48" s="181">
        <v>256832</v>
      </c>
      <c r="E48" s="181">
        <v>87430.399999999994</v>
      </c>
      <c r="F48" s="181">
        <v>132620.4</v>
      </c>
      <c r="G48" s="181">
        <v>79697.899999999994</v>
      </c>
      <c r="H48" s="173">
        <f>H50</f>
        <v>247550.34138295776</v>
      </c>
      <c r="I48" s="173">
        <f>I50</f>
        <v>304900.73273897101</v>
      </c>
      <c r="J48" s="173">
        <f>J50</f>
        <v>347611.47746371402</v>
      </c>
      <c r="K48" s="173">
        <f>K50</f>
        <v>292250.13639144629</v>
      </c>
      <c r="L48" s="173">
        <f>L50</f>
        <v>324775.09017380787</v>
      </c>
      <c r="M48" s="182"/>
      <c r="N48" s="182"/>
      <c r="O48" s="182"/>
      <c r="P48" s="182"/>
      <c r="Q48" s="182"/>
      <c r="R48" s="182"/>
      <c r="S48" s="182"/>
      <c r="T48" s="182"/>
      <c r="U48" s="182"/>
      <c r="V48" s="180"/>
      <c r="W48" s="180"/>
      <c r="X48" s="180"/>
      <c r="Y48" s="180"/>
      <c r="Z48" s="180"/>
      <c r="AA48" s="180"/>
    </row>
    <row r="49" spans="1:27" ht="15.75" customHeight="1">
      <c r="A49" s="403"/>
      <c r="B49" s="30" t="s">
        <v>378</v>
      </c>
      <c r="C49" s="183">
        <v>0</v>
      </c>
      <c r="D49" s="183">
        <v>0</v>
      </c>
      <c r="E49" s="183">
        <v>0</v>
      </c>
      <c r="F49" s="183">
        <v>0</v>
      </c>
      <c r="G49" s="183">
        <v>0</v>
      </c>
      <c r="H49" s="179"/>
      <c r="I49" s="179"/>
      <c r="J49" s="179"/>
      <c r="K49" s="179"/>
      <c r="L49" s="179"/>
      <c r="M49" s="31"/>
      <c r="N49" s="31"/>
      <c r="O49" s="31"/>
      <c r="P49" s="31"/>
      <c r="Q49" s="31"/>
      <c r="R49" s="31"/>
      <c r="S49" s="31"/>
      <c r="T49" s="31"/>
      <c r="U49" s="31"/>
      <c r="V49" s="30"/>
      <c r="W49" s="30"/>
      <c r="X49" s="30"/>
      <c r="Y49" s="30"/>
      <c r="Z49" s="30"/>
      <c r="AA49" s="30"/>
    </row>
    <row r="50" spans="1:27" ht="15.75" customHeight="1">
      <c r="A50" s="403"/>
      <c r="B50" s="30" t="s">
        <v>379</v>
      </c>
      <c r="C50" s="183">
        <v>35457.4</v>
      </c>
      <c r="D50" s="183">
        <v>256832</v>
      </c>
      <c r="E50" s="183">
        <v>87430.399999999994</v>
      </c>
      <c r="F50" s="183">
        <v>132620.4</v>
      </c>
      <c r="G50" s="183">
        <v>79697.899999999994</v>
      </c>
      <c r="H50" s="179">
        <f>CAPEX!G92</f>
        <v>247550.34138295776</v>
      </c>
      <c r="I50" s="179">
        <f>CAPEX!H92</f>
        <v>304900.73273897101</v>
      </c>
      <c r="J50" s="179">
        <f>CAPEX!I92</f>
        <v>347611.47746371402</v>
      </c>
      <c r="K50" s="179">
        <f>CAPEX!J92</f>
        <v>292250.13639144629</v>
      </c>
      <c r="L50" s="179">
        <f>CAPEX!K92</f>
        <v>324775.09017380787</v>
      </c>
      <c r="M50" s="31"/>
      <c r="N50" s="31"/>
      <c r="O50" s="31"/>
      <c r="P50" s="31"/>
      <c r="Q50" s="31"/>
      <c r="R50" s="31"/>
      <c r="S50" s="31"/>
      <c r="T50" s="31"/>
      <c r="U50" s="31"/>
      <c r="V50" s="30"/>
      <c r="W50" s="30"/>
      <c r="X50" s="30"/>
      <c r="Y50" s="30"/>
      <c r="Z50" s="30"/>
      <c r="AA50" s="30"/>
    </row>
    <row r="51" spans="1:27" ht="15.75" customHeight="1">
      <c r="B51" s="171" t="s">
        <v>380</v>
      </c>
      <c r="C51" s="172">
        <v>0</v>
      </c>
      <c r="D51" s="172">
        <v>59937.8</v>
      </c>
      <c r="E51" s="172">
        <v>56464.5</v>
      </c>
      <c r="F51" s="172">
        <v>52757.5</v>
      </c>
      <c r="G51" s="172">
        <v>0</v>
      </c>
      <c r="H51" s="184">
        <v>0</v>
      </c>
      <c r="I51" s="184">
        <v>0</v>
      </c>
      <c r="J51" s="184">
        <v>0</v>
      </c>
      <c r="K51" s="184">
        <v>0</v>
      </c>
      <c r="L51" s="184">
        <v>0</v>
      </c>
      <c r="M51" s="174"/>
      <c r="N51" s="174"/>
      <c r="O51" s="174"/>
      <c r="P51" s="174"/>
      <c r="Q51" s="174"/>
      <c r="R51" s="174"/>
      <c r="S51" s="174"/>
      <c r="T51" s="174"/>
      <c r="U51" s="174"/>
      <c r="V51" s="171"/>
      <c r="W51" s="171"/>
      <c r="X51" s="171"/>
      <c r="Y51" s="171"/>
      <c r="Z51" s="171"/>
      <c r="AA51" s="171"/>
    </row>
    <row r="52" spans="1:27" ht="15.75" customHeight="1">
      <c r="B52" s="175" t="s">
        <v>381</v>
      </c>
      <c r="C52" s="176">
        <v>0</v>
      </c>
      <c r="D52" s="176">
        <v>0</v>
      </c>
      <c r="E52" s="176">
        <v>0</v>
      </c>
      <c r="F52" s="176">
        <v>0</v>
      </c>
      <c r="G52" s="176">
        <v>0</v>
      </c>
      <c r="H52" s="177">
        <v>0</v>
      </c>
      <c r="I52" s="177">
        <v>0</v>
      </c>
      <c r="J52" s="177">
        <v>0</v>
      </c>
      <c r="K52" s="177">
        <v>0</v>
      </c>
      <c r="L52" s="177">
        <v>0</v>
      </c>
      <c r="M52" s="178"/>
      <c r="N52" s="178"/>
      <c r="O52" s="178"/>
      <c r="P52" s="178"/>
      <c r="Q52" s="178"/>
      <c r="R52" s="178"/>
      <c r="S52" s="178"/>
      <c r="T52" s="178"/>
      <c r="U52" s="178"/>
    </row>
    <row r="53" spans="1:27" ht="15.75" customHeight="1">
      <c r="B53" s="175" t="s">
        <v>382</v>
      </c>
      <c r="C53" s="176">
        <v>0</v>
      </c>
      <c r="D53" s="176">
        <v>59937.8</v>
      </c>
      <c r="E53" s="176">
        <v>56464.5</v>
      </c>
      <c r="F53" s="176">
        <v>52757.5</v>
      </c>
      <c r="G53" s="176">
        <v>0</v>
      </c>
      <c r="H53" s="177">
        <v>0</v>
      </c>
      <c r="I53" s="177">
        <v>0</v>
      </c>
      <c r="J53" s="177">
        <v>0</v>
      </c>
      <c r="K53" s="177">
        <v>0</v>
      </c>
      <c r="L53" s="177">
        <v>0</v>
      </c>
      <c r="M53" s="178"/>
      <c r="N53" s="178"/>
      <c r="O53" s="178"/>
      <c r="P53" s="178"/>
      <c r="Q53" s="178"/>
      <c r="R53" s="178"/>
      <c r="S53" s="178"/>
      <c r="T53" s="178"/>
      <c r="U53" s="178"/>
    </row>
    <row r="54" spans="1:27" ht="12" customHeight="1">
      <c r="B54" s="175" t="s">
        <v>383</v>
      </c>
      <c r="C54" s="176">
        <v>0</v>
      </c>
      <c r="D54" s="176">
        <v>0</v>
      </c>
      <c r="E54" s="176">
        <v>0</v>
      </c>
      <c r="F54" s="176">
        <v>0</v>
      </c>
      <c r="G54" s="176">
        <v>0</v>
      </c>
      <c r="H54" s="177">
        <v>0</v>
      </c>
      <c r="I54" s="177">
        <v>0</v>
      </c>
      <c r="J54" s="177">
        <v>0</v>
      </c>
      <c r="K54" s="177">
        <v>0</v>
      </c>
      <c r="L54" s="177">
        <v>0</v>
      </c>
      <c r="M54" s="178"/>
      <c r="N54" s="178"/>
      <c r="O54" s="178"/>
      <c r="P54" s="178"/>
      <c r="Q54" s="178"/>
      <c r="R54" s="178"/>
      <c r="S54" s="178"/>
      <c r="T54" s="178"/>
      <c r="U54" s="178"/>
    </row>
    <row r="55" spans="1:27" ht="15.75" customHeight="1">
      <c r="B55" s="175" t="s">
        <v>384</v>
      </c>
      <c r="C55" s="176">
        <v>0</v>
      </c>
      <c r="D55" s="176">
        <v>0</v>
      </c>
      <c r="E55" s="176">
        <v>0</v>
      </c>
      <c r="F55" s="176">
        <v>0</v>
      </c>
      <c r="G55" s="176">
        <v>0</v>
      </c>
      <c r="H55" s="177">
        <v>0</v>
      </c>
      <c r="I55" s="177">
        <v>0</v>
      </c>
      <c r="J55" s="177">
        <v>0</v>
      </c>
      <c r="K55" s="177">
        <v>0</v>
      </c>
      <c r="L55" s="177">
        <v>0</v>
      </c>
      <c r="M55" s="178"/>
      <c r="N55" s="178"/>
      <c r="O55" s="178"/>
      <c r="P55" s="178"/>
      <c r="Q55" s="178"/>
      <c r="R55" s="178"/>
      <c r="S55" s="178"/>
      <c r="T55" s="178"/>
      <c r="U55" s="178"/>
    </row>
    <row r="56" spans="1:27" ht="15.75" customHeight="1">
      <c r="B56" s="175" t="s">
        <v>385</v>
      </c>
      <c r="C56" s="176">
        <v>0</v>
      </c>
      <c r="D56" s="176">
        <v>0</v>
      </c>
      <c r="E56" s="176">
        <v>0</v>
      </c>
      <c r="F56" s="176">
        <v>0</v>
      </c>
      <c r="G56" s="176">
        <v>0</v>
      </c>
      <c r="H56" s="177">
        <v>0</v>
      </c>
      <c r="I56" s="177">
        <v>0</v>
      </c>
      <c r="J56" s="177">
        <v>0</v>
      </c>
      <c r="K56" s="177">
        <v>0</v>
      </c>
      <c r="L56" s="177">
        <v>0</v>
      </c>
      <c r="M56" s="178"/>
      <c r="N56" s="178"/>
      <c r="O56" s="178"/>
      <c r="P56" s="178"/>
      <c r="Q56" s="178"/>
      <c r="R56" s="178"/>
      <c r="S56" s="178"/>
      <c r="T56" s="178"/>
      <c r="U56" s="178"/>
    </row>
    <row r="57" spans="1:27" ht="15.75" customHeight="1">
      <c r="B57" s="171" t="s">
        <v>386</v>
      </c>
      <c r="C57" s="172">
        <v>218571.5</v>
      </c>
      <c r="D57" s="172">
        <v>786843.7</v>
      </c>
      <c r="E57" s="172">
        <v>773963.1</v>
      </c>
      <c r="F57" s="172">
        <v>793813.2</v>
      </c>
      <c r="G57" s="172">
        <v>806891.1</v>
      </c>
      <c r="H57" s="173">
        <f>SUM(H58:H62)</f>
        <v>852527.7327904792</v>
      </c>
      <c r="I57" s="173">
        <f>SUM(I58:I62)</f>
        <v>917528.57533432147</v>
      </c>
      <c r="J57" s="173">
        <f>SUM(J58:J62)</f>
        <v>950265.56345731951</v>
      </c>
      <c r="K57" s="173">
        <f>SUM(K58:K62)</f>
        <v>981558.19427438581</v>
      </c>
      <c r="L57" s="173">
        <f>SUM(L58:L62)</f>
        <v>1015740.6122200035</v>
      </c>
      <c r="M57" s="174"/>
      <c r="N57" s="174"/>
      <c r="O57" s="174"/>
      <c r="P57" s="174"/>
      <c r="Q57" s="174"/>
      <c r="R57" s="174"/>
      <c r="S57" s="174"/>
      <c r="T57" s="174"/>
      <c r="U57" s="174"/>
      <c r="V57" s="171"/>
      <c r="W57" s="171"/>
      <c r="X57" s="171"/>
      <c r="Y57" s="171"/>
      <c r="Z57" s="171"/>
      <c r="AA57" s="171"/>
    </row>
    <row r="58" spans="1:27" ht="15.75" customHeight="1">
      <c r="B58" s="175" t="s">
        <v>387</v>
      </c>
      <c r="C58" s="176">
        <v>97701.1</v>
      </c>
      <c r="D58" s="176">
        <v>84768.1</v>
      </c>
      <c r="E58" s="176">
        <v>104029.5</v>
      </c>
      <c r="F58" s="176">
        <v>76720.2</v>
      </c>
      <c r="G58" s="176">
        <v>88371.4</v>
      </c>
      <c r="H58" s="179">
        <f>H122</f>
        <v>109939.03132816029</v>
      </c>
      <c r="I58" s="179">
        <f>I122</f>
        <v>135408.78603238487</v>
      </c>
      <c r="J58" s="179">
        <f>J122</f>
        <v>154376.95984345858</v>
      </c>
      <c r="K58" s="179">
        <f>K122</f>
        <v>173054.07711365409</v>
      </c>
      <c r="L58" s="179">
        <f>L122</f>
        <v>192313.5235914884</v>
      </c>
      <c r="M58" s="178"/>
      <c r="N58" s="178"/>
      <c r="O58" s="178"/>
      <c r="P58" s="178"/>
      <c r="Q58" s="178"/>
      <c r="R58" s="178"/>
      <c r="S58" s="178"/>
      <c r="T58" s="178"/>
      <c r="U58" s="178"/>
    </row>
    <row r="59" spans="1:27" ht="15.75" customHeight="1">
      <c r="B59" s="175" t="s">
        <v>388</v>
      </c>
      <c r="C59" s="176">
        <v>120870.5</v>
      </c>
      <c r="D59" s="176">
        <v>149548.70000000001</v>
      </c>
      <c r="E59" s="176">
        <v>178798.7</v>
      </c>
      <c r="F59" s="176">
        <v>287349.8</v>
      </c>
      <c r="G59" s="176">
        <v>350168.4</v>
      </c>
      <c r="H59" s="179">
        <f>H127</f>
        <v>435629.34046231885</v>
      </c>
      <c r="I59" s="179">
        <f>I127</f>
        <v>536552.30030193657</v>
      </c>
      <c r="J59" s="179">
        <f>J127</f>
        <v>611712.98661386082</v>
      </c>
      <c r="K59" s="179">
        <f>K127</f>
        <v>685720.37216073158</v>
      </c>
      <c r="L59" s="179">
        <f>L127</f>
        <v>762035.215628515</v>
      </c>
      <c r="M59" s="178"/>
      <c r="N59" s="178"/>
      <c r="O59" s="178"/>
      <c r="P59" s="178"/>
      <c r="Q59" s="178"/>
      <c r="R59" s="178"/>
      <c r="S59" s="178"/>
      <c r="T59" s="178"/>
      <c r="U59" s="178"/>
    </row>
    <row r="60" spans="1:27" ht="15.75" customHeight="1">
      <c r="B60" s="175" t="s">
        <v>389</v>
      </c>
      <c r="C60" s="176">
        <v>0</v>
      </c>
      <c r="D60" s="176">
        <v>0</v>
      </c>
      <c r="E60" s="176">
        <v>0</v>
      </c>
      <c r="F60" s="176">
        <v>0</v>
      </c>
      <c r="G60" s="176">
        <v>0</v>
      </c>
      <c r="H60" s="177">
        <v>0</v>
      </c>
      <c r="I60" s="177">
        <v>0</v>
      </c>
      <c r="J60" s="177">
        <v>0</v>
      </c>
      <c r="K60" s="177">
        <v>0</v>
      </c>
      <c r="L60" s="177">
        <v>0</v>
      </c>
      <c r="M60" s="178"/>
      <c r="N60" s="178"/>
      <c r="O60" s="178"/>
      <c r="P60" s="178"/>
      <c r="Q60" s="178"/>
      <c r="R60" s="178"/>
      <c r="S60" s="178"/>
      <c r="T60" s="178"/>
      <c r="U60" s="178"/>
    </row>
    <row r="61" spans="1:27" ht="15.75" customHeight="1">
      <c r="B61" s="175" t="s">
        <v>390</v>
      </c>
      <c r="C61" s="176">
        <v>0</v>
      </c>
      <c r="D61" s="176">
        <v>0</v>
      </c>
      <c r="E61" s="176">
        <v>0</v>
      </c>
      <c r="F61" s="176">
        <v>0</v>
      </c>
      <c r="G61" s="176">
        <v>0</v>
      </c>
      <c r="H61" s="177">
        <v>0</v>
      </c>
      <c r="I61" s="177">
        <v>0</v>
      </c>
      <c r="J61" s="177">
        <v>0</v>
      </c>
      <c r="K61" s="177">
        <v>0</v>
      </c>
      <c r="L61" s="177">
        <v>0</v>
      </c>
      <c r="M61" s="178"/>
      <c r="N61" s="178"/>
      <c r="O61" s="178"/>
      <c r="P61" s="178"/>
      <c r="Q61" s="178"/>
      <c r="R61" s="178"/>
      <c r="S61" s="178"/>
      <c r="T61" s="178"/>
      <c r="U61" s="178"/>
    </row>
    <row r="62" spans="1:27" ht="15.75" customHeight="1">
      <c r="B62" s="175" t="s">
        <v>391</v>
      </c>
      <c r="C62" s="176">
        <v>0</v>
      </c>
      <c r="D62" s="176">
        <v>552526.80000000005</v>
      </c>
      <c r="E62" s="176">
        <v>491135</v>
      </c>
      <c r="F62" s="176">
        <v>429743.1</v>
      </c>
      <c r="G62" s="176">
        <v>368351.2</v>
      </c>
      <c r="H62" s="179">
        <f>H140</f>
        <v>306959.36100000003</v>
      </c>
      <c r="I62" s="179">
        <f>I140</f>
        <v>245567.48900000006</v>
      </c>
      <c r="J62" s="179">
        <f>J140</f>
        <v>184175.61700000009</v>
      </c>
      <c r="K62" s="179">
        <f>K140</f>
        <v>122783.74500000011</v>
      </c>
      <c r="L62" s="179">
        <f>L140</f>
        <v>61391.873000000138</v>
      </c>
      <c r="M62" s="178"/>
      <c r="N62" s="178"/>
      <c r="O62" s="178"/>
      <c r="P62" s="178"/>
      <c r="Q62" s="178"/>
      <c r="R62" s="178"/>
      <c r="S62" s="178"/>
      <c r="T62" s="178"/>
      <c r="U62" s="178"/>
    </row>
    <row r="63" spans="1:27" ht="15.75" customHeight="1">
      <c r="B63" s="171" t="s">
        <v>392</v>
      </c>
      <c r="C63" s="172">
        <v>22822664.199999999</v>
      </c>
      <c r="D63" s="172">
        <v>28122531.5</v>
      </c>
      <c r="E63" s="172">
        <v>41708095.5</v>
      </c>
      <c r="F63" s="172">
        <v>46030880</v>
      </c>
      <c r="G63" s="172">
        <v>62971404.799999997</v>
      </c>
      <c r="H63" s="185">
        <f>H26+H2</f>
        <v>82505791.654606014</v>
      </c>
      <c r="I63" s="185">
        <f>I26+I2</f>
        <v>96088341.369821966</v>
      </c>
      <c r="J63" s="185">
        <f>J26+J2</f>
        <v>110300087.23349716</v>
      </c>
      <c r="K63" s="185">
        <f>K26+K2</f>
        <v>122877138.47527808</v>
      </c>
      <c r="L63" s="185">
        <f>L26+L2</f>
        <v>149879623.74448925</v>
      </c>
      <c r="M63" s="174"/>
      <c r="N63" s="174"/>
      <c r="O63" s="174"/>
      <c r="P63" s="174"/>
      <c r="Q63" s="174"/>
      <c r="R63" s="174"/>
      <c r="S63" s="174"/>
      <c r="T63" s="174"/>
      <c r="U63" s="174"/>
      <c r="V63" s="171"/>
      <c r="W63" s="171"/>
      <c r="X63" s="171"/>
      <c r="Y63" s="171"/>
      <c r="Z63" s="171"/>
      <c r="AA63" s="171"/>
    </row>
    <row r="64" spans="1:27" ht="15.75" customHeight="1">
      <c r="B64" s="171" t="s">
        <v>393</v>
      </c>
      <c r="C64" s="172">
        <v>16913747.899999999</v>
      </c>
      <c r="D64" s="172">
        <v>19139496.199999999</v>
      </c>
      <c r="E64" s="172">
        <v>29564503.399999999</v>
      </c>
      <c r="F64" s="172">
        <v>30549190.100000001</v>
      </c>
      <c r="G64" s="172">
        <v>42593158.799999997</v>
      </c>
      <c r="H64" s="173">
        <f>H65+H78</f>
        <v>48689810.01638224</v>
      </c>
      <c r="I64" s="173">
        <f>I65+I78</f>
        <v>55454771.418660887</v>
      </c>
      <c r="J64" s="173">
        <f>J65+J78</f>
        <v>60374895.544883698</v>
      </c>
      <c r="K64" s="173">
        <f>K65+K78</f>
        <v>61467260.586484276</v>
      </c>
      <c r="L64" s="173">
        <f>L65+L78</f>
        <v>75401436.155174002</v>
      </c>
      <c r="M64" s="174"/>
      <c r="N64" s="174"/>
      <c r="O64" s="174"/>
      <c r="P64" s="174"/>
      <c r="Q64" s="174"/>
      <c r="R64" s="174"/>
      <c r="S64" s="174"/>
      <c r="T64" s="174"/>
      <c r="U64" s="174"/>
      <c r="V64" s="171"/>
      <c r="W64" s="171"/>
      <c r="X64" s="171"/>
      <c r="Y64" s="171"/>
      <c r="Z64" s="171"/>
      <c r="AA64" s="171"/>
    </row>
    <row r="65" spans="1:27" s="171" customFormat="1" ht="15.75" customHeight="1">
      <c r="A65" s="402"/>
      <c r="B65" s="171" t="s">
        <v>394</v>
      </c>
      <c r="C65" s="172">
        <v>15713814.9</v>
      </c>
      <c r="D65" s="172">
        <v>17929433</v>
      </c>
      <c r="E65" s="172">
        <v>28442366.699999999</v>
      </c>
      <c r="F65" s="172">
        <v>29422513.399999999</v>
      </c>
      <c r="G65" s="172">
        <v>42593158.799999997</v>
      </c>
      <c r="H65" s="173">
        <f>SUM(H66:H77)</f>
        <v>48689810.01638224</v>
      </c>
      <c r="I65" s="173">
        <f>SUM(I66:I77)</f>
        <v>55454771.418660887</v>
      </c>
      <c r="J65" s="173">
        <f>SUM(J66:J77)</f>
        <v>60374895.544883698</v>
      </c>
      <c r="K65" s="173">
        <f>SUM(K66:K77)</f>
        <v>61467260.586484276</v>
      </c>
      <c r="L65" s="173">
        <f>SUM(L66:L77)</f>
        <v>75401436.155174002</v>
      </c>
      <c r="M65" s="174"/>
      <c r="N65" s="174"/>
      <c r="O65" s="174"/>
      <c r="P65" s="174"/>
      <c r="Q65" s="174"/>
      <c r="R65" s="174"/>
      <c r="S65" s="174"/>
      <c r="T65" s="174"/>
      <c r="U65" s="174"/>
    </row>
    <row r="66" spans="1:27" ht="15.75" customHeight="1">
      <c r="B66" s="175" t="s">
        <v>395</v>
      </c>
      <c r="C66" s="176">
        <v>7373229.7000000002</v>
      </c>
      <c r="D66" s="176">
        <v>8244614.2000000002</v>
      </c>
      <c r="E66" s="176">
        <v>12055385.5</v>
      </c>
      <c r="F66" s="176">
        <v>8728168.9000000004</v>
      </c>
      <c r="G66" s="176">
        <v>12179774.800000001</v>
      </c>
      <c r="H66" s="179">
        <f>NWC!G19</f>
        <v>15135734.917629953</v>
      </c>
      <c r="I66" s="179">
        <f>NWC!H19</f>
        <v>18702136.760814574</v>
      </c>
      <c r="J66" s="179">
        <f>NWC!I19</f>
        <v>19094691.878892798</v>
      </c>
      <c r="K66" s="179">
        <f>NWC!J19</f>
        <v>23772779.272539128</v>
      </c>
      <c r="L66" s="179">
        <f>NWC!K19</f>
        <v>23817648.384141114</v>
      </c>
      <c r="M66" s="178"/>
      <c r="N66" s="178"/>
      <c r="O66" s="178"/>
      <c r="P66" s="178"/>
      <c r="Q66" s="178"/>
      <c r="R66" s="178"/>
      <c r="S66" s="178"/>
      <c r="T66" s="178"/>
      <c r="U66" s="178"/>
    </row>
    <row r="67" spans="1:27" ht="15.75" customHeight="1">
      <c r="B67" s="175" t="s">
        <v>396</v>
      </c>
      <c r="C67" s="176">
        <v>22475.5</v>
      </c>
      <c r="D67" s="176">
        <v>38061.599999999999</v>
      </c>
      <c r="E67" s="176">
        <v>81194.100000000006</v>
      </c>
      <c r="F67" s="176">
        <v>86907.4</v>
      </c>
      <c r="G67" s="176">
        <v>98379.3</v>
      </c>
      <c r="H67" s="179">
        <f>NWC!G21</f>
        <v>122389.42627074459</v>
      </c>
      <c r="I67" s="179">
        <f>NWC!H21</f>
        <v>150743.58427857654</v>
      </c>
      <c r="J67" s="179">
        <f>NWC!I21</f>
        <v>171859.86920573359</v>
      </c>
      <c r="K67" s="179">
        <f>NWC!J21</f>
        <v>192652.13596918585</v>
      </c>
      <c r="L67" s="179">
        <f>NWC!K21</f>
        <v>214092.67966179235</v>
      </c>
      <c r="M67" s="178"/>
      <c r="N67" s="178"/>
      <c r="O67" s="178"/>
      <c r="P67" s="178"/>
      <c r="Q67" s="178"/>
      <c r="R67" s="178"/>
      <c r="S67" s="178"/>
      <c r="T67" s="178"/>
      <c r="U67" s="178"/>
    </row>
    <row r="68" spans="1:27" ht="15.75" customHeight="1">
      <c r="B68" s="175" t="s">
        <v>397</v>
      </c>
      <c r="C68" s="176">
        <v>137421.6</v>
      </c>
      <c r="D68" s="176">
        <v>217699.6</v>
      </c>
      <c r="E68" s="176">
        <v>374623.3</v>
      </c>
      <c r="F68" s="176">
        <v>634917.9</v>
      </c>
      <c r="G68" s="176">
        <v>696559</v>
      </c>
      <c r="H68" s="179">
        <f>NWC!G23</f>
        <v>887207.75562862074</v>
      </c>
      <c r="I68" s="179">
        <f>NWC!H23</f>
        <v>1092748.6234583203</v>
      </c>
      <c r="J68" s="179">
        <f>NWC!I23</f>
        <v>1267301.4322074989</v>
      </c>
      <c r="K68" s="179">
        <f>NWC!J23</f>
        <v>1420624.4247708167</v>
      </c>
      <c r="L68" s="179">
        <f>NWC!K23</f>
        <v>1578727.8368967767</v>
      </c>
      <c r="M68" s="178"/>
      <c r="N68" s="178"/>
      <c r="O68" s="178"/>
      <c r="P68" s="178"/>
      <c r="Q68" s="178"/>
      <c r="R68" s="178"/>
      <c r="S68" s="178"/>
      <c r="T68" s="178"/>
      <c r="U68" s="178"/>
    </row>
    <row r="69" spans="1:27" ht="15.75" customHeight="1">
      <c r="B69" s="175" t="s">
        <v>398</v>
      </c>
      <c r="C69" s="176">
        <v>133725.1</v>
      </c>
      <c r="D69" s="176">
        <v>149775</v>
      </c>
      <c r="E69" s="176">
        <v>258242.3</v>
      </c>
      <c r="F69" s="176">
        <v>533572.30000000005</v>
      </c>
      <c r="G69" s="176">
        <v>531987.4</v>
      </c>
      <c r="H69" s="179">
        <f>NWC!G25</f>
        <v>697776.15846887848</v>
      </c>
      <c r="I69" s="179">
        <f>NWC!H25</f>
        <v>875728.02695023536</v>
      </c>
      <c r="J69" s="179">
        <f>NWC!I25</f>
        <v>1011880.4039188303</v>
      </c>
      <c r="K69" s="179">
        <f>NWC!J25</f>
        <v>1149115.7061383638</v>
      </c>
      <c r="L69" s="179">
        <f>NWC!K25</f>
        <v>1295918.9230707341</v>
      </c>
      <c r="M69" s="178"/>
      <c r="N69" s="178"/>
      <c r="O69" s="178"/>
      <c r="P69" s="178"/>
      <c r="Q69" s="178"/>
      <c r="R69" s="178"/>
      <c r="S69" s="178"/>
      <c r="T69" s="178"/>
      <c r="U69" s="178"/>
    </row>
    <row r="70" spans="1:27" ht="15.75" customHeight="1">
      <c r="B70" s="175" t="s">
        <v>399</v>
      </c>
      <c r="C70" s="176">
        <v>1585372.4</v>
      </c>
      <c r="D70" s="176">
        <v>2173064.9</v>
      </c>
      <c r="E70" s="176">
        <v>1851967</v>
      </c>
      <c r="F70" s="176">
        <v>3191005.4</v>
      </c>
      <c r="G70" s="176">
        <v>3885356.4</v>
      </c>
      <c r="H70" s="179">
        <f>NWC!G27</f>
        <v>4640870.977557851</v>
      </c>
      <c r="I70" s="179">
        <f>NWC!H27</f>
        <v>5838129.1668881085</v>
      </c>
      <c r="J70" s="179">
        <f>NWC!I27</f>
        <v>6572261.2076321868</v>
      </c>
      <c r="K70" s="179">
        <f>NWC!J27</f>
        <v>7378406.6625234028</v>
      </c>
      <c r="L70" s="179">
        <f>NWC!K27</f>
        <v>8169425.4187673833</v>
      </c>
      <c r="M70" s="178"/>
      <c r="N70" s="178"/>
      <c r="O70" s="178"/>
      <c r="P70" s="178"/>
      <c r="Q70" s="178"/>
      <c r="R70" s="178"/>
      <c r="S70" s="178"/>
      <c r="T70" s="178"/>
      <c r="U70" s="178"/>
    </row>
    <row r="71" spans="1:27" ht="15.75" customHeight="1">
      <c r="B71" s="175" t="s">
        <v>400</v>
      </c>
      <c r="C71" s="176">
        <v>0</v>
      </c>
      <c r="D71" s="176">
        <v>0</v>
      </c>
      <c r="E71" s="176">
        <v>0</v>
      </c>
      <c r="F71" s="176">
        <v>0</v>
      </c>
      <c r="G71" s="176">
        <v>0</v>
      </c>
      <c r="H71" s="177">
        <v>0</v>
      </c>
      <c r="I71" s="177">
        <v>0</v>
      </c>
      <c r="J71" s="177">
        <v>0</v>
      </c>
      <c r="K71" s="177">
        <v>0</v>
      </c>
      <c r="L71" s="177">
        <v>0</v>
      </c>
      <c r="M71" s="178"/>
      <c r="N71" s="178"/>
      <c r="O71" s="178"/>
      <c r="P71" s="178"/>
      <c r="Q71" s="178"/>
      <c r="R71" s="178"/>
      <c r="S71" s="178"/>
      <c r="T71" s="178"/>
      <c r="U71" s="178"/>
    </row>
    <row r="72" spans="1:27" ht="15.75" customHeight="1">
      <c r="B72" s="175" t="s">
        <v>401</v>
      </c>
      <c r="C72" s="176">
        <v>0</v>
      </c>
      <c r="D72" s="176">
        <v>0</v>
      </c>
      <c r="E72" s="176">
        <v>0</v>
      </c>
      <c r="F72" s="176">
        <v>0</v>
      </c>
      <c r="G72" s="176">
        <v>0</v>
      </c>
      <c r="H72" s="177">
        <v>0</v>
      </c>
      <c r="I72" s="177">
        <v>0</v>
      </c>
      <c r="J72" s="177">
        <v>0</v>
      </c>
      <c r="K72" s="177">
        <v>0</v>
      </c>
      <c r="L72" s="177">
        <v>0</v>
      </c>
      <c r="M72" s="178"/>
      <c r="N72" s="178"/>
      <c r="O72" s="178"/>
      <c r="P72" s="178"/>
      <c r="Q72" s="178"/>
      <c r="R72" s="178"/>
      <c r="S72" s="178"/>
      <c r="T72" s="178"/>
      <c r="U72" s="178"/>
    </row>
    <row r="73" spans="1:27" ht="15.75" customHeight="1">
      <c r="B73" s="175" t="s">
        <v>402</v>
      </c>
      <c r="C73" s="176">
        <v>0</v>
      </c>
      <c r="D73" s="176">
        <v>0</v>
      </c>
      <c r="E73" s="176">
        <v>333.6</v>
      </c>
      <c r="F73" s="176">
        <v>308.39999999999998</v>
      </c>
      <c r="G73" s="176">
        <v>0</v>
      </c>
      <c r="H73" s="177">
        <v>0</v>
      </c>
      <c r="I73" s="177">
        <v>0</v>
      </c>
      <c r="J73" s="177">
        <v>0</v>
      </c>
      <c r="K73" s="177">
        <v>0</v>
      </c>
      <c r="L73" s="177">
        <v>0</v>
      </c>
      <c r="M73" s="178"/>
      <c r="N73" s="178"/>
      <c r="O73" s="178"/>
      <c r="P73" s="178"/>
      <c r="Q73" s="178"/>
      <c r="R73" s="178"/>
      <c r="S73" s="178"/>
      <c r="T73" s="178"/>
      <c r="U73" s="178"/>
    </row>
    <row r="74" spans="1:27" ht="20.25" customHeight="1">
      <c r="B74" s="175" t="s">
        <v>403</v>
      </c>
      <c r="C74" s="176">
        <v>807310.1</v>
      </c>
      <c r="D74" s="176">
        <v>1208214.3</v>
      </c>
      <c r="E74" s="176">
        <v>717884.7</v>
      </c>
      <c r="F74" s="176">
        <v>546045.4</v>
      </c>
      <c r="G74" s="176">
        <v>476319.9</v>
      </c>
      <c r="H74" s="179">
        <f>NWC!G31</f>
        <v>681037.6345301104</v>
      </c>
      <c r="I74" s="179">
        <f>NWC!H31</f>
        <v>784332.55452443892</v>
      </c>
      <c r="J74" s="179">
        <f>NWC!I31</f>
        <v>925259.54608574894</v>
      </c>
      <c r="K74" s="179">
        <f>NWC!J31</f>
        <v>1019793.7759231521</v>
      </c>
      <c r="L74" s="179">
        <f>NWC!K31</f>
        <v>1142960.3959816841</v>
      </c>
      <c r="M74" s="178"/>
      <c r="N74" s="178"/>
      <c r="O74" s="178"/>
      <c r="P74" s="178"/>
      <c r="Q74" s="178"/>
      <c r="R74" s="178"/>
      <c r="S74" s="178"/>
      <c r="T74" s="178"/>
      <c r="U74" s="178"/>
    </row>
    <row r="75" spans="1:27" ht="15.75" customHeight="1">
      <c r="B75" s="175" t="s">
        <v>404</v>
      </c>
      <c r="C75" s="176">
        <v>5603506</v>
      </c>
      <c r="D75" s="176">
        <v>5836454.5999999996</v>
      </c>
      <c r="E75" s="176">
        <v>13031015.6</v>
      </c>
      <c r="F75" s="176">
        <v>15625180.300000001</v>
      </c>
      <c r="G75" s="176">
        <v>24647474.300000001</v>
      </c>
      <c r="H75" s="179">
        <f>'FI&amp;FE'!G10</f>
        <v>26421481.482547984</v>
      </c>
      <c r="I75" s="179">
        <f>'FI&amp;FE'!H10</f>
        <v>27881028.194131702</v>
      </c>
      <c r="J75" s="179">
        <f>'FI&amp;FE'!I10</f>
        <v>31198668.862718031</v>
      </c>
      <c r="K75" s="179">
        <f>'FI&amp;FE'!J10</f>
        <v>26363517.941228881</v>
      </c>
      <c r="L75" s="179">
        <f>'FI&amp;FE'!K10</f>
        <v>39019522.04843758</v>
      </c>
      <c r="M75" s="178"/>
      <c r="N75" s="178"/>
      <c r="O75" s="178"/>
      <c r="P75" s="178"/>
      <c r="Q75" s="178"/>
      <c r="R75" s="178"/>
      <c r="S75" s="178"/>
      <c r="T75" s="178"/>
      <c r="U75" s="178"/>
    </row>
    <row r="76" spans="1:27" ht="15.75" customHeight="1">
      <c r="B76" s="175" t="s">
        <v>405</v>
      </c>
      <c r="C76" s="176">
        <v>45824.5</v>
      </c>
      <c r="D76" s="176">
        <v>56568.6</v>
      </c>
      <c r="E76" s="176">
        <v>71690.5</v>
      </c>
      <c r="F76" s="176">
        <v>76377.399999999994</v>
      </c>
      <c r="G76" s="176">
        <v>77277.600000000006</v>
      </c>
      <c r="H76" s="179">
        <f>NWC!G29</f>
        <v>103281.56374809332</v>
      </c>
      <c r="I76" s="179">
        <f>NWC!H29</f>
        <v>129894.40761493015</v>
      </c>
      <c r="J76" s="179">
        <f>NWC!I29</f>
        <v>132942.24422287423</v>
      </c>
      <c r="K76" s="179">
        <f>NWC!J29</f>
        <v>170340.56739134601</v>
      </c>
      <c r="L76" s="179">
        <f>NWC!K29</f>
        <v>163110.36821694896</v>
      </c>
      <c r="M76" s="178"/>
      <c r="N76" s="178"/>
      <c r="O76" s="178"/>
      <c r="P76" s="178"/>
      <c r="Q76" s="178"/>
      <c r="R76" s="178"/>
      <c r="S76" s="178"/>
      <c r="T76" s="178"/>
      <c r="U76" s="178"/>
    </row>
    <row r="77" spans="1:27" ht="15.75" customHeight="1">
      <c r="B77" s="175" t="s">
        <v>406</v>
      </c>
      <c r="C77" s="176">
        <v>4950</v>
      </c>
      <c r="D77" s="176">
        <v>4980.1000000000004</v>
      </c>
      <c r="E77" s="176">
        <v>30.1</v>
      </c>
      <c r="F77" s="176">
        <v>30.1</v>
      </c>
      <c r="G77" s="176">
        <v>30.1</v>
      </c>
      <c r="H77" s="179">
        <f>G77</f>
        <v>30.1</v>
      </c>
      <c r="I77" s="179">
        <f>H77</f>
        <v>30.1</v>
      </c>
      <c r="J77" s="179">
        <f>I77</f>
        <v>30.1</v>
      </c>
      <c r="K77" s="179">
        <f>J77</f>
        <v>30.1</v>
      </c>
      <c r="L77" s="179">
        <f>K77</f>
        <v>30.1</v>
      </c>
      <c r="M77" s="178"/>
      <c r="N77" s="178"/>
      <c r="O77" s="178"/>
      <c r="P77" s="178"/>
      <c r="Q77" s="178"/>
      <c r="R77" s="178"/>
      <c r="S77" s="178"/>
      <c r="T77" s="178"/>
      <c r="U77" s="178"/>
    </row>
    <row r="78" spans="1:27" ht="15.75" customHeight="1">
      <c r="B78" s="171" t="s">
        <v>409</v>
      </c>
      <c r="C78" s="172">
        <v>1199933</v>
      </c>
      <c r="D78" s="172">
        <v>1210063.2</v>
      </c>
      <c r="E78" s="172">
        <v>1122136.7</v>
      </c>
      <c r="F78" s="172">
        <v>1126676.7</v>
      </c>
      <c r="G78" s="172">
        <v>0</v>
      </c>
      <c r="H78" s="184">
        <v>0</v>
      </c>
      <c r="I78" s="184">
        <v>0</v>
      </c>
      <c r="J78" s="184">
        <v>0</v>
      </c>
      <c r="K78" s="184">
        <v>0</v>
      </c>
      <c r="L78" s="184">
        <v>0</v>
      </c>
      <c r="M78" s="174"/>
      <c r="N78" s="174"/>
      <c r="O78" s="174"/>
      <c r="P78" s="174"/>
      <c r="Q78" s="174"/>
      <c r="R78" s="174"/>
      <c r="S78" s="174"/>
      <c r="T78" s="174"/>
      <c r="U78" s="174"/>
      <c r="V78" s="171"/>
      <c r="W78" s="171"/>
      <c r="X78" s="171"/>
      <c r="Y78" s="171"/>
      <c r="Z78" s="171"/>
      <c r="AA78" s="171"/>
    </row>
    <row r="79" spans="1:27" ht="15.75" customHeight="1">
      <c r="B79" s="175" t="s">
        <v>410</v>
      </c>
      <c r="C79" s="176">
        <v>0</v>
      </c>
      <c r="D79" s="176">
        <v>0</v>
      </c>
      <c r="E79" s="176">
        <v>0</v>
      </c>
      <c r="F79" s="176">
        <v>0</v>
      </c>
      <c r="G79" s="176">
        <v>0</v>
      </c>
      <c r="H79" s="177">
        <v>0</v>
      </c>
      <c r="I79" s="177">
        <v>0</v>
      </c>
      <c r="J79" s="177">
        <v>0</v>
      </c>
      <c r="K79" s="177">
        <v>0</v>
      </c>
      <c r="L79" s="177">
        <v>0</v>
      </c>
      <c r="M79" s="178"/>
      <c r="N79" s="178"/>
      <c r="O79" s="178"/>
      <c r="P79" s="178"/>
      <c r="Q79" s="178"/>
      <c r="R79" s="178"/>
      <c r="S79" s="178"/>
      <c r="T79" s="178"/>
      <c r="U79" s="178"/>
    </row>
    <row r="80" spans="1:27" ht="15.75" customHeight="1">
      <c r="B80" s="175" t="s">
        <v>411</v>
      </c>
      <c r="C80" s="176">
        <v>0</v>
      </c>
      <c r="D80" s="176">
        <v>0</v>
      </c>
      <c r="E80" s="176">
        <v>0</v>
      </c>
      <c r="F80" s="176">
        <v>0</v>
      </c>
      <c r="G80" s="176">
        <v>0</v>
      </c>
      <c r="H80" s="177">
        <v>0</v>
      </c>
      <c r="I80" s="177">
        <v>0</v>
      </c>
      <c r="J80" s="177">
        <v>0</v>
      </c>
      <c r="K80" s="177">
        <v>0</v>
      </c>
      <c r="L80" s="177">
        <v>0</v>
      </c>
      <c r="M80" s="178"/>
      <c r="N80" s="178"/>
      <c r="O80" s="178"/>
      <c r="P80" s="178"/>
      <c r="Q80" s="178"/>
      <c r="R80" s="178"/>
      <c r="S80" s="178"/>
      <c r="T80" s="178"/>
      <c r="U80" s="178"/>
    </row>
    <row r="81" spans="2:27" ht="15.75" customHeight="1">
      <c r="B81" s="175" t="s">
        <v>412</v>
      </c>
      <c r="C81" s="176">
        <v>0</v>
      </c>
      <c r="D81" s="176">
        <v>0</v>
      </c>
      <c r="E81" s="176">
        <v>0</v>
      </c>
      <c r="F81" s="176">
        <v>0</v>
      </c>
      <c r="G81" s="176">
        <v>0</v>
      </c>
      <c r="H81" s="177">
        <v>0</v>
      </c>
      <c r="I81" s="177">
        <v>0</v>
      </c>
      <c r="J81" s="177">
        <v>0</v>
      </c>
      <c r="K81" s="177">
        <v>0</v>
      </c>
      <c r="L81" s="177">
        <v>0</v>
      </c>
      <c r="M81" s="178"/>
      <c r="N81" s="178"/>
      <c r="O81" s="178"/>
      <c r="P81" s="178"/>
      <c r="Q81" s="178"/>
      <c r="R81" s="178"/>
      <c r="S81" s="178"/>
      <c r="T81" s="178"/>
      <c r="U81" s="178"/>
    </row>
    <row r="82" spans="2:27" ht="15.75" customHeight="1">
      <c r="B82" s="175" t="s">
        <v>413</v>
      </c>
      <c r="C82" s="176">
        <v>0</v>
      </c>
      <c r="D82" s="176">
        <v>0</v>
      </c>
      <c r="E82" s="176">
        <v>0</v>
      </c>
      <c r="F82" s="176">
        <v>0</v>
      </c>
      <c r="G82" s="176">
        <v>0</v>
      </c>
      <c r="H82" s="177">
        <v>0</v>
      </c>
      <c r="I82" s="177">
        <v>0</v>
      </c>
      <c r="J82" s="177">
        <v>0</v>
      </c>
      <c r="K82" s="177">
        <v>0</v>
      </c>
      <c r="L82" s="177">
        <v>0</v>
      </c>
      <c r="M82" s="178"/>
      <c r="N82" s="178"/>
      <c r="O82" s="178"/>
      <c r="P82" s="178"/>
      <c r="Q82" s="178"/>
      <c r="R82" s="178"/>
      <c r="S82" s="178"/>
      <c r="T82" s="178"/>
      <c r="U82" s="178"/>
    </row>
    <row r="83" spans="2:27" ht="15.75" customHeight="1">
      <c r="B83" s="175" t="s">
        <v>414</v>
      </c>
      <c r="C83" s="176">
        <v>0</v>
      </c>
      <c r="D83" s="176">
        <v>0</v>
      </c>
      <c r="E83" s="176">
        <v>0</v>
      </c>
      <c r="F83" s="176">
        <v>0</v>
      </c>
      <c r="G83" s="176">
        <v>0</v>
      </c>
      <c r="H83" s="177">
        <v>0</v>
      </c>
      <c r="I83" s="177">
        <v>0</v>
      </c>
      <c r="J83" s="177">
        <v>0</v>
      </c>
      <c r="K83" s="177">
        <v>0</v>
      </c>
      <c r="L83" s="177">
        <v>0</v>
      </c>
      <c r="M83" s="178"/>
      <c r="N83" s="178"/>
      <c r="O83" s="178"/>
      <c r="P83" s="178"/>
      <c r="Q83" s="178"/>
      <c r="R83" s="178"/>
      <c r="S83" s="178"/>
      <c r="T83" s="178"/>
      <c r="U83" s="178"/>
    </row>
    <row r="84" spans="2:27" ht="15.75" customHeight="1">
      <c r="B84" s="175" t="s">
        <v>415</v>
      </c>
      <c r="C84" s="176">
        <v>0</v>
      </c>
      <c r="D84" s="176">
        <v>0</v>
      </c>
      <c r="E84" s="176">
        <v>0</v>
      </c>
      <c r="F84" s="176">
        <v>0</v>
      </c>
      <c r="G84" s="176">
        <v>0</v>
      </c>
      <c r="H84" s="177">
        <v>0</v>
      </c>
      <c r="I84" s="177">
        <v>0</v>
      </c>
      <c r="J84" s="177">
        <v>0</v>
      </c>
      <c r="K84" s="177">
        <v>0</v>
      </c>
      <c r="L84" s="177">
        <v>0</v>
      </c>
      <c r="M84" s="178"/>
      <c r="N84" s="178"/>
      <c r="O84" s="178"/>
      <c r="P84" s="178"/>
      <c r="Q84" s="178"/>
      <c r="R84" s="178"/>
      <c r="S84" s="178"/>
      <c r="T84" s="178"/>
      <c r="U84" s="178"/>
    </row>
    <row r="85" spans="2:27" ht="15.75" customHeight="1">
      <c r="B85" s="175" t="s">
        <v>416</v>
      </c>
      <c r="C85" s="176">
        <v>0</v>
      </c>
      <c r="D85" s="176">
        <v>0</v>
      </c>
      <c r="E85" s="176">
        <v>0</v>
      </c>
      <c r="F85" s="176">
        <v>0</v>
      </c>
      <c r="G85" s="176">
        <v>0</v>
      </c>
      <c r="H85" s="177">
        <v>0</v>
      </c>
      <c r="I85" s="177">
        <v>0</v>
      </c>
      <c r="J85" s="177">
        <v>0</v>
      </c>
      <c r="K85" s="177">
        <v>0</v>
      </c>
      <c r="L85" s="177">
        <v>0</v>
      </c>
      <c r="M85" s="178"/>
      <c r="N85" s="178"/>
      <c r="O85" s="178"/>
      <c r="P85" s="178"/>
      <c r="Q85" s="178"/>
      <c r="R85" s="178"/>
      <c r="S85" s="178"/>
      <c r="T85" s="178"/>
      <c r="U85" s="178"/>
    </row>
    <row r="86" spans="2:27" ht="15.75" customHeight="1">
      <c r="B86" s="175" t="s">
        <v>417</v>
      </c>
      <c r="C86" s="176">
        <v>1199933</v>
      </c>
      <c r="D86" s="176">
        <v>1208167.1000000001</v>
      </c>
      <c r="E86" s="176">
        <v>1122136.7</v>
      </c>
      <c r="F86" s="176">
        <v>1126676.7</v>
      </c>
      <c r="G86" s="176">
        <v>0</v>
      </c>
      <c r="H86" s="177">
        <v>0</v>
      </c>
      <c r="I86" s="177">
        <v>0</v>
      </c>
      <c r="J86" s="177">
        <v>0</v>
      </c>
      <c r="K86" s="177">
        <v>0</v>
      </c>
      <c r="L86" s="177">
        <v>0</v>
      </c>
      <c r="M86" s="178"/>
      <c r="N86" s="178"/>
      <c r="O86" s="178"/>
      <c r="P86" s="178"/>
      <c r="Q86" s="178"/>
      <c r="R86" s="178"/>
      <c r="S86" s="178"/>
      <c r="T86" s="178"/>
      <c r="U86" s="178"/>
    </row>
    <row r="87" spans="2:27" ht="15.75" customHeight="1">
      <c r="B87" s="175" t="s">
        <v>418</v>
      </c>
      <c r="C87" s="176">
        <v>0</v>
      </c>
      <c r="D87" s="176">
        <v>0</v>
      </c>
      <c r="E87" s="176">
        <v>0</v>
      </c>
      <c r="F87" s="176">
        <v>0</v>
      </c>
      <c r="G87" s="176">
        <v>0</v>
      </c>
      <c r="H87" s="177">
        <v>0</v>
      </c>
      <c r="I87" s="177">
        <v>0</v>
      </c>
      <c r="J87" s="177">
        <v>0</v>
      </c>
      <c r="K87" s="177">
        <v>0</v>
      </c>
      <c r="L87" s="177">
        <v>0</v>
      </c>
      <c r="M87" s="178"/>
      <c r="N87" s="178"/>
      <c r="O87" s="178"/>
      <c r="P87" s="178"/>
      <c r="Q87" s="178"/>
      <c r="R87" s="178"/>
      <c r="S87" s="178"/>
      <c r="T87" s="178"/>
      <c r="U87" s="178"/>
    </row>
    <row r="88" spans="2:27" ht="15.75" customHeight="1">
      <c r="B88" s="175" t="s">
        <v>419</v>
      </c>
      <c r="C88" s="176">
        <v>0</v>
      </c>
      <c r="D88" s="176">
        <v>0</v>
      </c>
      <c r="E88" s="176">
        <v>0</v>
      </c>
      <c r="F88" s="176">
        <v>0</v>
      </c>
      <c r="G88" s="176">
        <v>0</v>
      </c>
      <c r="H88" s="177">
        <v>0</v>
      </c>
      <c r="I88" s="177">
        <v>0</v>
      </c>
      <c r="J88" s="177">
        <v>0</v>
      </c>
      <c r="K88" s="177">
        <v>0</v>
      </c>
      <c r="L88" s="177">
        <v>0</v>
      </c>
      <c r="M88" s="178"/>
      <c r="N88" s="178"/>
      <c r="O88" s="178"/>
      <c r="P88" s="178"/>
      <c r="Q88" s="178"/>
      <c r="R88" s="178"/>
      <c r="S88" s="178"/>
      <c r="T88" s="178"/>
      <c r="U88" s="178"/>
    </row>
    <row r="89" spans="2:27" ht="15.75" customHeight="1">
      <c r="B89" s="175" t="s">
        <v>420</v>
      </c>
      <c r="C89" s="176">
        <v>0</v>
      </c>
      <c r="D89" s="176">
        <v>1896</v>
      </c>
      <c r="E89" s="176">
        <v>0</v>
      </c>
      <c r="F89" s="176">
        <v>0</v>
      </c>
      <c r="G89" s="176">
        <v>0</v>
      </c>
      <c r="H89" s="177">
        <v>0</v>
      </c>
      <c r="I89" s="177">
        <v>0</v>
      </c>
      <c r="J89" s="177">
        <v>0</v>
      </c>
      <c r="K89" s="177">
        <v>0</v>
      </c>
      <c r="L89" s="177">
        <v>0</v>
      </c>
      <c r="M89" s="178"/>
      <c r="N89" s="178"/>
      <c r="O89" s="178"/>
      <c r="P89" s="178"/>
      <c r="Q89" s="178"/>
      <c r="R89" s="178"/>
      <c r="S89" s="178"/>
      <c r="T89" s="178"/>
      <c r="U89" s="178"/>
    </row>
    <row r="90" spans="2:27" ht="15.75" customHeight="1">
      <c r="B90" s="175" t="s">
        <v>421</v>
      </c>
      <c r="C90" s="176">
        <v>0</v>
      </c>
      <c r="D90" s="176">
        <v>0</v>
      </c>
      <c r="E90" s="176">
        <v>0</v>
      </c>
      <c r="F90" s="176">
        <v>0</v>
      </c>
      <c r="G90" s="176">
        <v>0</v>
      </c>
      <c r="H90" s="177">
        <v>0</v>
      </c>
      <c r="I90" s="177">
        <v>0</v>
      </c>
      <c r="J90" s="177">
        <v>0</v>
      </c>
      <c r="K90" s="177">
        <v>0</v>
      </c>
      <c r="L90" s="177">
        <v>0</v>
      </c>
      <c r="M90" s="178"/>
      <c r="N90" s="178"/>
      <c r="O90" s="178"/>
      <c r="P90" s="178"/>
      <c r="Q90" s="178"/>
      <c r="R90" s="178"/>
      <c r="S90" s="178"/>
      <c r="T90" s="178"/>
      <c r="U90" s="178"/>
    </row>
    <row r="91" spans="2:27" ht="15.75" customHeight="1">
      <c r="B91" s="175" t="s">
        <v>422</v>
      </c>
      <c r="C91" s="176">
        <v>0</v>
      </c>
      <c r="D91" s="176">
        <v>0</v>
      </c>
      <c r="E91" s="176">
        <v>0</v>
      </c>
      <c r="F91" s="176">
        <v>0</v>
      </c>
      <c r="G91" s="176">
        <v>0</v>
      </c>
      <c r="H91" s="177">
        <v>0</v>
      </c>
      <c r="I91" s="177">
        <v>0</v>
      </c>
      <c r="J91" s="177">
        <v>0</v>
      </c>
      <c r="K91" s="177">
        <v>0</v>
      </c>
      <c r="L91" s="177">
        <v>0</v>
      </c>
      <c r="M91" s="178"/>
      <c r="N91" s="178"/>
      <c r="O91" s="178"/>
      <c r="P91" s="178"/>
      <c r="Q91" s="178"/>
      <c r="R91" s="178"/>
      <c r="S91" s="178"/>
      <c r="T91" s="178"/>
      <c r="U91" s="178"/>
    </row>
    <row r="92" spans="2:27" ht="15.75" customHeight="1">
      <c r="B92" s="171" t="s">
        <v>898</v>
      </c>
      <c r="C92" s="172">
        <v>5908916.2999999998</v>
      </c>
      <c r="D92" s="172">
        <v>8983035.3000000007</v>
      </c>
      <c r="E92" s="172">
        <v>12143592.199999999</v>
      </c>
      <c r="F92" s="172">
        <v>15481689.800000001</v>
      </c>
      <c r="G92" s="172">
        <v>20378246</v>
      </c>
      <c r="H92" s="173">
        <f>H93</f>
        <v>33815981.718223751</v>
      </c>
      <c r="I92" s="173">
        <f>I93</f>
        <v>40633570.031161048</v>
      </c>
      <c r="J92" s="173">
        <f>J93</f>
        <v>49925191.768613435</v>
      </c>
      <c r="K92" s="173">
        <f>K93</f>
        <v>61409877.968793795</v>
      </c>
      <c r="L92" s="173">
        <f>L93</f>
        <v>74478187.669315219</v>
      </c>
      <c r="M92" s="174"/>
      <c r="N92" s="174"/>
      <c r="O92" s="174"/>
      <c r="P92" s="174"/>
      <c r="Q92" s="174"/>
      <c r="R92" s="174"/>
      <c r="S92" s="174"/>
      <c r="T92" s="174"/>
      <c r="U92" s="174"/>
      <c r="V92" s="171"/>
      <c r="W92" s="171"/>
      <c r="X92" s="171"/>
      <c r="Y92" s="171"/>
      <c r="Z92" s="171"/>
      <c r="AA92" s="171"/>
    </row>
    <row r="93" spans="2:27" ht="15.75" customHeight="1">
      <c r="B93" s="171" t="s">
        <v>424</v>
      </c>
      <c r="C93" s="176">
        <v>5908916.2999999998</v>
      </c>
      <c r="D93" s="176">
        <v>8983035.3000000007</v>
      </c>
      <c r="E93" s="176">
        <v>12143592.199999999</v>
      </c>
      <c r="F93" s="176">
        <v>15481689.800000001</v>
      </c>
      <c r="G93" s="176">
        <v>20378246</v>
      </c>
      <c r="H93" s="179">
        <f>H94+H97+H100+H102+H106+H110</f>
        <v>33815981.718223751</v>
      </c>
      <c r="I93" s="179">
        <f>I94+I97+I100+I102+I106+I110</f>
        <v>40633570.031161048</v>
      </c>
      <c r="J93" s="179">
        <f>J94+J97+J100+J102+J106+J110</f>
        <v>49925191.768613435</v>
      </c>
      <c r="K93" s="179">
        <f>K94+K97+K100+K102+K106+K110</f>
        <v>61409877.968793795</v>
      </c>
      <c r="L93" s="179">
        <f>L94+L97+L100+L102+L106+L110</f>
        <v>74478187.669315219</v>
      </c>
      <c r="M93" s="178"/>
      <c r="N93" s="178"/>
      <c r="O93" s="178"/>
      <c r="P93" s="178"/>
      <c r="Q93" s="178"/>
      <c r="R93" s="178"/>
      <c r="S93" s="178"/>
      <c r="T93" s="178"/>
      <c r="U93" s="178"/>
    </row>
    <row r="94" spans="2:27" ht="15.75" customHeight="1">
      <c r="B94" s="175" t="s">
        <v>425</v>
      </c>
      <c r="C94" s="176">
        <v>3169884.4</v>
      </c>
      <c r="D94" s="176">
        <v>4434961.8</v>
      </c>
      <c r="E94" s="176">
        <v>4435461.8</v>
      </c>
      <c r="F94" s="176">
        <v>4532099.9000000004</v>
      </c>
      <c r="G94" s="176">
        <v>7130655</v>
      </c>
      <c r="H94" s="179">
        <f>EQUITY!G3</f>
        <v>14645794.814903997</v>
      </c>
      <c r="I94" s="179">
        <f>EQUITY!H3</f>
        <v>14645794.814903997</v>
      </c>
      <c r="J94" s="179">
        <f>EQUITY!I3</f>
        <v>14645794.814903997</v>
      </c>
      <c r="K94" s="179">
        <f>EQUITY!J3</f>
        <v>14645794.814903997</v>
      </c>
      <c r="L94" s="179">
        <f>EQUITY!K3</f>
        <v>14645794.814903997</v>
      </c>
      <c r="M94" s="178"/>
      <c r="N94" s="178"/>
      <c r="O94" s="178"/>
      <c r="P94" s="178"/>
      <c r="Q94" s="178"/>
      <c r="R94" s="178"/>
      <c r="S94" s="178"/>
      <c r="T94" s="178"/>
      <c r="U94" s="178"/>
    </row>
    <row r="95" spans="2:27" ht="15.75" customHeight="1">
      <c r="B95" s="175" t="s">
        <v>426</v>
      </c>
      <c r="C95" s="176">
        <v>3169884.4</v>
      </c>
      <c r="D95" s="176">
        <v>4434961.8</v>
      </c>
      <c r="E95" s="176">
        <v>4435461.8</v>
      </c>
      <c r="F95" s="176">
        <v>4532099.9000000004</v>
      </c>
      <c r="G95" s="176">
        <v>7130655</v>
      </c>
      <c r="H95" s="179">
        <f>H94</f>
        <v>14645794.814903997</v>
      </c>
      <c r="I95" s="179">
        <f>I94</f>
        <v>14645794.814903997</v>
      </c>
      <c r="J95" s="179">
        <f>J94</f>
        <v>14645794.814903997</v>
      </c>
      <c r="K95" s="179">
        <f>K94</f>
        <v>14645794.814903997</v>
      </c>
      <c r="L95" s="179">
        <f>L94</f>
        <v>14645794.814903997</v>
      </c>
      <c r="M95" s="178"/>
      <c r="N95" s="178"/>
      <c r="O95" s="178"/>
      <c r="P95" s="178"/>
      <c r="Q95" s="178"/>
      <c r="R95" s="178"/>
      <c r="S95" s="178"/>
      <c r="T95" s="178"/>
      <c r="U95" s="178"/>
    </row>
    <row r="96" spans="2:27" ht="15.75" customHeight="1">
      <c r="B96" s="175" t="s">
        <v>427</v>
      </c>
      <c r="C96" s="176">
        <v>0</v>
      </c>
      <c r="D96" s="176">
        <v>0</v>
      </c>
      <c r="E96" s="176">
        <v>0</v>
      </c>
      <c r="F96" s="176">
        <v>0</v>
      </c>
      <c r="G96" s="176">
        <v>0</v>
      </c>
      <c r="H96" s="177">
        <v>0</v>
      </c>
      <c r="I96" s="177">
        <v>0</v>
      </c>
      <c r="J96" s="177">
        <v>0</v>
      </c>
      <c r="K96" s="177">
        <v>0</v>
      </c>
      <c r="L96" s="177">
        <v>0</v>
      </c>
      <c r="M96" s="178"/>
      <c r="N96" s="178"/>
      <c r="O96" s="178"/>
      <c r="P96" s="178"/>
      <c r="Q96" s="178"/>
      <c r="R96" s="178"/>
      <c r="S96" s="178"/>
      <c r="T96" s="178"/>
      <c r="U96" s="178"/>
    </row>
    <row r="97" spans="1:27" ht="15.75" customHeight="1">
      <c r="B97" s="175" t="s">
        <v>428</v>
      </c>
      <c r="C97" s="176">
        <v>36717.699999999997</v>
      </c>
      <c r="D97" s="176">
        <v>551452</v>
      </c>
      <c r="E97" s="176">
        <v>555207</v>
      </c>
      <c r="F97" s="176">
        <v>558110.4</v>
      </c>
      <c r="G97" s="176">
        <v>558110.4</v>
      </c>
      <c r="H97" s="179">
        <f>EQUITY!G4</f>
        <v>558110.41399999999</v>
      </c>
      <c r="I97" s="179">
        <f>EQUITY!H4</f>
        <v>558110.41399999999</v>
      </c>
      <c r="J97" s="179">
        <f>EQUITY!I4</f>
        <v>558110.41399999999</v>
      </c>
      <c r="K97" s="179">
        <f>EQUITY!J4</f>
        <v>558110.41399999999</v>
      </c>
      <c r="L97" s="179">
        <f>EQUITY!K4</f>
        <v>558110.41399999999</v>
      </c>
      <c r="M97" s="178"/>
      <c r="N97" s="178"/>
      <c r="O97" s="178"/>
      <c r="P97" s="178"/>
      <c r="Q97" s="178"/>
      <c r="R97" s="178"/>
      <c r="S97" s="178"/>
      <c r="T97" s="178"/>
      <c r="U97" s="178"/>
    </row>
    <row r="98" spans="1:27" ht="15.75" customHeight="1">
      <c r="B98" s="175" t="s">
        <v>429</v>
      </c>
      <c r="C98" s="176">
        <v>0</v>
      </c>
      <c r="D98" s="176">
        <v>0</v>
      </c>
      <c r="E98" s="176">
        <v>0</v>
      </c>
      <c r="F98" s="176">
        <v>0</v>
      </c>
      <c r="G98" s="176">
        <v>0</v>
      </c>
      <c r="H98" s="177">
        <v>0</v>
      </c>
      <c r="I98" s="177">
        <v>0</v>
      </c>
      <c r="J98" s="177">
        <v>0</v>
      </c>
      <c r="K98" s="177">
        <v>0</v>
      </c>
      <c r="L98" s="177">
        <v>0</v>
      </c>
      <c r="M98" s="178"/>
      <c r="N98" s="178"/>
      <c r="O98" s="178"/>
      <c r="P98" s="178"/>
      <c r="Q98" s="178"/>
      <c r="R98" s="178"/>
      <c r="S98" s="178"/>
      <c r="T98" s="178"/>
      <c r="U98" s="178"/>
    </row>
    <row r="99" spans="1:27" ht="15.75" customHeight="1">
      <c r="B99" s="175" t="s">
        <v>430</v>
      </c>
      <c r="C99" s="176">
        <v>1130.5</v>
      </c>
      <c r="D99" s="176">
        <v>1130.5</v>
      </c>
      <c r="E99" s="176">
        <v>1130.5</v>
      </c>
      <c r="F99" s="176">
        <v>0</v>
      </c>
      <c r="G99" s="176">
        <v>0</v>
      </c>
      <c r="H99" s="177">
        <v>0</v>
      </c>
      <c r="I99" s="177">
        <v>0</v>
      </c>
      <c r="J99" s="177">
        <v>0</v>
      </c>
      <c r="K99" s="177">
        <v>0</v>
      </c>
      <c r="L99" s="177">
        <v>0</v>
      </c>
      <c r="M99" s="178"/>
      <c r="N99" s="178"/>
      <c r="O99" s="178"/>
      <c r="P99" s="178"/>
      <c r="Q99" s="178"/>
      <c r="R99" s="178"/>
      <c r="S99" s="178"/>
      <c r="T99" s="178"/>
      <c r="U99" s="178"/>
    </row>
    <row r="100" spans="1:27" ht="15.75" customHeight="1">
      <c r="B100" s="175" t="s">
        <v>431</v>
      </c>
      <c r="C100" s="176">
        <v>-79.2</v>
      </c>
      <c r="D100" s="176">
        <v>-808.9</v>
      </c>
      <c r="E100" s="176">
        <v>-5658.9</v>
      </c>
      <c r="F100" s="176">
        <v>-6040.9</v>
      </c>
      <c r="G100" s="176">
        <v>-2320</v>
      </c>
      <c r="H100" s="179">
        <f>EQUITY!G6</f>
        <v>-2320.0000000000009</v>
      </c>
      <c r="I100" s="179">
        <f>EQUITY!H6</f>
        <v>-2320.0000000000009</v>
      </c>
      <c r="J100" s="179">
        <f>EQUITY!I6</f>
        <v>-2320.0000000000009</v>
      </c>
      <c r="K100" s="179">
        <f>EQUITY!J6</f>
        <v>-2320.0000000000009</v>
      </c>
      <c r="L100" s="179">
        <f>EQUITY!K6</f>
        <v>-2320.0000000000009</v>
      </c>
      <c r="M100" s="178"/>
      <c r="N100" s="178"/>
      <c r="O100" s="178"/>
      <c r="P100" s="178"/>
      <c r="Q100" s="178"/>
      <c r="R100" s="178"/>
      <c r="S100" s="178"/>
      <c r="T100" s="178"/>
      <c r="U100" s="178"/>
    </row>
    <row r="101" spans="1:27" ht="15.75" customHeight="1">
      <c r="B101" s="175" t="s">
        <v>432</v>
      </c>
      <c r="C101" s="176">
        <v>0</v>
      </c>
      <c r="D101" s="176">
        <v>0</v>
      </c>
      <c r="E101" s="176">
        <v>0</v>
      </c>
      <c r="F101" s="176">
        <v>0</v>
      </c>
      <c r="G101" s="176">
        <v>0</v>
      </c>
      <c r="H101" s="179"/>
      <c r="I101" s="179"/>
      <c r="J101" s="177"/>
      <c r="K101" s="177"/>
      <c r="L101" s="177"/>
      <c r="M101" s="178"/>
      <c r="N101" s="178"/>
      <c r="O101" s="178"/>
      <c r="P101" s="178"/>
      <c r="Q101" s="178"/>
      <c r="R101" s="178"/>
      <c r="S101" s="178"/>
      <c r="T101" s="178"/>
      <c r="U101" s="178"/>
    </row>
    <row r="102" spans="1:27" ht="15.75" customHeight="1">
      <c r="A102" s="403"/>
      <c r="B102" s="30" t="s">
        <v>433</v>
      </c>
      <c r="C102" s="183">
        <v>-86.1</v>
      </c>
      <c r="D102" s="183">
        <v>446.6</v>
      </c>
      <c r="E102" s="183">
        <v>-28.4</v>
      </c>
      <c r="F102" s="183">
        <v>-1443.8</v>
      </c>
      <c r="G102" s="183">
        <v>5388.4</v>
      </c>
      <c r="H102" s="179">
        <f>EQUITY!G7</f>
        <v>5388.4250000000002</v>
      </c>
      <c r="I102" s="179">
        <f>EQUITY!H7</f>
        <v>5388.4250000000002</v>
      </c>
      <c r="J102" s="179">
        <f>EQUITY!I7</f>
        <v>5388.4250000000002</v>
      </c>
      <c r="K102" s="179">
        <f>EQUITY!J7</f>
        <v>5388.4250000000002</v>
      </c>
      <c r="L102" s="179">
        <f>EQUITY!K7</f>
        <v>5388.4250000000002</v>
      </c>
      <c r="M102" s="31"/>
      <c r="N102" s="31"/>
      <c r="O102" s="31"/>
      <c r="P102" s="31"/>
      <c r="Q102" s="31"/>
      <c r="R102" s="31"/>
      <c r="S102" s="31"/>
      <c r="T102" s="31"/>
      <c r="U102" s="31"/>
      <c r="V102" s="30"/>
      <c r="W102" s="30"/>
      <c r="X102" s="30"/>
      <c r="Y102" s="30"/>
      <c r="Z102" s="30"/>
      <c r="AA102" s="30"/>
    </row>
    <row r="103" spans="1:27" ht="15.75" customHeight="1">
      <c r="B103" s="175" t="s">
        <v>434</v>
      </c>
      <c r="C103" s="176">
        <v>0</v>
      </c>
      <c r="D103" s="176">
        <v>0</v>
      </c>
      <c r="E103" s="176">
        <v>0</v>
      </c>
      <c r="F103" s="176">
        <v>0</v>
      </c>
      <c r="G103" s="176">
        <v>0</v>
      </c>
      <c r="H103" s="177">
        <v>0</v>
      </c>
      <c r="I103" s="177">
        <v>0</v>
      </c>
      <c r="J103" s="177">
        <v>0</v>
      </c>
      <c r="K103" s="177">
        <v>0</v>
      </c>
      <c r="L103" s="177">
        <v>0</v>
      </c>
      <c r="M103" s="178"/>
      <c r="N103" s="178"/>
      <c r="O103" s="178"/>
      <c r="P103" s="178"/>
      <c r="Q103" s="178"/>
      <c r="R103" s="178"/>
      <c r="S103" s="178"/>
      <c r="T103" s="178"/>
      <c r="U103" s="178"/>
    </row>
    <row r="104" spans="1:27" ht="15.75" customHeight="1">
      <c r="B104" s="175" t="s">
        <v>435</v>
      </c>
      <c r="C104" s="176">
        <v>0</v>
      </c>
      <c r="D104" s="176">
        <v>0</v>
      </c>
      <c r="E104" s="176">
        <v>0</v>
      </c>
      <c r="F104" s="176">
        <v>0</v>
      </c>
      <c r="G104" s="176">
        <v>0</v>
      </c>
      <c r="H104" s="177">
        <v>0</v>
      </c>
      <c r="I104" s="177">
        <v>0</v>
      </c>
      <c r="J104" s="177">
        <v>0</v>
      </c>
      <c r="K104" s="177">
        <v>0</v>
      </c>
      <c r="L104" s="177">
        <v>0</v>
      </c>
      <c r="M104" s="178"/>
      <c r="N104" s="178"/>
      <c r="O104" s="178"/>
      <c r="P104" s="178"/>
      <c r="Q104" s="178"/>
      <c r="R104" s="178"/>
      <c r="S104" s="178"/>
      <c r="T104" s="178"/>
      <c r="U104" s="178"/>
    </row>
    <row r="105" spans="1:27" ht="15.75" customHeight="1">
      <c r="B105" s="175" t="s">
        <v>436</v>
      </c>
      <c r="C105" s="176">
        <v>0</v>
      </c>
      <c r="D105" s="176">
        <v>0</v>
      </c>
      <c r="E105" s="176">
        <v>0</v>
      </c>
      <c r="F105" s="176">
        <v>0</v>
      </c>
      <c r="G105" s="176">
        <v>0</v>
      </c>
      <c r="H105" s="177">
        <v>0</v>
      </c>
      <c r="I105" s="177">
        <v>0</v>
      </c>
      <c r="J105" s="177">
        <v>0</v>
      </c>
      <c r="K105" s="177">
        <v>0</v>
      </c>
      <c r="L105" s="177">
        <v>0</v>
      </c>
      <c r="M105" s="178"/>
      <c r="N105" s="178"/>
      <c r="O105" s="178"/>
      <c r="P105" s="178"/>
      <c r="Q105" s="178"/>
      <c r="R105" s="178"/>
      <c r="S105" s="178"/>
      <c r="T105" s="178"/>
      <c r="U105" s="178"/>
    </row>
    <row r="106" spans="1:27" ht="15.75" customHeight="1">
      <c r="B106" s="175" t="s">
        <v>437</v>
      </c>
      <c r="C106" s="176">
        <v>2698572.7</v>
      </c>
      <c r="D106" s="176">
        <v>3989603.9</v>
      </c>
      <c r="E106" s="176">
        <v>7149694.2000000002</v>
      </c>
      <c r="F106" s="176">
        <v>10389683.6</v>
      </c>
      <c r="G106" s="176">
        <v>12674574.199999999</v>
      </c>
      <c r="H106" s="179">
        <f>EQUITY!G8</f>
        <v>18594096.139613025</v>
      </c>
      <c r="I106" s="179">
        <f>EQUITY!H8</f>
        <v>25407832.106827062</v>
      </c>
      <c r="J106" s="179">
        <f>EQUITY!I8</f>
        <v>34695099.641009524</v>
      </c>
      <c r="K106" s="179">
        <f>EQUITY!J8</f>
        <v>46174883.673073232</v>
      </c>
      <c r="L106" s="179">
        <f>EQUITY!K8</f>
        <v>59237757.40257138</v>
      </c>
      <c r="M106" s="178"/>
      <c r="N106" s="178"/>
      <c r="O106" s="178"/>
      <c r="P106" s="178"/>
      <c r="Q106" s="178"/>
      <c r="R106" s="178"/>
      <c r="S106" s="178"/>
      <c r="T106" s="178"/>
      <c r="U106" s="178"/>
    </row>
    <row r="107" spans="1:27" ht="15.75" customHeight="1">
      <c r="B107" s="175" t="s">
        <v>438</v>
      </c>
      <c r="C107" s="176">
        <v>492893.1</v>
      </c>
      <c r="D107" s="176">
        <v>1138290.7</v>
      </c>
      <c r="E107" s="176">
        <v>3315424.6</v>
      </c>
      <c r="F107" s="176">
        <v>6470785.2999999998</v>
      </c>
      <c r="G107" s="176">
        <v>7775704.9000000004</v>
      </c>
      <c r="H107" s="179"/>
      <c r="I107" s="179"/>
      <c r="J107" s="177"/>
      <c r="K107" s="177"/>
      <c r="L107" s="177"/>
      <c r="M107" s="178"/>
      <c r="N107" s="178"/>
      <c r="O107" s="178"/>
      <c r="P107" s="178"/>
      <c r="Q107" s="178"/>
      <c r="R107" s="178"/>
      <c r="S107" s="178"/>
      <c r="T107" s="178"/>
      <c r="U107" s="178"/>
    </row>
    <row r="108" spans="1:27" ht="15.75" customHeight="1">
      <c r="B108" s="175" t="s">
        <v>439</v>
      </c>
      <c r="C108" s="176">
        <v>2205679.6</v>
      </c>
      <c r="D108" s="176">
        <v>2851313.2</v>
      </c>
      <c r="E108" s="176">
        <v>3834269.5</v>
      </c>
      <c r="F108" s="176">
        <v>3918898.3</v>
      </c>
      <c r="G108" s="176">
        <v>4898869.3</v>
      </c>
      <c r="H108" s="179"/>
      <c r="I108" s="179"/>
      <c r="J108" s="177"/>
      <c r="K108" s="177"/>
      <c r="L108" s="177"/>
      <c r="M108" s="178"/>
      <c r="N108" s="178"/>
      <c r="O108" s="178"/>
      <c r="P108" s="178"/>
      <c r="Q108" s="178"/>
      <c r="R108" s="178"/>
      <c r="S108" s="178"/>
      <c r="T108" s="178"/>
      <c r="U108" s="178"/>
    </row>
    <row r="109" spans="1:27" ht="15.75" customHeight="1">
      <c r="B109" s="175" t="s">
        <v>440</v>
      </c>
      <c r="C109" s="176">
        <v>0</v>
      </c>
      <c r="D109" s="176">
        <v>0</v>
      </c>
      <c r="E109" s="176">
        <v>0</v>
      </c>
      <c r="F109" s="176">
        <v>0</v>
      </c>
      <c r="G109" s="176">
        <v>0</v>
      </c>
      <c r="H109" s="179"/>
      <c r="I109" s="179"/>
      <c r="J109" s="177"/>
      <c r="K109" s="177"/>
      <c r="L109" s="177"/>
      <c r="M109" s="178"/>
      <c r="N109" s="178"/>
      <c r="O109" s="178"/>
      <c r="P109" s="178"/>
      <c r="Q109" s="178"/>
      <c r="R109" s="178"/>
      <c r="S109" s="178"/>
      <c r="T109" s="178"/>
      <c r="U109" s="178"/>
    </row>
    <row r="110" spans="1:27" ht="15.75" customHeight="1">
      <c r="B110" s="175" t="s">
        <v>441</v>
      </c>
      <c r="C110" s="176">
        <v>2776.3</v>
      </c>
      <c r="D110" s="176">
        <v>6249.4</v>
      </c>
      <c r="E110" s="176">
        <v>7786.1</v>
      </c>
      <c r="F110" s="176">
        <v>9280.6</v>
      </c>
      <c r="G110" s="176">
        <v>11838</v>
      </c>
      <c r="H110" s="179">
        <f>EQUITY!G9</f>
        <v>14911.924706726148</v>
      </c>
      <c r="I110" s="179">
        <f>EQUITY!H9</f>
        <v>18764.270429993274</v>
      </c>
      <c r="J110" s="179">
        <f>EQUITY!I9</f>
        <v>23118.473699913175</v>
      </c>
      <c r="K110" s="179">
        <f>EQUITY!J9</f>
        <v>28020.641816563857</v>
      </c>
      <c r="L110" s="179">
        <f>EQUITY!K9</f>
        <v>33456.612839840447</v>
      </c>
      <c r="M110" s="178"/>
      <c r="N110" s="178"/>
      <c r="O110" s="178"/>
      <c r="P110" s="178"/>
      <c r="Q110" s="178"/>
      <c r="R110" s="178"/>
      <c r="S110" s="178"/>
      <c r="T110" s="178"/>
      <c r="U110" s="178"/>
    </row>
    <row r="111" spans="1:27" ht="15.75" customHeight="1">
      <c r="B111" s="171" t="s">
        <v>442</v>
      </c>
      <c r="C111" s="176">
        <v>0</v>
      </c>
      <c r="D111" s="176">
        <v>0</v>
      </c>
      <c r="E111" s="176">
        <v>0</v>
      </c>
      <c r="F111" s="176">
        <v>0</v>
      </c>
      <c r="G111" s="176">
        <v>0</v>
      </c>
      <c r="H111" s="179"/>
      <c r="I111" s="179"/>
      <c r="J111" s="177"/>
      <c r="K111" s="177"/>
      <c r="L111" s="177"/>
      <c r="M111" s="178"/>
      <c r="N111" s="178"/>
      <c r="O111" s="178"/>
      <c r="P111" s="178"/>
      <c r="Q111" s="178"/>
      <c r="R111" s="178"/>
      <c r="S111" s="178"/>
      <c r="T111" s="178"/>
      <c r="U111" s="178"/>
    </row>
    <row r="112" spans="1:27" ht="15.75" customHeight="1">
      <c r="B112" s="175" t="s">
        <v>443</v>
      </c>
      <c r="C112" s="176">
        <v>0</v>
      </c>
      <c r="D112" s="176">
        <v>0</v>
      </c>
      <c r="E112" s="176">
        <v>0</v>
      </c>
      <c r="F112" s="176">
        <v>0</v>
      </c>
      <c r="G112" s="176">
        <v>0</v>
      </c>
      <c r="H112" s="179"/>
      <c r="I112" s="179"/>
      <c r="J112" s="177"/>
      <c r="K112" s="177"/>
      <c r="L112" s="177"/>
      <c r="M112" s="178"/>
      <c r="N112" s="178"/>
      <c r="O112" s="178"/>
      <c r="P112" s="178"/>
      <c r="Q112" s="178"/>
      <c r="R112" s="178"/>
      <c r="S112" s="178"/>
      <c r="T112" s="178"/>
      <c r="U112" s="178"/>
    </row>
    <row r="113" spans="1:27" ht="15.75" customHeight="1">
      <c r="B113" s="175" t="s">
        <v>444</v>
      </c>
      <c r="C113" s="176">
        <v>0</v>
      </c>
      <c r="D113" s="176">
        <v>0</v>
      </c>
      <c r="E113" s="176">
        <v>0</v>
      </c>
      <c r="F113" s="176">
        <v>0</v>
      </c>
      <c r="G113" s="176">
        <v>0</v>
      </c>
      <c r="H113" s="179"/>
      <c r="I113" s="179"/>
      <c r="J113" s="177"/>
      <c r="K113" s="177"/>
      <c r="L113" s="177"/>
      <c r="M113" s="178"/>
      <c r="N113" s="178"/>
      <c r="O113" s="178"/>
      <c r="P113" s="178"/>
      <c r="Q113" s="178"/>
      <c r="R113" s="178"/>
      <c r="S113" s="178"/>
      <c r="T113" s="178"/>
      <c r="U113" s="178"/>
    </row>
    <row r="114" spans="1:27" ht="15.75" customHeight="1">
      <c r="B114" s="171" t="s">
        <v>445</v>
      </c>
      <c r="C114" s="172">
        <v>22822664.199999999</v>
      </c>
      <c r="D114" s="172">
        <v>28122531.5</v>
      </c>
      <c r="E114" s="172">
        <v>41708095.5</v>
      </c>
      <c r="F114" s="172">
        <v>46030880</v>
      </c>
      <c r="G114" s="172">
        <v>62971404.799999997</v>
      </c>
      <c r="H114" s="173">
        <f>H92+H64</f>
        <v>82505791.734605998</v>
      </c>
      <c r="I114" s="173">
        <f>I92+I64</f>
        <v>96088341.449821934</v>
      </c>
      <c r="J114" s="173">
        <f>J92+J64</f>
        <v>110300087.31349713</v>
      </c>
      <c r="K114" s="173">
        <f>K92+K64</f>
        <v>122877138.55527806</v>
      </c>
      <c r="L114" s="173">
        <f>L92+L64</f>
        <v>149879623.82448924</v>
      </c>
      <c r="M114" s="174"/>
      <c r="N114" s="174"/>
      <c r="O114" s="174"/>
      <c r="P114" s="174"/>
      <c r="Q114" s="174"/>
      <c r="R114" s="174"/>
      <c r="S114" s="174"/>
      <c r="T114" s="174"/>
      <c r="U114" s="174"/>
      <c r="V114" s="171"/>
      <c r="W114" s="171"/>
      <c r="X114" s="171"/>
      <c r="Y114" s="171"/>
      <c r="Z114" s="171"/>
      <c r="AA114" s="171"/>
    </row>
    <row r="115" spans="1:27" ht="15.75" customHeight="1">
      <c r="A115" s="403"/>
      <c r="B115" s="186" t="s">
        <v>52</v>
      </c>
      <c r="C115" s="30"/>
      <c r="D115" s="30"/>
      <c r="E115" s="30"/>
      <c r="F115" s="30"/>
      <c r="G115" s="30"/>
      <c r="H115" s="187">
        <f>H114-H63</f>
        <v>7.9999983310699463E-2</v>
      </c>
      <c r="I115" s="187">
        <f>I114-I63</f>
        <v>7.9999968409538269E-2</v>
      </c>
      <c r="J115" s="187">
        <f>J114-J63</f>
        <v>7.9999968409538269E-2</v>
      </c>
      <c r="K115" s="187">
        <f>K114-K63</f>
        <v>7.9999983310699463E-2</v>
      </c>
      <c r="L115" s="187">
        <f>L114-L63</f>
        <v>7.9999983310699463E-2</v>
      </c>
      <c r="M115" s="178"/>
      <c r="N115" s="178"/>
      <c r="O115" s="178"/>
      <c r="P115" s="178"/>
      <c r="Q115" s="178"/>
      <c r="R115" s="178"/>
      <c r="S115" s="178"/>
      <c r="T115" s="178"/>
      <c r="U115" s="178"/>
    </row>
    <row r="116" spans="1:27" ht="15.75" customHeight="1" thickBot="1">
      <c r="A116" s="403"/>
      <c r="B116" s="30"/>
      <c r="C116" s="30"/>
      <c r="D116" s="30"/>
      <c r="E116" s="30"/>
      <c r="F116" s="30"/>
      <c r="G116" s="30"/>
      <c r="H116" s="31"/>
      <c r="I116" s="31"/>
      <c r="J116" s="178"/>
      <c r="K116" s="178"/>
      <c r="L116" s="178"/>
      <c r="M116" s="178"/>
      <c r="N116" s="178"/>
      <c r="O116" s="178"/>
      <c r="P116" s="178"/>
      <c r="Q116" s="178"/>
      <c r="R116" s="178"/>
      <c r="S116" s="178"/>
      <c r="T116" s="178"/>
      <c r="U116" s="178"/>
    </row>
    <row r="117" spans="1:27" ht="20.25" customHeight="1" thickBot="1">
      <c r="A117" s="404"/>
      <c r="B117" s="410" t="s">
        <v>719</v>
      </c>
      <c r="C117" s="30"/>
      <c r="D117" s="30"/>
      <c r="E117" s="30"/>
      <c r="F117" s="30"/>
      <c r="G117" s="30"/>
      <c r="H117" s="31"/>
      <c r="I117" s="31"/>
      <c r="J117" s="178"/>
      <c r="K117" s="178"/>
      <c r="L117" s="178"/>
      <c r="M117" s="178"/>
      <c r="N117" s="178"/>
      <c r="O117" s="178"/>
      <c r="P117" s="178"/>
      <c r="Q117" s="178"/>
      <c r="R117" s="178"/>
      <c r="S117" s="178"/>
      <c r="T117" s="178"/>
      <c r="U117" s="178"/>
    </row>
    <row r="118" spans="1:27" ht="15.75" customHeight="1">
      <c r="B118" s="171" t="s">
        <v>386</v>
      </c>
      <c r="C118" s="188"/>
      <c r="D118" s="188"/>
      <c r="E118" s="188"/>
      <c r="F118" s="188"/>
      <c r="G118" s="188"/>
      <c r="H118" s="179"/>
      <c r="I118" s="179"/>
      <c r="J118" s="177"/>
      <c r="K118" s="177"/>
      <c r="L118" s="177"/>
      <c r="M118" s="178"/>
      <c r="N118" s="178"/>
      <c r="O118" s="178"/>
      <c r="P118" s="178"/>
      <c r="Q118" s="178"/>
      <c r="R118" s="178"/>
      <c r="S118" s="178"/>
      <c r="T118" s="178"/>
      <c r="U118" s="178"/>
    </row>
    <row r="119" spans="1:27" ht="15.75" customHeight="1">
      <c r="B119" s="175" t="s">
        <v>387</v>
      </c>
      <c r="C119" s="188"/>
      <c r="D119" s="188"/>
      <c r="E119" s="188"/>
      <c r="F119" s="188"/>
      <c r="G119" s="188"/>
      <c r="H119" s="179"/>
      <c r="I119" s="179"/>
      <c r="J119" s="177"/>
      <c r="K119" s="177"/>
      <c r="L119" s="177"/>
      <c r="M119" s="178"/>
      <c r="N119" s="178"/>
      <c r="O119" s="178"/>
      <c r="P119" s="178"/>
      <c r="Q119" s="178"/>
      <c r="R119" s="178"/>
      <c r="S119" s="178"/>
      <c r="T119" s="178"/>
      <c r="U119" s="178"/>
    </row>
    <row r="120" spans="1:27" ht="15.75" customHeight="1">
      <c r="A120" s="405"/>
      <c r="B120" s="189" t="s">
        <v>720</v>
      </c>
      <c r="C120" s="188"/>
      <c r="D120" s="183">
        <f t="shared" ref="D120:L120" si="1">C122</f>
        <v>97701.1</v>
      </c>
      <c r="E120" s="183">
        <f t="shared" si="1"/>
        <v>84768.1</v>
      </c>
      <c r="F120" s="183">
        <f t="shared" si="1"/>
        <v>104029.5</v>
      </c>
      <c r="G120" s="183">
        <f t="shared" si="1"/>
        <v>76720.2</v>
      </c>
      <c r="H120" s="179">
        <f t="shared" si="1"/>
        <v>88371.4</v>
      </c>
      <c r="I120" s="179">
        <f t="shared" si="1"/>
        <v>109939.03132816029</v>
      </c>
      <c r="J120" s="179">
        <f t="shared" si="1"/>
        <v>135408.78603238487</v>
      </c>
      <c r="K120" s="179">
        <f t="shared" si="1"/>
        <v>154376.95984345858</v>
      </c>
      <c r="L120" s="179">
        <f t="shared" si="1"/>
        <v>173054.07711365409</v>
      </c>
      <c r="M120" s="178"/>
      <c r="N120" s="178"/>
      <c r="O120" s="178"/>
      <c r="P120" s="178"/>
      <c r="Q120" s="178"/>
      <c r="R120" s="178"/>
      <c r="S120" s="178"/>
      <c r="T120" s="178"/>
      <c r="U120" s="178"/>
    </row>
    <row r="121" spans="1:27" ht="15.75" customHeight="1">
      <c r="A121" s="405"/>
      <c r="B121" s="189" t="s">
        <v>721</v>
      </c>
      <c r="C121" s="188"/>
      <c r="D121" s="190">
        <f t="shared" ref="D121:L121" si="2">D122-D120</f>
        <v>-12933</v>
      </c>
      <c r="E121" s="190">
        <f t="shared" si="2"/>
        <v>19261.399999999994</v>
      </c>
      <c r="F121" s="190">
        <f t="shared" si="2"/>
        <v>-27309.300000000003</v>
      </c>
      <c r="G121" s="190">
        <f t="shared" si="2"/>
        <v>11651.199999999997</v>
      </c>
      <c r="H121" s="191">
        <f t="shared" si="2"/>
        <v>21567.631328160292</v>
      </c>
      <c r="I121" s="191">
        <f t="shared" si="2"/>
        <v>25469.754704224586</v>
      </c>
      <c r="J121" s="191">
        <f t="shared" si="2"/>
        <v>18968.173811073706</v>
      </c>
      <c r="K121" s="191">
        <f t="shared" si="2"/>
        <v>18677.117270195507</v>
      </c>
      <c r="L121" s="191">
        <f t="shared" si="2"/>
        <v>19259.44647783431</v>
      </c>
      <c r="M121" s="178"/>
      <c r="N121" s="178"/>
      <c r="O121" s="178"/>
      <c r="P121" s="178"/>
      <c r="Q121" s="178"/>
      <c r="R121" s="178"/>
      <c r="S121" s="178"/>
      <c r="T121" s="178"/>
      <c r="U121" s="178"/>
    </row>
    <row r="122" spans="1:27" s="171" customFormat="1" ht="15.75" customHeight="1">
      <c r="A122" s="403"/>
      <c r="B122" s="180" t="s">
        <v>722</v>
      </c>
      <c r="C122" s="181">
        <f>C58</f>
        <v>97701.1</v>
      </c>
      <c r="D122" s="181">
        <f>D58</f>
        <v>84768.1</v>
      </c>
      <c r="E122" s="181">
        <f>E58</f>
        <v>104029.5</v>
      </c>
      <c r="F122" s="181">
        <f>F58</f>
        <v>76720.2</v>
      </c>
      <c r="G122" s="181">
        <f>G58</f>
        <v>88371.4</v>
      </c>
      <c r="H122" s="173">
        <f>H120*(1+H123)</f>
        <v>109939.03132816029</v>
      </c>
      <c r="I122" s="173">
        <f>I120*(1+I123)</f>
        <v>135408.78603238487</v>
      </c>
      <c r="J122" s="173">
        <f>J120*(1+J123)</f>
        <v>154376.95984345858</v>
      </c>
      <c r="K122" s="173">
        <f>K120*(1+K123)</f>
        <v>173054.07711365409</v>
      </c>
      <c r="L122" s="173">
        <f>L120*(1+L123)</f>
        <v>192313.5235914884</v>
      </c>
      <c r="M122" s="174"/>
      <c r="N122" s="174"/>
      <c r="O122" s="174"/>
      <c r="P122" s="174"/>
      <c r="Q122" s="174"/>
      <c r="R122" s="174"/>
      <c r="S122" s="174"/>
      <c r="T122" s="174"/>
      <c r="U122" s="174"/>
    </row>
    <row r="123" spans="1:27" s="197" customFormat="1" ht="15.75" customHeight="1">
      <c r="A123" s="406"/>
      <c r="B123" s="192" t="s">
        <v>723</v>
      </c>
      <c r="C123" s="193"/>
      <c r="D123" s="194">
        <f>SALE!C53</f>
        <v>0.30413841348057513</v>
      </c>
      <c r="E123" s="194">
        <f>SALE!D53</f>
        <v>0.1809827668633075</v>
      </c>
      <c r="F123" s="194">
        <f>SALE!E53</f>
        <v>6.2361858043207041E-2</v>
      </c>
      <c r="G123" s="194">
        <f>SALE!F53</f>
        <v>0.13277397402348035</v>
      </c>
      <c r="H123" s="195">
        <f>SALE!G53</f>
        <v>0.24405668947374703</v>
      </c>
      <c r="I123" s="195">
        <f>SALE!H53</f>
        <v>0.2316716310533895</v>
      </c>
      <c r="J123" s="195">
        <f>SALE!I53</f>
        <v>0.14008082021012447</v>
      </c>
      <c r="K123" s="195">
        <f>SALE!J53</f>
        <v>0.12098383909836352</v>
      </c>
      <c r="L123" s="195">
        <f>SALE!K53</f>
        <v>0.11129149222636103</v>
      </c>
      <c r="M123" s="196"/>
      <c r="N123" s="196"/>
      <c r="O123" s="196"/>
      <c r="P123" s="196"/>
      <c r="Q123" s="196"/>
      <c r="R123" s="196"/>
      <c r="S123" s="196"/>
      <c r="T123" s="196"/>
      <c r="U123" s="196"/>
    </row>
    <row r="124" spans="1:27" ht="15.75" customHeight="1">
      <c r="B124" s="175" t="s">
        <v>388</v>
      </c>
      <c r="C124" s="188"/>
      <c r="D124" s="198"/>
      <c r="E124" s="198"/>
      <c r="F124" s="198"/>
      <c r="G124" s="198"/>
      <c r="H124" s="179"/>
      <c r="I124" s="179"/>
      <c r="J124" s="177"/>
      <c r="K124" s="177"/>
      <c r="L124" s="177"/>
      <c r="M124" s="178"/>
      <c r="N124" s="178"/>
      <c r="O124" s="178"/>
      <c r="P124" s="178"/>
      <c r="Q124" s="178"/>
      <c r="R124" s="178"/>
      <c r="S124" s="178"/>
      <c r="T124" s="178"/>
      <c r="U124" s="178"/>
    </row>
    <row r="125" spans="1:27" ht="15.75" customHeight="1">
      <c r="A125" s="405"/>
      <c r="B125" s="189" t="s">
        <v>720</v>
      </c>
      <c r="C125" s="188"/>
      <c r="D125" s="183">
        <f t="shared" ref="D125:L125" si="3">C127</f>
        <v>120870.5</v>
      </c>
      <c r="E125" s="183">
        <f t="shared" si="3"/>
        <v>149548.70000000001</v>
      </c>
      <c r="F125" s="183">
        <f t="shared" si="3"/>
        <v>178798.7</v>
      </c>
      <c r="G125" s="183">
        <f t="shared" si="3"/>
        <v>287349.8</v>
      </c>
      <c r="H125" s="179">
        <f t="shared" si="3"/>
        <v>350168.4</v>
      </c>
      <c r="I125" s="179">
        <f t="shared" si="3"/>
        <v>435629.34046231885</v>
      </c>
      <c r="J125" s="179">
        <f t="shared" si="3"/>
        <v>536552.30030193657</v>
      </c>
      <c r="K125" s="179">
        <f t="shared" si="3"/>
        <v>611712.98661386082</v>
      </c>
      <c r="L125" s="179">
        <f t="shared" si="3"/>
        <v>685720.37216073158</v>
      </c>
      <c r="M125" s="178"/>
      <c r="N125" s="178"/>
      <c r="O125" s="178"/>
      <c r="P125" s="178"/>
      <c r="Q125" s="178"/>
      <c r="R125" s="178"/>
      <c r="S125" s="178"/>
      <c r="T125" s="178"/>
      <c r="U125" s="178"/>
    </row>
    <row r="126" spans="1:27" ht="15.75" customHeight="1">
      <c r="A126" s="405"/>
      <c r="B126" s="189" t="s">
        <v>721</v>
      </c>
      <c r="C126" s="188"/>
      <c r="D126" s="183">
        <f t="shared" ref="D126:L126" si="4">D127-D125</f>
        <v>28678.200000000012</v>
      </c>
      <c r="E126" s="183">
        <f t="shared" si="4"/>
        <v>29250</v>
      </c>
      <c r="F126" s="183">
        <f t="shared" si="4"/>
        <v>108551.09999999998</v>
      </c>
      <c r="G126" s="183">
        <f t="shared" si="4"/>
        <v>62818.600000000035</v>
      </c>
      <c r="H126" s="179">
        <f t="shared" si="4"/>
        <v>85460.940462318831</v>
      </c>
      <c r="I126" s="179">
        <f t="shared" si="4"/>
        <v>100922.95983961772</v>
      </c>
      <c r="J126" s="179">
        <f t="shared" si="4"/>
        <v>75160.686311924248</v>
      </c>
      <c r="K126" s="179">
        <f t="shared" si="4"/>
        <v>74007.385546870762</v>
      </c>
      <c r="L126" s="179">
        <f t="shared" si="4"/>
        <v>76314.843467783416</v>
      </c>
      <c r="M126" s="178"/>
      <c r="N126" s="178"/>
      <c r="O126" s="178"/>
      <c r="P126" s="178"/>
      <c r="Q126" s="178"/>
      <c r="R126" s="178"/>
      <c r="S126" s="178"/>
      <c r="T126" s="178"/>
      <c r="U126" s="178"/>
    </row>
    <row r="127" spans="1:27" s="171" customFormat="1" ht="15.75" customHeight="1">
      <c r="A127" s="403"/>
      <c r="B127" s="180" t="s">
        <v>722</v>
      </c>
      <c r="C127" s="181">
        <f>C59</f>
        <v>120870.5</v>
      </c>
      <c r="D127" s="181">
        <f>D59</f>
        <v>149548.70000000001</v>
      </c>
      <c r="E127" s="181">
        <f>E59</f>
        <v>178798.7</v>
      </c>
      <c r="F127" s="181">
        <f>F59</f>
        <v>287349.8</v>
      </c>
      <c r="G127" s="181">
        <f>G59</f>
        <v>350168.4</v>
      </c>
      <c r="H127" s="173">
        <f>H125*(1+H128)</f>
        <v>435629.34046231885</v>
      </c>
      <c r="I127" s="173">
        <f>I125*(1+I128)</f>
        <v>536552.30030193657</v>
      </c>
      <c r="J127" s="173">
        <f>J125*(1+J128)</f>
        <v>611712.98661386082</v>
      </c>
      <c r="K127" s="173">
        <f>K125*(1+K128)</f>
        <v>685720.37216073158</v>
      </c>
      <c r="L127" s="173">
        <f>L125*(1+L128)</f>
        <v>762035.215628515</v>
      </c>
      <c r="M127" s="174"/>
      <c r="N127" s="174"/>
      <c r="O127" s="174"/>
      <c r="P127" s="174"/>
      <c r="Q127" s="174"/>
      <c r="R127" s="174"/>
      <c r="S127" s="174"/>
      <c r="T127" s="174"/>
      <c r="U127" s="174"/>
    </row>
    <row r="128" spans="1:27" s="197" customFormat="1" ht="15.75" customHeight="1">
      <c r="A128" s="406"/>
      <c r="B128" s="192" t="s">
        <v>723</v>
      </c>
      <c r="C128" s="199"/>
      <c r="D128" s="194">
        <f t="shared" ref="D128:L128" si="5">D123</f>
        <v>0.30413841348057513</v>
      </c>
      <c r="E128" s="194">
        <f t="shared" si="5"/>
        <v>0.1809827668633075</v>
      </c>
      <c r="F128" s="194">
        <f t="shared" si="5"/>
        <v>6.2361858043207041E-2</v>
      </c>
      <c r="G128" s="194">
        <f t="shared" si="5"/>
        <v>0.13277397402348035</v>
      </c>
      <c r="H128" s="195">
        <f t="shared" si="5"/>
        <v>0.24405668947374703</v>
      </c>
      <c r="I128" s="195">
        <f t="shared" si="5"/>
        <v>0.2316716310533895</v>
      </c>
      <c r="J128" s="195">
        <f t="shared" si="5"/>
        <v>0.14008082021012447</v>
      </c>
      <c r="K128" s="195">
        <f t="shared" si="5"/>
        <v>0.12098383909836352</v>
      </c>
      <c r="L128" s="195">
        <f t="shared" si="5"/>
        <v>0.11129149222636103</v>
      </c>
      <c r="M128" s="196"/>
      <c r="N128" s="196"/>
      <c r="O128" s="196"/>
      <c r="P128" s="196"/>
      <c r="Q128" s="196"/>
      <c r="R128" s="196"/>
      <c r="S128" s="196"/>
      <c r="T128" s="196"/>
      <c r="U128" s="196"/>
    </row>
    <row r="129" spans="1:21" ht="15.75" customHeight="1">
      <c r="B129" s="175" t="s">
        <v>391</v>
      </c>
      <c r="C129" s="188"/>
      <c r="D129" s="188"/>
      <c r="E129" s="188"/>
      <c r="F129" s="188"/>
      <c r="G129" s="188"/>
      <c r="H129" s="179"/>
      <c r="I129" s="179"/>
      <c r="J129" s="177"/>
      <c r="K129" s="177"/>
      <c r="L129" s="177"/>
      <c r="M129" s="178"/>
      <c r="N129" s="178"/>
      <c r="O129" s="178"/>
      <c r="P129" s="178"/>
      <c r="Q129" s="178"/>
      <c r="R129" s="178"/>
      <c r="S129" s="178"/>
      <c r="T129" s="178"/>
      <c r="U129" s="178"/>
    </row>
    <row r="130" spans="1:21" s="171" customFormat="1" ht="15.75" customHeight="1">
      <c r="A130" s="405"/>
      <c r="B130" s="200" t="s">
        <v>581</v>
      </c>
      <c r="C130" s="201"/>
      <c r="D130" s="201"/>
      <c r="E130" s="201"/>
      <c r="F130" s="201"/>
      <c r="G130" s="201"/>
      <c r="H130" s="173"/>
      <c r="I130" s="173"/>
      <c r="J130" s="184"/>
      <c r="K130" s="184"/>
      <c r="L130" s="184"/>
      <c r="M130" s="174"/>
      <c r="N130" s="174"/>
      <c r="O130" s="174"/>
      <c r="P130" s="174"/>
      <c r="Q130" s="174"/>
      <c r="R130" s="174"/>
      <c r="S130" s="174"/>
      <c r="T130" s="174"/>
      <c r="U130" s="174"/>
    </row>
    <row r="131" spans="1:21" s="171" customFormat="1" ht="15.75" customHeight="1">
      <c r="A131" s="405"/>
      <c r="B131" s="200" t="s">
        <v>720</v>
      </c>
      <c r="C131" s="202"/>
      <c r="D131" s="202">
        <v>0</v>
      </c>
      <c r="E131" s="202">
        <f t="shared" ref="E131:L131" si="6">D133</f>
        <v>613918.72100000002</v>
      </c>
      <c r="F131" s="202">
        <f t="shared" si="6"/>
        <v>613918.72100000002</v>
      </c>
      <c r="G131" s="202">
        <f t="shared" si="6"/>
        <v>613918.72100000002</v>
      </c>
      <c r="H131" s="203">
        <f t="shared" si="6"/>
        <v>613918.72100000002</v>
      </c>
      <c r="I131" s="203">
        <f t="shared" si="6"/>
        <v>613918.72100000002</v>
      </c>
      <c r="J131" s="203">
        <f t="shared" si="6"/>
        <v>613918.72100000002</v>
      </c>
      <c r="K131" s="203">
        <f t="shared" si="6"/>
        <v>613918.72100000002</v>
      </c>
      <c r="L131" s="203">
        <f t="shared" si="6"/>
        <v>613918.72100000002</v>
      </c>
      <c r="M131" s="174"/>
      <c r="N131" s="174"/>
      <c r="O131" s="174"/>
      <c r="P131" s="174"/>
      <c r="Q131" s="174"/>
      <c r="R131" s="174"/>
      <c r="S131" s="174"/>
      <c r="T131" s="174"/>
      <c r="U131" s="174"/>
    </row>
    <row r="132" spans="1:21" ht="15.75" customHeight="1">
      <c r="A132" s="405"/>
      <c r="B132" s="189" t="s">
        <v>721</v>
      </c>
      <c r="C132" s="198"/>
      <c r="D132" s="198">
        <v>613918.72100000002</v>
      </c>
      <c r="E132" s="198"/>
      <c r="F132" s="198"/>
      <c r="G132" s="198"/>
      <c r="H132" s="204"/>
      <c r="I132" s="204"/>
      <c r="J132" s="205"/>
      <c r="K132" s="205"/>
      <c r="L132" s="205"/>
      <c r="M132" s="178"/>
      <c r="N132" s="178"/>
      <c r="O132" s="178"/>
      <c r="P132" s="178"/>
      <c r="Q132" s="178"/>
      <c r="R132" s="178"/>
      <c r="S132" s="178"/>
      <c r="T132" s="178"/>
      <c r="U132" s="178"/>
    </row>
    <row r="133" spans="1:21" ht="15.75" customHeight="1">
      <c r="A133" s="405"/>
      <c r="B133" s="189" t="s">
        <v>722</v>
      </c>
      <c r="C133" s="198">
        <v>0</v>
      </c>
      <c r="D133" s="198">
        <f t="shared" ref="D133:L133" si="7">SUM(D131:D132)</f>
        <v>613918.72100000002</v>
      </c>
      <c r="E133" s="198">
        <f t="shared" si="7"/>
        <v>613918.72100000002</v>
      </c>
      <c r="F133" s="198">
        <f t="shared" si="7"/>
        <v>613918.72100000002</v>
      </c>
      <c r="G133" s="198">
        <f t="shared" si="7"/>
        <v>613918.72100000002</v>
      </c>
      <c r="H133" s="204">
        <f t="shared" si="7"/>
        <v>613918.72100000002</v>
      </c>
      <c r="I133" s="204">
        <f t="shared" si="7"/>
        <v>613918.72100000002</v>
      </c>
      <c r="J133" s="204">
        <f t="shared" si="7"/>
        <v>613918.72100000002</v>
      </c>
      <c r="K133" s="204">
        <f t="shared" si="7"/>
        <v>613918.72100000002</v>
      </c>
      <c r="L133" s="204">
        <f t="shared" si="7"/>
        <v>613918.72100000002</v>
      </c>
    </row>
    <row r="134" spans="1:21" s="171" customFormat="1" ht="15.75" customHeight="1">
      <c r="A134" s="405"/>
      <c r="B134" s="200" t="s">
        <v>724</v>
      </c>
      <c r="C134" s="202"/>
      <c r="D134" s="202"/>
      <c r="E134" s="202"/>
      <c r="F134" s="202"/>
      <c r="G134" s="202"/>
      <c r="H134" s="203"/>
      <c r="I134" s="203"/>
      <c r="J134" s="206"/>
      <c r="K134" s="206"/>
      <c r="L134" s="206"/>
    </row>
    <row r="135" spans="1:21" ht="15.75" customHeight="1">
      <c r="A135" s="405"/>
      <c r="B135" s="189" t="s">
        <v>720</v>
      </c>
      <c r="C135" s="198"/>
      <c r="D135" s="198">
        <v>0</v>
      </c>
      <c r="E135" s="198">
        <f t="shared" ref="E135:L135" si="8">D137</f>
        <v>-61391.872000000003</v>
      </c>
      <c r="F135" s="198">
        <f t="shared" si="8"/>
        <v>-122783.74400000001</v>
      </c>
      <c r="G135" s="198">
        <f t="shared" si="8"/>
        <v>-184175.61600000001</v>
      </c>
      <c r="H135" s="204">
        <f t="shared" si="8"/>
        <v>-245567.48800000001</v>
      </c>
      <c r="I135" s="204">
        <f t="shared" si="8"/>
        <v>-306959.35999999999</v>
      </c>
      <c r="J135" s="204">
        <f t="shared" si="8"/>
        <v>-368351.23199999996</v>
      </c>
      <c r="K135" s="204">
        <f t="shared" si="8"/>
        <v>-429743.10399999993</v>
      </c>
      <c r="L135" s="204">
        <f t="shared" si="8"/>
        <v>-491134.97599999991</v>
      </c>
    </row>
    <row r="136" spans="1:21" ht="15.75" customHeight="1">
      <c r="A136" s="405"/>
      <c r="B136" s="189" t="s">
        <v>725</v>
      </c>
      <c r="C136" s="198"/>
      <c r="D136" s="198">
        <v>-61391.872000000003</v>
      </c>
      <c r="E136" s="198">
        <v>-61391.872000000003</v>
      </c>
      <c r="F136" s="198">
        <v>-61391.872000000003</v>
      </c>
      <c r="G136" s="198">
        <v>-61391.872000000003</v>
      </c>
      <c r="H136" s="204">
        <v>-61391.872000000003</v>
      </c>
      <c r="I136" s="204">
        <v>-61391.872000000003</v>
      </c>
      <c r="J136" s="204">
        <v>-61391.872000000003</v>
      </c>
      <c r="K136" s="204">
        <v>-61391.872000000003</v>
      </c>
      <c r="L136" s="204">
        <v>-61391.872000000003</v>
      </c>
    </row>
    <row r="137" spans="1:21" ht="15.75" customHeight="1">
      <c r="A137" s="405"/>
      <c r="B137" s="189" t="s">
        <v>722</v>
      </c>
      <c r="C137" s="198"/>
      <c r="D137" s="198">
        <f t="shared" ref="D137:L137" si="9">SUM(D135:D136)</f>
        <v>-61391.872000000003</v>
      </c>
      <c r="E137" s="198">
        <f t="shared" si="9"/>
        <v>-122783.74400000001</v>
      </c>
      <c r="F137" s="198">
        <f t="shared" si="9"/>
        <v>-184175.61600000001</v>
      </c>
      <c r="G137" s="198">
        <f t="shared" si="9"/>
        <v>-245567.48800000001</v>
      </c>
      <c r="H137" s="204">
        <f t="shared" si="9"/>
        <v>-306959.35999999999</v>
      </c>
      <c r="I137" s="204">
        <f t="shared" si="9"/>
        <v>-368351.23199999996</v>
      </c>
      <c r="J137" s="204">
        <f t="shared" si="9"/>
        <v>-429743.10399999993</v>
      </c>
      <c r="K137" s="204">
        <f t="shared" si="9"/>
        <v>-491134.97599999991</v>
      </c>
      <c r="L137" s="204">
        <f t="shared" si="9"/>
        <v>-552526.84799999988</v>
      </c>
    </row>
    <row r="138" spans="1:21" s="171" customFormat="1" ht="15.75" customHeight="1">
      <c r="A138" s="405"/>
      <c r="B138" s="200" t="s">
        <v>726</v>
      </c>
      <c r="C138" s="202"/>
      <c r="D138" s="202"/>
      <c r="E138" s="202"/>
      <c r="F138" s="202"/>
      <c r="G138" s="202"/>
      <c r="H138" s="203"/>
      <c r="I138" s="203"/>
      <c r="J138" s="206"/>
      <c r="K138" s="206"/>
      <c r="L138" s="206"/>
    </row>
    <row r="139" spans="1:21" ht="15.75" customHeight="1">
      <c r="A139" s="405"/>
      <c r="B139" s="189" t="s">
        <v>720</v>
      </c>
      <c r="C139" s="198"/>
      <c r="D139" s="198">
        <v>0</v>
      </c>
      <c r="E139" s="198">
        <f t="shared" ref="E139:L139" si="10">D140</f>
        <v>552526.84900000005</v>
      </c>
      <c r="F139" s="198">
        <f t="shared" si="10"/>
        <v>491134.97700000001</v>
      </c>
      <c r="G139" s="198">
        <f t="shared" si="10"/>
        <v>429743.10499999998</v>
      </c>
      <c r="H139" s="204">
        <f t="shared" si="10"/>
        <v>368351.23300000001</v>
      </c>
      <c r="I139" s="204">
        <f t="shared" si="10"/>
        <v>306959.36100000003</v>
      </c>
      <c r="J139" s="204">
        <f t="shared" si="10"/>
        <v>245567.48900000006</v>
      </c>
      <c r="K139" s="204">
        <f t="shared" si="10"/>
        <v>184175.61700000009</v>
      </c>
      <c r="L139" s="204">
        <f t="shared" si="10"/>
        <v>122783.74500000011</v>
      </c>
    </row>
    <row r="140" spans="1:21" s="171" customFormat="1" ht="15.75" customHeight="1">
      <c r="A140" s="405"/>
      <c r="B140" s="200" t="s">
        <v>722</v>
      </c>
      <c r="C140" s="202"/>
      <c r="D140" s="202">
        <f t="shared" ref="D140:L140" si="11">D133+D137</f>
        <v>552526.84900000005</v>
      </c>
      <c r="E140" s="202">
        <f t="shared" si="11"/>
        <v>491134.97700000001</v>
      </c>
      <c r="F140" s="202">
        <f t="shared" si="11"/>
        <v>429743.10499999998</v>
      </c>
      <c r="G140" s="202">
        <f t="shared" si="11"/>
        <v>368351.23300000001</v>
      </c>
      <c r="H140" s="203">
        <f t="shared" si="11"/>
        <v>306959.36100000003</v>
      </c>
      <c r="I140" s="203">
        <f t="shared" si="11"/>
        <v>245567.48900000006</v>
      </c>
      <c r="J140" s="203">
        <f t="shared" si="11"/>
        <v>184175.61700000009</v>
      </c>
      <c r="K140" s="203">
        <f t="shared" si="11"/>
        <v>122783.74500000011</v>
      </c>
      <c r="L140" s="203">
        <f t="shared" si="11"/>
        <v>61391.873000000138</v>
      </c>
    </row>
    <row r="141" spans="1:21" ht="15.75" customHeight="1">
      <c r="A141" s="405"/>
      <c r="B141" s="189"/>
      <c r="C141" s="207"/>
      <c r="D141" s="207"/>
      <c r="E141" s="207"/>
      <c r="F141" s="207"/>
      <c r="G141" s="207"/>
      <c r="H141" s="207"/>
      <c r="I141" s="207"/>
      <c r="J141" s="208"/>
      <c r="K141" s="208"/>
      <c r="L141" s="208"/>
    </row>
    <row r="142" spans="1:21" ht="15.75" customHeight="1" thickBot="1">
      <c r="A142" s="405"/>
      <c r="B142" s="189"/>
      <c r="C142" s="207"/>
      <c r="D142" s="207"/>
      <c r="E142" s="207"/>
      <c r="F142" s="207"/>
      <c r="G142" s="207"/>
      <c r="H142" s="207"/>
      <c r="I142" s="207"/>
      <c r="J142" s="208"/>
      <c r="K142" s="208"/>
      <c r="L142" s="208"/>
    </row>
    <row r="143" spans="1:21" ht="21" customHeight="1" thickBot="1">
      <c r="A143" s="407"/>
      <c r="B143" s="411" t="s">
        <v>53</v>
      </c>
      <c r="C143" s="207"/>
      <c r="D143" s="207"/>
      <c r="E143" s="207"/>
      <c r="F143" s="207"/>
      <c r="G143" s="207"/>
      <c r="H143" s="207"/>
      <c r="I143" s="207"/>
      <c r="J143" s="208"/>
      <c r="K143" s="208"/>
      <c r="L143" s="208"/>
    </row>
    <row r="144" spans="1:21" ht="15.75" customHeight="1">
      <c r="A144" s="408"/>
      <c r="B144" s="209"/>
      <c r="C144" s="207"/>
      <c r="D144" s="207"/>
      <c r="E144" s="207"/>
      <c r="F144" s="207"/>
      <c r="G144" s="207"/>
      <c r="H144" s="207"/>
      <c r="I144" s="207"/>
      <c r="J144" s="208"/>
      <c r="K144" s="208"/>
      <c r="L144" s="208"/>
    </row>
    <row r="145" spans="1:12" ht="15.75" customHeight="1">
      <c r="A145" s="408"/>
      <c r="B145" s="209" t="s">
        <v>727</v>
      </c>
      <c r="C145" s="183">
        <f t="shared" ref="C145:L145" si="12">C8</f>
        <v>2765847.8</v>
      </c>
      <c r="D145" s="183">
        <f t="shared" si="12"/>
        <v>1542529.7</v>
      </c>
      <c r="E145" s="183">
        <f t="shared" si="12"/>
        <v>1815085.6</v>
      </c>
      <c r="F145" s="183">
        <f t="shared" si="12"/>
        <v>1595251</v>
      </c>
      <c r="G145" s="183">
        <f t="shared" si="12"/>
        <v>3162122</v>
      </c>
      <c r="H145" s="179">
        <f t="shared" si="12"/>
        <v>3810168.3515339755</v>
      </c>
      <c r="I145" s="179">
        <f t="shared" si="12"/>
        <v>4871403.3732408257</v>
      </c>
      <c r="J145" s="179">
        <f t="shared" si="12"/>
        <v>5410175.6295619868</v>
      </c>
      <c r="K145" s="179">
        <f t="shared" si="12"/>
        <v>6278645.9089771863</v>
      </c>
      <c r="L145" s="179">
        <f t="shared" si="12"/>
        <v>6709005.5691084936</v>
      </c>
    </row>
    <row r="146" spans="1:12" ht="15.75" customHeight="1">
      <c r="A146" s="408"/>
      <c r="B146" s="209" t="s">
        <v>728</v>
      </c>
      <c r="C146" s="183">
        <f t="shared" ref="C146:L146" si="13">C17</f>
        <v>12050162.699999999</v>
      </c>
      <c r="D146" s="183">
        <f t="shared" si="13"/>
        <v>17446005.300000001</v>
      </c>
      <c r="E146" s="183">
        <f t="shared" si="13"/>
        <v>25745428.399999999</v>
      </c>
      <c r="F146" s="183">
        <f t="shared" si="13"/>
        <v>19422177.5</v>
      </c>
      <c r="G146" s="183">
        <f t="shared" si="13"/>
        <v>29167232.300000001</v>
      </c>
      <c r="H146" s="179">
        <f t="shared" si="13"/>
        <v>33482468.0133982</v>
      </c>
      <c r="I146" s="179">
        <f t="shared" si="13"/>
        <v>41451060.035121664</v>
      </c>
      <c r="J146" s="179">
        <f t="shared" si="13"/>
        <v>44600358.42416735</v>
      </c>
      <c r="K146" s="179">
        <f t="shared" si="13"/>
        <v>52041135.695255265</v>
      </c>
      <c r="L146" s="179">
        <f t="shared" si="13"/>
        <v>55766694.836486042</v>
      </c>
    </row>
    <row r="147" spans="1:12" ht="15.75" customHeight="1">
      <c r="A147" s="408"/>
      <c r="B147" s="209" t="s">
        <v>729</v>
      </c>
      <c r="C147" s="183">
        <f t="shared" ref="C147:L147" si="14">C4+C20</f>
        <v>635867.5</v>
      </c>
      <c r="D147" s="183">
        <f t="shared" si="14"/>
        <v>633909.5</v>
      </c>
      <c r="E147" s="183">
        <f t="shared" si="14"/>
        <v>4336146.0999999996</v>
      </c>
      <c r="F147" s="183">
        <f t="shared" si="14"/>
        <v>8951948.0999999996</v>
      </c>
      <c r="G147" s="183">
        <f t="shared" si="14"/>
        <v>15483887.700000001</v>
      </c>
      <c r="H147" s="179">
        <f t="shared" si="14"/>
        <v>15784053.922607685</v>
      </c>
      <c r="I147" s="179">
        <f t="shared" si="14"/>
        <v>16146322.258570137</v>
      </c>
      <c r="J147" s="179">
        <f t="shared" si="14"/>
        <v>16407055.285418529</v>
      </c>
      <c r="K147" s="179">
        <f t="shared" si="14"/>
        <v>16661662.921042535</v>
      </c>
      <c r="L147" s="179">
        <f t="shared" si="14"/>
        <v>16928058.923416518</v>
      </c>
    </row>
    <row r="148" spans="1:12" s="171" customFormat="1" ht="15.75" customHeight="1">
      <c r="A148" s="408"/>
      <c r="B148" s="210" t="s">
        <v>730</v>
      </c>
      <c r="C148" s="181">
        <f t="shared" ref="C148:L148" si="15">SUM(C145:C147)</f>
        <v>15451878</v>
      </c>
      <c r="D148" s="181">
        <f t="shared" si="15"/>
        <v>19622444.5</v>
      </c>
      <c r="E148" s="181">
        <f t="shared" si="15"/>
        <v>31896660.100000001</v>
      </c>
      <c r="F148" s="181">
        <f t="shared" si="15"/>
        <v>29969376.600000001</v>
      </c>
      <c r="G148" s="181">
        <f t="shared" si="15"/>
        <v>47813242</v>
      </c>
      <c r="H148" s="173">
        <f t="shared" si="15"/>
        <v>53076690.287539862</v>
      </c>
      <c r="I148" s="173">
        <f t="shared" si="15"/>
        <v>62468785.666932628</v>
      </c>
      <c r="J148" s="173">
        <f t="shared" si="15"/>
        <v>66417589.339147866</v>
      </c>
      <c r="K148" s="173">
        <f t="shared" si="15"/>
        <v>74981444.525274992</v>
      </c>
      <c r="L148" s="173">
        <f t="shared" si="15"/>
        <v>79403759.329011053</v>
      </c>
    </row>
    <row r="149" spans="1:12" ht="15.75" customHeight="1">
      <c r="A149" s="408"/>
      <c r="B149" s="209" t="s">
        <v>684</v>
      </c>
      <c r="C149" s="183">
        <f t="shared" ref="C149:L149" si="16">C66</f>
        <v>7373229.7000000002</v>
      </c>
      <c r="D149" s="183">
        <f t="shared" si="16"/>
        <v>8244614.2000000002</v>
      </c>
      <c r="E149" s="183">
        <f t="shared" si="16"/>
        <v>12055385.5</v>
      </c>
      <c r="F149" s="183">
        <f t="shared" si="16"/>
        <v>8728168.9000000004</v>
      </c>
      <c r="G149" s="183">
        <f t="shared" si="16"/>
        <v>12179774.800000001</v>
      </c>
      <c r="H149" s="179">
        <f t="shared" si="16"/>
        <v>15135734.917629953</v>
      </c>
      <c r="I149" s="179">
        <f t="shared" si="16"/>
        <v>18702136.760814574</v>
      </c>
      <c r="J149" s="179">
        <f t="shared" si="16"/>
        <v>19094691.878892798</v>
      </c>
      <c r="K149" s="179">
        <f t="shared" si="16"/>
        <v>23772779.272539128</v>
      </c>
      <c r="L149" s="179">
        <f t="shared" si="16"/>
        <v>23817648.384141114</v>
      </c>
    </row>
    <row r="150" spans="1:12" ht="15.75" customHeight="1">
      <c r="A150" s="408"/>
      <c r="B150" s="209" t="s">
        <v>731</v>
      </c>
      <c r="C150" s="183">
        <f t="shared" ref="C150:L150" si="17">C67+C74</f>
        <v>829785.59999999998</v>
      </c>
      <c r="D150" s="183">
        <f t="shared" si="17"/>
        <v>1246275.9000000001</v>
      </c>
      <c r="E150" s="183">
        <f t="shared" si="17"/>
        <v>799078.79999999993</v>
      </c>
      <c r="F150" s="183">
        <f t="shared" si="17"/>
        <v>632952.80000000005</v>
      </c>
      <c r="G150" s="183">
        <f t="shared" si="17"/>
        <v>574699.20000000007</v>
      </c>
      <c r="H150" s="179">
        <f t="shared" si="17"/>
        <v>803427.06080085505</v>
      </c>
      <c r="I150" s="179">
        <f t="shared" si="17"/>
        <v>935076.13880301546</v>
      </c>
      <c r="J150" s="179">
        <f t="shared" si="17"/>
        <v>1097119.4152914826</v>
      </c>
      <c r="K150" s="179">
        <f t="shared" si="17"/>
        <v>1212445.911892338</v>
      </c>
      <c r="L150" s="179">
        <f t="shared" si="17"/>
        <v>1357053.0756434766</v>
      </c>
    </row>
    <row r="151" spans="1:12" s="171" customFormat="1" ht="15.75" customHeight="1">
      <c r="A151" s="408"/>
      <c r="B151" s="210" t="s">
        <v>732</v>
      </c>
      <c r="C151" s="181">
        <f t="shared" ref="C151:L151" si="18">SUM(C149:C150)</f>
        <v>8203015.2999999998</v>
      </c>
      <c r="D151" s="181">
        <f t="shared" si="18"/>
        <v>9490890.0999999996</v>
      </c>
      <c r="E151" s="181">
        <f t="shared" si="18"/>
        <v>12854464.300000001</v>
      </c>
      <c r="F151" s="181">
        <f t="shared" si="18"/>
        <v>9361121.7000000011</v>
      </c>
      <c r="G151" s="181">
        <f t="shared" si="18"/>
        <v>12754474</v>
      </c>
      <c r="H151" s="173">
        <f t="shared" si="18"/>
        <v>15939161.978430808</v>
      </c>
      <c r="I151" s="173">
        <f t="shared" si="18"/>
        <v>19637212.89961759</v>
      </c>
      <c r="J151" s="173">
        <f t="shared" si="18"/>
        <v>20191811.294184282</v>
      </c>
      <c r="K151" s="173">
        <f t="shared" si="18"/>
        <v>24985225.184431467</v>
      </c>
      <c r="L151" s="173">
        <f t="shared" si="18"/>
        <v>25174701.45978459</v>
      </c>
    </row>
    <row r="152" spans="1:12" ht="15.75" customHeight="1">
      <c r="A152" s="408"/>
      <c r="B152" s="209" t="s">
        <v>617</v>
      </c>
      <c r="C152" s="198">
        <f t="shared" ref="C152:L152" si="19">C148-C151</f>
        <v>7248862.7000000002</v>
      </c>
      <c r="D152" s="198">
        <f t="shared" si="19"/>
        <v>10131554.4</v>
      </c>
      <c r="E152" s="198">
        <f t="shared" si="19"/>
        <v>19042195.800000001</v>
      </c>
      <c r="F152" s="198">
        <f t="shared" si="19"/>
        <v>20608254.899999999</v>
      </c>
      <c r="G152" s="198">
        <f t="shared" si="19"/>
        <v>35058768</v>
      </c>
      <c r="H152" s="204">
        <f t="shared" si="19"/>
        <v>37137528.309109055</v>
      </c>
      <c r="I152" s="204">
        <f t="shared" si="19"/>
        <v>42831572.767315038</v>
      </c>
      <c r="J152" s="204">
        <f t="shared" si="19"/>
        <v>46225778.044963583</v>
      </c>
      <c r="K152" s="204">
        <f t="shared" si="19"/>
        <v>49996219.340843529</v>
      </c>
      <c r="L152" s="204">
        <f t="shared" si="19"/>
        <v>54229057.869226463</v>
      </c>
    </row>
    <row r="153" spans="1:12" ht="15.75" customHeight="1">
      <c r="A153" s="408"/>
      <c r="B153" s="209" t="s">
        <v>733</v>
      </c>
      <c r="C153" s="188"/>
      <c r="D153" s="183">
        <f t="shared" ref="D153:L153" si="20">D152-C152</f>
        <v>2882691.7</v>
      </c>
      <c r="E153" s="183">
        <f t="shared" si="20"/>
        <v>8910641.4000000004</v>
      </c>
      <c r="F153" s="183">
        <f t="shared" si="20"/>
        <v>1566059.0999999978</v>
      </c>
      <c r="G153" s="183">
        <f t="shared" si="20"/>
        <v>14450513.100000001</v>
      </c>
      <c r="H153" s="179">
        <f t="shared" si="20"/>
        <v>2078760.3091090545</v>
      </c>
      <c r="I153" s="179">
        <f t="shared" si="20"/>
        <v>5694044.458205983</v>
      </c>
      <c r="J153" s="179">
        <f t="shared" si="20"/>
        <v>3394205.2776485458</v>
      </c>
      <c r="K153" s="179">
        <f t="shared" si="20"/>
        <v>3770441.2958799452</v>
      </c>
      <c r="L153" s="179">
        <f t="shared" si="20"/>
        <v>4232838.5283829346</v>
      </c>
    </row>
    <row r="154" spans="1:12" ht="15.75" customHeight="1" thickBot="1">
      <c r="A154" s="403"/>
      <c r="B154" s="30"/>
      <c r="C154" s="30"/>
      <c r="D154" s="31"/>
      <c r="E154" s="31"/>
      <c r="F154" s="31"/>
      <c r="G154" s="31"/>
      <c r="H154" s="31"/>
      <c r="I154" s="31"/>
      <c r="J154" s="178"/>
      <c r="K154" s="178"/>
      <c r="L154" s="178"/>
    </row>
    <row r="155" spans="1:12" ht="21" customHeight="1" thickBot="1">
      <c r="A155" s="404"/>
      <c r="B155" s="410" t="s">
        <v>734</v>
      </c>
      <c r="C155" s="30"/>
      <c r="D155" s="31"/>
      <c r="E155" s="31"/>
      <c r="F155" s="31"/>
      <c r="G155" s="31"/>
      <c r="H155" s="31"/>
      <c r="I155" s="31"/>
      <c r="J155" s="178"/>
      <c r="K155" s="178"/>
      <c r="L155" s="178"/>
    </row>
    <row r="156" spans="1:12" ht="15.75" customHeight="1">
      <c r="A156" s="403"/>
      <c r="B156" s="30"/>
      <c r="C156" s="30"/>
      <c r="D156" s="31"/>
      <c r="E156" s="31"/>
      <c r="F156" s="31"/>
      <c r="G156" s="31"/>
      <c r="H156" s="31"/>
      <c r="I156" s="31"/>
      <c r="J156" s="178"/>
      <c r="K156" s="178"/>
      <c r="L156" s="178"/>
    </row>
    <row r="157" spans="1:12" ht="15.75" customHeight="1">
      <c r="B157" s="171" t="s">
        <v>333</v>
      </c>
      <c r="C157" s="211">
        <f t="shared" ref="C157:L157" si="21">C2/C$63</f>
        <v>0.82649690389783681</v>
      </c>
      <c r="D157" s="211">
        <f t="shared" si="21"/>
        <v>0.83107720227818038</v>
      </c>
      <c r="E157" s="211">
        <f t="shared" si="21"/>
        <v>0.83945086631922572</v>
      </c>
      <c r="F157" s="211">
        <f t="shared" si="21"/>
        <v>0.8106999909625886</v>
      </c>
      <c r="G157" s="211">
        <f t="shared" si="21"/>
        <v>0.82506112044049551</v>
      </c>
      <c r="H157" s="212">
        <f t="shared" si="21"/>
        <v>0.82743760446468162</v>
      </c>
      <c r="I157" s="212">
        <f t="shared" si="21"/>
        <v>0.81010902041329047</v>
      </c>
      <c r="J157" s="212">
        <f t="shared" si="21"/>
        <v>0.79706818194535856</v>
      </c>
      <c r="K157" s="212">
        <f t="shared" si="21"/>
        <v>0.78531328251293286</v>
      </c>
      <c r="L157" s="212">
        <f t="shared" si="21"/>
        <v>0.79860692027859803</v>
      </c>
    </row>
    <row r="158" spans="1:12" ht="15.75" customHeight="1">
      <c r="B158" s="171" t="s">
        <v>334</v>
      </c>
      <c r="C158" s="211">
        <f t="shared" ref="C158:L158" si="22">C3/C$63</f>
        <v>0.14945596929914956</v>
      </c>
      <c r="D158" s="211">
        <f t="shared" si="22"/>
        <v>0.13332904614223651</v>
      </c>
      <c r="E158" s="211">
        <f t="shared" si="22"/>
        <v>7.4691418120494138E-2</v>
      </c>
      <c r="F158" s="211">
        <f t="shared" si="22"/>
        <v>0.1596288708797225</v>
      </c>
      <c r="G158" s="211">
        <f t="shared" si="22"/>
        <v>6.5776137806600118E-2</v>
      </c>
      <c r="H158" s="212">
        <f t="shared" si="22"/>
        <v>0.1841289442710457</v>
      </c>
      <c r="I158" s="212">
        <f t="shared" si="22"/>
        <v>0.15999075656997352</v>
      </c>
      <c r="J158" s="212">
        <f t="shared" si="22"/>
        <v>0.19491462971337595</v>
      </c>
      <c r="K158" s="212">
        <f t="shared" si="22"/>
        <v>0.17509851469132823</v>
      </c>
      <c r="L158" s="212">
        <f t="shared" si="22"/>
        <v>0.26882336901764464</v>
      </c>
    </row>
    <row r="159" spans="1:12" ht="15.75" customHeight="1">
      <c r="B159" s="171" t="s">
        <v>337</v>
      </c>
      <c r="C159" s="211">
        <f t="shared" ref="C159:L159" si="23">C4/C$63</f>
        <v>0</v>
      </c>
      <c r="D159" s="211">
        <f t="shared" si="23"/>
        <v>1.8107367041263693E-3</v>
      </c>
      <c r="E159" s="211">
        <f t="shared" si="23"/>
        <v>7.5213216100936564E-2</v>
      </c>
      <c r="F159" s="211">
        <f t="shared" si="23"/>
        <v>0.17504159816192955</v>
      </c>
      <c r="G159" s="211">
        <f t="shared" si="23"/>
        <v>0.22608081152415391</v>
      </c>
      <c r="H159" s="212">
        <f t="shared" si="23"/>
        <v>0.17255305372498925</v>
      </c>
      <c r="I159" s="212">
        <f t="shared" si="23"/>
        <v>0.14816184874298635</v>
      </c>
      <c r="J159" s="212">
        <f t="shared" si="23"/>
        <v>0.12907175920778841</v>
      </c>
      <c r="K159" s="212">
        <f t="shared" si="23"/>
        <v>0.11586065949008324</v>
      </c>
      <c r="L159" s="212">
        <f t="shared" si="23"/>
        <v>9.498706991865831E-2</v>
      </c>
    </row>
    <row r="160" spans="1:12" ht="15.75" customHeight="1">
      <c r="B160" s="175" t="s">
        <v>338</v>
      </c>
      <c r="C160" s="211">
        <f t="shared" ref="C160:L160" si="24">C5/C$63</f>
        <v>0</v>
      </c>
      <c r="D160" s="211">
        <f t="shared" si="24"/>
        <v>0</v>
      </c>
      <c r="E160" s="211">
        <f t="shared" si="24"/>
        <v>0</v>
      </c>
      <c r="F160" s="211">
        <f t="shared" si="24"/>
        <v>0</v>
      </c>
      <c r="G160" s="211">
        <f t="shared" si="24"/>
        <v>0</v>
      </c>
      <c r="H160" s="212">
        <f t="shared" si="24"/>
        <v>0</v>
      </c>
      <c r="I160" s="212">
        <f t="shared" si="24"/>
        <v>0</v>
      </c>
      <c r="J160" s="212">
        <f t="shared" si="24"/>
        <v>0</v>
      </c>
      <c r="K160" s="212">
        <f t="shared" si="24"/>
        <v>0</v>
      </c>
      <c r="L160" s="212">
        <f t="shared" si="24"/>
        <v>0</v>
      </c>
    </row>
    <row r="161" spans="2:12" ht="15.75" customHeight="1">
      <c r="B161" s="175" t="s">
        <v>339</v>
      </c>
      <c r="C161" s="211">
        <f t="shared" ref="C161:L161" si="25">C6/C$63</f>
        <v>0</v>
      </c>
      <c r="D161" s="211">
        <f t="shared" si="25"/>
        <v>0</v>
      </c>
      <c r="E161" s="211">
        <f t="shared" si="25"/>
        <v>0</v>
      </c>
      <c r="F161" s="211">
        <f t="shared" si="25"/>
        <v>0</v>
      </c>
      <c r="G161" s="211">
        <f t="shared" si="25"/>
        <v>0</v>
      </c>
      <c r="H161" s="212">
        <f t="shared" si="25"/>
        <v>0</v>
      </c>
      <c r="I161" s="212">
        <f t="shared" si="25"/>
        <v>0</v>
      </c>
      <c r="J161" s="212">
        <f t="shared" si="25"/>
        <v>0</v>
      </c>
      <c r="K161" s="212">
        <f t="shared" si="25"/>
        <v>0</v>
      </c>
      <c r="L161" s="212">
        <f t="shared" si="25"/>
        <v>0</v>
      </c>
    </row>
    <row r="162" spans="2:12" ht="15.75" customHeight="1">
      <c r="B162" s="175" t="s">
        <v>340</v>
      </c>
      <c r="C162" s="211">
        <f t="shared" ref="C162:L162" si="26">C7/C$63</f>
        <v>0</v>
      </c>
      <c r="D162" s="211">
        <f t="shared" si="26"/>
        <v>1.8107367041263693E-3</v>
      </c>
      <c r="E162" s="211">
        <f t="shared" si="26"/>
        <v>7.5213216100936564E-2</v>
      </c>
      <c r="F162" s="211">
        <f t="shared" si="26"/>
        <v>0.17504159816192955</v>
      </c>
      <c r="G162" s="211">
        <f t="shared" si="26"/>
        <v>0.22608081152415391</v>
      </c>
      <c r="H162" s="212">
        <f t="shared" si="26"/>
        <v>0.17255305372498925</v>
      </c>
      <c r="I162" s="212">
        <f t="shared" si="26"/>
        <v>0.14816184874298635</v>
      </c>
      <c r="J162" s="212">
        <f t="shared" si="26"/>
        <v>0.12907175920778841</v>
      </c>
      <c r="K162" s="212">
        <f t="shared" si="26"/>
        <v>0.11586065949008324</v>
      </c>
      <c r="L162" s="212">
        <f t="shared" si="26"/>
        <v>9.498706991865831E-2</v>
      </c>
    </row>
    <row r="163" spans="2:12" ht="15.75" customHeight="1">
      <c r="B163" s="171" t="s">
        <v>341</v>
      </c>
      <c r="C163" s="211">
        <f t="shared" ref="C163:L163" si="27">C8/C$63</f>
        <v>0.12118864720447492</v>
      </c>
      <c r="D163" s="211">
        <f t="shared" si="27"/>
        <v>5.4850314595611703E-2</v>
      </c>
      <c r="E163" s="211">
        <f t="shared" si="27"/>
        <v>4.3518784021198E-2</v>
      </c>
      <c r="F163" s="211">
        <f t="shared" si="27"/>
        <v>3.4656104771405627E-2</v>
      </c>
      <c r="G163" s="211">
        <f t="shared" si="27"/>
        <v>5.0215204981420396E-2</v>
      </c>
      <c r="H163" s="212">
        <f t="shared" si="27"/>
        <v>4.6180616840627173E-2</v>
      </c>
      <c r="I163" s="212">
        <f t="shared" si="27"/>
        <v>5.0697132490734882E-2</v>
      </c>
      <c r="J163" s="212">
        <f t="shared" si="27"/>
        <v>4.9049604268299837E-2</v>
      </c>
      <c r="K163" s="212">
        <f t="shared" si="27"/>
        <v>5.1096941114399413E-2</v>
      </c>
      <c r="L163" s="212">
        <f t="shared" si="27"/>
        <v>4.4762626176229434E-2</v>
      </c>
    </row>
    <row r="164" spans="2:12" ht="15.75" customHeight="1">
      <c r="B164" s="175" t="s">
        <v>342</v>
      </c>
      <c r="C164" s="211">
        <f t="shared" ref="C164:L164" si="28">C9/C$63</f>
        <v>6.273486686098638E-2</v>
      </c>
      <c r="D164" s="211">
        <f t="shared" si="28"/>
        <v>1.3141551641608082E-2</v>
      </c>
      <c r="E164" s="211">
        <f t="shared" si="28"/>
        <v>6.2881893036808648E-3</v>
      </c>
      <c r="F164" s="211">
        <f t="shared" si="28"/>
        <v>4.2665814774777277E-3</v>
      </c>
      <c r="G164" s="211">
        <f t="shared" si="28"/>
        <v>6.1017631926801163E-3</v>
      </c>
      <c r="H164" s="212">
        <f t="shared" si="28"/>
        <v>3.6119370095520141E-3</v>
      </c>
      <c r="I164" s="212">
        <f t="shared" si="28"/>
        <v>5.8933296484781827E-3</v>
      </c>
      <c r="J164" s="212">
        <f t="shared" si="28"/>
        <v>3.6736993419695862E-3</v>
      </c>
      <c r="K164" s="212">
        <f t="shared" si="28"/>
        <v>5.6278301776627173E-3</v>
      </c>
      <c r="L164" s="212">
        <f t="shared" si="28"/>
        <v>3.4892289956481182E-3</v>
      </c>
    </row>
    <row r="165" spans="2:12" ht="15.75" customHeight="1">
      <c r="B165" s="175" t="s">
        <v>343</v>
      </c>
      <c r="C165" s="211">
        <f t="shared" ref="C165:L165" si="29">C10/C$63</f>
        <v>5.1677577589736437E-3</v>
      </c>
      <c r="D165" s="211">
        <f t="shared" si="29"/>
        <v>7.4699178486118854E-4</v>
      </c>
      <c r="E165" s="211">
        <f t="shared" si="29"/>
        <v>4.6757541350695335E-3</v>
      </c>
      <c r="F165" s="211">
        <f t="shared" si="29"/>
        <v>6.2547859176274711E-3</v>
      </c>
      <c r="G165" s="211">
        <f t="shared" si="29"/>
        <v>6.2050195837460497E-3</v>
      </c>
      <c r="H165" s="212">
        <f t="shared" si="29"/>
        <v>5.8917223655268955E-3</v>
      </c>
      <c r="I165" s="212">
        <f t="shared" si="29"/>
        <v>6.2309024327767085E-3</v>
      </c>
      <c r="J165" s="212">
        <f t="shared" si="29"/>
        <v>6.1884435158995645E-3</v>
      </c>
      <c r="K165" s="212">
        <f t="shared" si="29"/>
        <v>6.2270958369618915E-3</v>
      </c>
      <c r="L165" s="212">
        <f t="shared" si="29"/>
        <v>5.6733821001983152E-3</v>
      </c>
    </row>
    <row r="166" spans="2:12" ht="15.75" customHeight="1">
      <c r="B166" s="175" t="s">
        <v>344</v>
      </c>
      <c r="C166" s="211">
        <f t="shared" ref="C166:L166" si="30">C11/C$63</f>
        <v>0</v>
      </c>
      <c r="D166" s="211">
        <f t="shared" si="30"/>
        <v>0</v>
      </c>
      <c r="E166" s="211">
        <f t="shared" si="30"/>
        <v>0</v>
      </c>
      <c r="F166" s="211">
        <f t="shared" si="30"/>
        <v>0</v>
      </c>
      <c r="G166" s="211">
        <f t="shared" si="30"/>
        <v>0</v>
      </c>
      <c r="H166" s="212">
        <f t="shared" si="30"/>
        <v>0</v>
      </c>
      <c r="I166" s="212">
        <f t="shared" si="30"/>
        <v>0</v>
      </c>
      <c r="J166" s="212">
        <f t="shared" si="30"/>
        <v>0</v>
      </c>
      <c r="K166" s="212">
        <f t="shared" si="30"/>
        <v>0</v>
      </c>
      <c r="L166" s="212">
        <f t="shared" si="30"/>
        <v>0</v>
      </c>
    </row>
    <row r="167" spans="2:12" ht="15.75" customHeight="1">
      <c r="B167" s="175" t="s">
        <v>345</v>
      </c>
      <c r="C167" s="211">
        <f t="shared" ref="C167:L167" si="31">C12/C$63</f>
        <v>0</v>
      </c>
      <c r="D167" s="211">
        <f t="shared" si="31"/>
        <v>0</v>
      </c>
      <c r="E167" s="211">
        <f t="shared" si="31"/>
        <v>0</v>
      </c>
      <c r="F167" s="211">
        <f t="shared" si="31"/>
        <v>0</v>
      </c>
      <c r="G167" s="211">
        <f t="shared" si="31"/>
        <v>0</v>
      </c>
      <c r="H167" s="212">
        <f t="shared" si="31"/>
        <v>0</v>
      </c>
      <c r="I167" s="212">
        <f t="shared" si="31"/>
        <v>0</v>
      </c>
      <c r="J167" s="212">
        <f t="shared" si="31"/>
        <v>0</v>
      </c>
      <c r="K167" s="212">
        <f t="shared" si="31"/>
        <v>0</v>
      </c>
      <c r="L167" s="212">
        <f t="shared" si="31"/>
        <v>0</v>
      </c>
    </row>
    <row r="168" spans="2:12" ht="15.75" customHeight="1">
      <c r="B168" s="175" t="s">
        <v>346</v>
      </c>
      <c r="C168" s="211">
        <f t="shared" ref="C168:L168" si="32">C13/C$63</f>
        <v>3.7112231621056757E-3</v>
      </c>
      <c r="D168" s="211">
        <f t="shared" si="32"/>
        <v>0</v>
      </c>
      <c r="E168" s="211">
        <f t="shared" si="32"/>
        <v>0</v>
      </c>
      <c r="F168" s="211">
        <f t="shared" si="32"/>
        <v>1.737963732172837E-3</v>
      </c>
      <c r="G168" s="211">
        <f t="shared" si="32"/>
        <v>1.5275468334478064E-2</v>
      </c>
      <c r="H168" s="212">
        <f t="shared" si="32"/>
        <v>1.5431202477850394E-2</v>
      </c>
      <c r="I168" s="212">
        <f t="shared" si="32"/>
        <v>1.7299933611632842E-2</v>
      </c>
      <c r="J168" s="212">
        <f t="shared" si="32"/>
        <v>1.7182047566855041E-2</v>
      </c>
      <c r="K168" s="212">
        <f t="shared" si="32"/>
        <v>1.7289364700372695E-2</v>
      </c>
      <c r="L168" s="212">
        <f t="shared" si="32"/>
        <v>1.5751993350202127E-2</v>
      </c>
    </row>
    <row r="169" spans="2:12" ht="15.75" customHeight="1">
      <c r="B169" s="175" t="s">
        <v>347</v>
      </c>
      <c r="C169" s="211">
        <f t="shared" ref="C169:L169" si="33">C14/C$63</f>
        <v>4.9574795040799834E-2</v>
      </c>
      <c r="D169" s="211">
        <f t="shared" si="33"/>
        <v>4.0961774725010086E-2</v>
      </c>
      <c r="E169" s="211">
        <f t="shared" si="33"/>
        <v>3.2554840582447592E-2</v>
      </c>
      <c r="F169" s="211">
        <f t="shared" si="33"/>
        <v>2.2396771471672929E-2</v>
      </c>
      <c r="G169" s="211">
        <f t="shared" si="33"/>
        <v>2.263295387051616E-2</v>
      </c>
      <c r="H169" s="212">
        <f t="shared" si="33"/>
        <v>2.1245754987697867E-2</v>
      </c>
      <c r="I169" s="212">
        <f t="shared" si="33"/>
        <v>2.1272966797847147E-2</v>
      </c>
      <c r="J169" s="212">
        <f t="shared" si="33"/>
        <v>2.2005413843575645E-2</v>
      </c>
      <c r="K169" s="212">
        <f t="shared" si="33"/>
        <v>2.1952650399402106E-2</v>
      </c>
      <c r="L169" s="212">
        <f t="shared" si="33"/>
        <v>1.9848021730180875E-2</v>
      </c>
    </row>
    <row r="170" spans="2:12" ht="15.75" customHeight="1">
      <c r="B170" s="175" t="s">
        <v>348</v>
      </c>
      <c r="C170" s="211">
        <f t="shared" ref="C170:L170" si="34">C15/C$63</f>
        <v>0</v>
      </c>
      <c r="D170" s="211">
        <f t="shared" si="34"/>
        <v>0</v>
      </c>
      <c r="E170" s="211">
        <f t="shared" si="34"/>
        <v>0</v>
      </c>
      <c r="F170" s="211">
        <f t="shared" si="34"/>
        <v>0</v>
      </c>
      <c r="G170" s="211">
        <f t="shared" si="34"/>
        <v>0</v>
      </c>
      <c r="H170" s="212">
        <f t="shared" si="34"/>
        <v>0</v>
      </c>
      <c r="I170" s="212">
        <f t="shared" si="34"/>
        <v>0</v>
      </c>
      <c r="J170" s="212">
        <f t="shared" si="34"/>
        <v>0</v>
      </c>
      <c r="K170" s="212">
        <f t="shared" si="34"/>
        <v>0</v>
      </c>
      <c r="L170" s="212">
        <f t="shared" si="34"/>
        <v>0</v>
      </c>
    </row>
    <row r="171" spans="2:12" ht="15.75" customHeight="1">
      <c r="B171" s="175" t="s">
        <v>349</v>
      </c>
      <c r="C171" s="211">
        <f t="shared" ref="C171:L171" si="35">C16/C$63</f>
        <v>0</v>
      </c>
      <c r="D171" s="211">
        <f t="shared" si="35"/>
        <v>0</v>
      </c>
      <c r="E171" s="211">
        <f t="shared" si="35"/>
        <v>0</v>
      </c>
      <c r="F171" s="211">
        <f t="shared" si="35"/>
        <v>0</v>
      </c>
      <c r="G171" s="211">
        <f t="shared" si="35"/>
        <v>0</v>
      </c>
      <c r="H171" s="212">
        <f t="shared" si="35"/>
        <v>0</v>
      </c>
      <c r="I171" s="212">
        <f t="shared" si="35"/>
        <v>0</v>
      </c>
      <c r="J171" s="212">
        <f t="shared" si="35"/>
        <v>0</v>
      </c>
      <c r="K171" s="212">
        <f t="shared" si="35"/>
        <v>0</v>
      </c>
      <c r="L171" s="212">
        <f t="shared" si="35"/>
        <v>0</v>
      </c>
    </row>
    <row r="172" spans="2:12" ht="15.75" customHeight="1">
      <c r="B172" s="171" t="s">
        <v>350</v>
      </c>
      <c r="C172" s="211">
        <f t="shared" ref="C172:L172" si="36">C17/C$63</f>
        <v>0.52799106162198184</v>
      </c>
      <c r="D172" s="211">
        <f t="shared" si="36"/>
        <v>0.62035685869886925</v>
      </c>
      <c r="E172" s="211">
        <f t="shared" si="36"/>
        <v>0.61727652848593861</v>
      </c>
      <c r="F172" s="211">
        <f t="shared" si="36"/>
        <v>0.42193800118529129</v>
      </c>
      <c r="G172" s="211">
        <f t="shared" si="36"/>
        <v>0.46318217598347117</v>
      </c>
      <c r="H172" s="212">
        <f t="shared" si="36"/>
        <v>0.40581960783511845</v>
      </c>
      <c r="I172" s="212">
        <f t="shared" si="36"/>
        <v>0.43138490522576561</v>
      </c>
      <c r="J172" s="212">
        <f t="shared" si="36"/>
        <v>0.40435469765088833</v>
      </c>
      <c r="K172" s="212">
        <f t="shared" si="36"/>
        <v>0.42352170909095133</v>
      </c>
      <c r="L172" s="212">
        <f t="shared" si="36"/>
        <v>0.3720765601303857</v>
      </c>
    </row>
    <row r="173" spans="2:12" ht="15.75" customHeight="1">
      <c r="B173" s="175" t="s">
        <v>351</v>
      </c>
      <c r="C173" s="211">
        <f t="shared" ref="C173:L173" si="37">C18/C$63</f>
        <v>0.53937416736824273</v>
      </c>
      <c r="D173" s="211">
        <f t="shared" si="37"/>
        <v>0.63369606679967627</v>
      </c>
      <c r="E173" s="211">
        <f t="shared" si="37"/>
        <v>0.62807793992895211</v>
      </c>
      <c r="F173" s="211">
        <f t="shared" si="37"/>
        <v>0.43289121346365744</v>
      </c>
      <c r="G173" s="211">
        <f t="shared" si="37"/>
        <v>0.47402577240900307</v>
      </c>
      <c r="H173" s="212">
        <f t="shared" si="37"/>
        <v>0.41579877851958852</v>
      </c>
      <c r="I173" s="212">
        <f t="shared" si="37"/>
        <v>0.44199273076410411</v>
      </c>
      <c r="J173" s="212">
        <f t="shared" si="37"/>
        <v>0.41429784595377905</v>
      </c>
      <c r="K173" s="212">
        <f t="shared" si="37"/>
        <v>0.43393617734728618</v>
      </c>
      <c r="L173" s="212">
        <f t="shared" si="37"/>
        <v>0.38122598374014927</v>
      </c>
    </row>
    <row r="174" spans="2:12" ht="15.75" customHeight="1">
      <c r="B174" s="175" t="s">
        <v>352</v>
      </c>
      <c r="C174" s="211">
        <f t="shared" ref="C174:L174" si="38">C19/C$63</f>
        <v>-1.1383105746260771E-2</v>
      </c>
      <c r="D174" s="211">
        <f t="shared" si="38"/>
        <v>-1.3339208100806998E-2</v>
      </c>
      <c r="E174" s="211">
        <f t="shared" si="38"/>
        <v>-1.0801409045397434E-2</v>
      </c>
      <c r="F174" s="211">
        <f t="shared" si="38"/>
        <v>-1.0953212278366174E-2</v>
      </c>
      <c r="G174" s="211">
        <f t="shared" si="38"/>
        <v>-1.0843596425531864E-2</v>
      </c>
      <c r="H174" s="212">
        <f t="shared" si="38"/>
        <v>-9.9791706844701237E-3</v>
      </c>
      <c r="I174" s="212">
        <f t="shared" si="38"/>
        <v>-1.0607825538338498E-2</v>
      </c>
      <c r="J174" s="212">
        <f t="shared" si="38"/>
        <v>-9.9431483028906975E-3</v>
      </c>
      <c r="K174" s="212">
        <f t="shared" si="38"/>
        <v>-1.041446825633487E-2</v>
      </c>
      <c r="L174" s="212">
        <f t="shared" si="38"/>
        <v>-9.1494236097635819E-3</v>
      </c>
    </row>
    <row r="175" spans="2:12" ht="15.75" customHeight="1">
      <c r="B175" s="171" t="s">
        <v>353</v>
      </c>
      <c r="C175" s="211">
        <f t="shared" ref="C175:L175" si="39">C20/C$63</f>
        <v>2.7861230153839796E-2</v>
      </c>
      <c r="D175" s="211">
        <f t="shared" si="39"/>
        <v>2.0730246137336535E-2</v>
      </c>
      <c r="E175" s="211">
        <f t="shared" si="39"/>
        <v>2.8750919590658366E-2</v>
      </c>
      <c r="F175" s="211">
        <f t="shared" si="39"/>
        <v>1.9435415964239658E-2</v>
      </c>
      <c r="G175" s="211">
        <f t="shared" si="39"/>
        <v>1.9806790144850001E-2</v>
      </c>
      <c r="H175" s="212">
        <f t="shared" si="39"/>
        <v>1.8755381792901031E-2</v>
      </c>
      <c r="I175" s="212">
        <f t="shared" si="39"/>
        <v>1.9874377383830091E-2</v>
      </c>
      <c r="J175" s="212">
        <f t="shared" si="39"/>
        <v>1.9677491105006027E-2</v>
      </c>
      <c r="K175" s="212">
        <f t="shared" si="39"/>
        <v>1.9735458126170752E-2</v>
      </c>
      <c r="L175" s="212">
        <f t="shared" si="39"/>
        <v>1.7957295035680079E-2</v>
      </c>
    </row>
    <row r="176" spans="2:12" ht="15.75" customHeight="1">
      <c r="B176" s="175" t="s">
        <v>354</v>
      </c>
      <c r="C176" s="211">
        <f t="shared" ref="C176:L176" si="40">C21/C$63</f>
        <v>1.4817270982762826E-2</v>
      </c>
      <c r="D176" s="211">
        <f t="shared" si="40"/>
        <v>1.0064339335880912E-2</v>
      </c>
      <c r="E176" s="211">
        <f t="shared" si="40"/>
        <v>1.1677123929094292E-2</v>
      </c>
      <c r="F176" s="211">
        <f t="shared" si="40"/>
        <v>1.2248001776198935E-2</v>
      </c>
      <c r="G176" s="211">
        <f t="shared" si="40"/>
        <v>9.038953502908037E-3</v>
      </c>
      <c r="H176" s="212">
        <f t="shared" si="40"/>
        <v>8.5591366756314104E-3</v>
      </c>
      <c r="I176" s="212">
        <f t="shared" si="40"/>
        <v>9.0697973653442662E-3</v>
      </c>
      <c r="J176" s="212">
        <f t="shared" si="40"/>
        <v>8.9799470712463077E-3</v>
      </c>
      <c r="K176" s="212">
        <f t="shared" si="40"/>
        <v>9.0064006866568923E-3</v>
      </c>
      <c r="L176" s="212">
        <f t="shared" si="40"/>
        <v>8.1949247545149255E-3</v>
      </c>
    </row>
    <row r="177" spans="1:12" ht="15.75" customHeight="1">
      <c r="B177" s="175" t="s">
        <v>355</v>
      </c>
      <c r="C177" s="211">
        <f t="shared" ref="C177:L177" si="41">C22/C$63</f>
        <v>1.303959070650481E-2</v>
      </c>
      <c r="D177" s="211">
        <f t="shared" si="41"/>
        <v>1.0600372160664128E-2</v>
      </c>
      <c r="E177" s="211">
        <f t="shared" si="41"/>
        <v>1.700449496669058E-2</v>
      </c>
      <c r="F177" s="211">
        <f t="shared" si="41"/>
        <v>7.0841856597136524E-3</v>
      </c>
      <c r="G177" s="211">
        <f t="shared" si="41"/>
        <v>1.0101114974649574E-2</v>
      </c>
      <c r="H177" s="212">
        <f t="shared" si="41"/>
        <v>9.5649151880776544E-3</v>
      </c>
      <c r="I177" s="212">
        <f t="shared" si="41"/>
        <v>1.0135583279042374E-2</v>
      </c>
      <c r="J177" s="212">
        <f t="shared" si="41"/>
        <v>1.0035174736073595E-2</v>
      </c>
      <c r="K177" s="212">
        <f t="shared" si="41"/>
        <v>1.0064736898404833E-2</v>
      </c>
      <c r="L177" s="212">
        <f t="shared" si="41"/>
        <v>9.1579049640343503E-3</v>
      </c>
    </row>
    <row r="178" spans="1:12" ht="15.75" customHeight="1">
      <c r="B178" s="175" t="s">
        <v>356</v>
      </c>
      <c r="C178" s="211">
        <f t="shared" ref="C178:L178" si="42">C23/C$63</f>
        <v>4.3684645721598101E-6</v>
      </c>
      <c r="D178" s="211">
        <f t="shared" si="42"/>
        <v>6.5531084923844791E-5</v>
      </c>
      <c r="E178" s="211">
        <f t="shared" si="42"/>
        <v>6.9300694873492843E-5</v>
      </c>
      <c r="F178" s="211">
        <f t="shared" si="42"/>
        <v>1.0322852832707086E-4</v>
      </c>
      <c r="G178" s="211">
        <f t="shared" si="42"/>
        <v>6.6672166729238986E-4</v>
      </c>
      <c r="H178" s="212">
        <f t="shared" si="42"/>
        <v>6.3132992919196754E-4</v>
      </c>
      <c r="I178" s="212">
        <f t="shared" si="42"/>
        <v>6.689967394434528E-4</v>
      </c>
      <c r="J178" s="212">
        <f t="shared" si="42"/>
        <v>6.6236929768612673E-4</v>
      </c>
      <c r="K178" s="212">
        <f t="shared" si="42"/>
        <v>6.6432054110902774E-4</v>
      </c>
      <c r="L178" s="212">
        <f t="shared" si="42"/>
        <v>6.04465317130801E-4</v>
      </c>
    </row>
    <row r="179" spans="1:12" ht="15.75" customHeight="1">
      <c r="B179" s="175" t="s">
        <v>357</v>
      </c>
      <c r="C179" s="211">
        <f t="shared" ref="C179:L179" si="43">C24/C$63</f>
        <v>0</v>
      </c>
      <c r="D179" s="211">
        <f t="shared" si="43"/>
        <v>0</v>
      </c>
      <c r="E179" s="211">
        <f t="shared" si="43"/>
        <v>0</v>
      </c>
      <c r="F179" s="211">
        <f t="shared" si="43"/>
        <v>0</v>
      </c>
      <c r="G179" s="211">
        <f t="shared" si="43"/>
        <v>0</v>
      </c>
      <c r="H179" s="212">
        <f t="shared" si="43"/>
        <v>0</v>
      </c>
      <c r="I179" s="212">
        <f t="shared" si="43"/>
        <v>0</v>
      </c>
      <c r="J179" s="212">
        <f t="shared" si="43"/>
        <v>0</v>
      </c>
      <c r="K179" s="212">
        <f t="shared" si="43"/>
        <v>0</v>
      </c>
      <c r="L179" s="212">
        <f t="shared" si="43"/>
        <v>0</v>
      </c>
    </row>
    <row r="180" spans="1:12" ht="15.75" customHeight="1">
      <c r="B180" s="175" t="s">
        <v>358</v>
      </c>
      <c r="C180" s="211">
        <f t="shared" ref="C180:L180" si="44">C25/C$63</f>
        <v>0</v>
      </c>
      <c r="D180" s="211">
        <f t="shared" si="44"/>
        <v>0</v>
      </c>
      <c r="E180" s="211">
        <f t="shared" si="44"/>
        <v>0</v>
      </c>
      <c r="F180" s="211">
        <f t="shared" si="44"/>
        <v>0</v>
      </c>
      <c r="G180" s="211">
        <f t="shared" si="44"/>
        <v>0</v>
      </c>
      <c r="H180" s="212">
        <f t="shared" si="44"/>
        <v>0</v>
      </c>
      <c r="I180" s="212">
        <f t="shared" si="44"/>
        <v>0</v>
      </c>
      <c r="J180" s="212">
        <f t="shared" si="44"/>
        <v>0</v>
      </c>
      <c r="K180" s="212">
        <f t="shared" si="44"/>
        <v>0</v>
      </c>
      <c r="L180" s="212">
        <f t="shared" si="44"/>
        <v>0</v>
      </c>
    </row>
    <row r="181" spans="1:12" ht="15.75" customHeight="1">
      <c r="B181" s="171" t="s">
        <v>359</v>
      </c>
      <c r="C181" s="211">
        <f t="shared" ref="C181:L181" si="45">C26/C$63</f>
        <v>0.17350309610216322</v>
      </c>
      <c r="D181" s="211">
        <f t="shared" si="45"/>
        <v>0.16892279772181962</v>
      </c>
      <c r="E181" s="211">
        <f t="shared" si="45"/>
        <v>0.16054913368077425</v>
      </c>
      <c r="F181" s="211">
        <f t="shared" si="45"/>
        <v>0.1893000090374114</v>
      </c>
      <c r="G181" s="211">
        <f t="shared" si="45"/>
        <v>0.17493887955950446</v>
      </c>
      <c r="H181" s="212">
        <f t="shared" si="45"/>
        <v>0.17256239553531838</v>
      </c>
      <c r="I181" s="212">
        <f t="shared" si="45"/>
        <v>0.18989097958670956</v>
      </c>
      <c r="J181" s="212">
        <f t="shared" si="45"/>
        <v>0.20293181805464139</v>
      </c>
      <c r="K181" s="212">
        <f t="shared" si="45"/>
        <v>0.21468671748706716</v>
      </c>
      <c r="L181" s="212">
        <f t="shared" si="45"/>
        <v>0.20139307972140186</v>
      </c>
    </row>
    <row r="182" spans="1:12" ht="15.75" customHeight="1">
      <c r="B182" s="171" t="s">
        <v>360</v>
      </c>
      <c r="C182" s="211">
        <f t="shared" ref="C182:L182" si="46">C27/C$63</f>
        <v>1.0608577415777778E-2</v>
      </c>
      <c r="D182" s="211">
        <f t="shared" si="46"/>
        <v>1.1157445054333035E-2</v>
      </c>
      <c r="E182" s="211">
        <f t="shared" si="46"/>
        <v>8.9805970641838578E-3</v>
      </c>
      <c r="F182" s="211">
        <f t="shared" si="46"/>
        <v>9.5477926991619534E-3</v>
      </c>
      <c r="G182" s="211">
        <f t="shared" si="46"/>
        <v>7.6604484453235517E-3</v>
      </c>
      <c r="H182" s="212">
        <f t="shared" si="46"/>
        <v>5.8467313666830303E-3</v>
      </c>
      <c r="I182" s="212">
        <f t="shared" si="46"/>
        <v>5.0202677361595276E-3</v>
      </c>
      <c r="J182" s="212">
        <f t="shared" si="46"/>
        <v>4.373425371630193E-3</v>
      </c>
      <c r="K182" s="212">
        <f t="shared" si="46"/>
        <v>3.9257847797054043E-3</v>
      </c>
      <c r="L182" s="212">
        <f t="shared" si="46"/>
        <v>3.2185108819219091E-3</v>
      </c>
    </row>
    <row r="183" spans="1:12" ht="15.75" customHeight="1">
      <c r="B183" s="175" t="s">
        <v>361</v>
      </c>
      <c r="C183" s="211">
        <f t="shared" ref="C183:L183" si="47">C28/C$63</f>
        <v>0</v>
      </c>
      <c r="D183" s="211">
        <f t="shared" si="47"/>
        <v>0</v>
      </c>
      <c r="E183" s="211">
        <f t="shared" si="47"/>
        <v>0</v>
      </c>
      <c r="F183" s="211">
        <f t="shared" si="47"/>
        <v>0</v>
      </c>
      <c r="G183" s="211">
        <f t="shared" si="47"/>
        <v>0</v>
      </c>
      <c r="H183" s="212">
        <f t="shared" si="47"/>
        <v>0</v>
      </c>
      <c r="I183" s="212">
        <f t="shared" si="47"/>
        <v>0</v>
      </c>
      <c r="J183" s="212">
        <f t="shared" si="47"/>
        <v>0</v>
      </c>
      <c r="K183" s="212">
        <f t="shared" si="47"/>
        <v>0</v>
      </c>
      <c r="L183" s="212">
        <f t="shared" si="47"/>
        <v>0</v>
      </c>
    </row>
    <row r="184" spans="1:12" ht="15.75" customHeight="1">
      <c r="B184" s="175" t="s">
        <v>362</v>
      </c>
      <c r="C184" s="211">
        <f t="shared" ref="C184:L184" si="48">C29/C$63</f>
        <v>0</v>
      </c>
      <c r="D184" s="211">
        <f t="shared" si="48"/>
        <v>0</v>
      </c>
      <c r="E184" s="211">
        <f t="shared" si="48"/>
        <v>0</v>
      </c>
      <c r="F184" s="211">
        <f t="shared" si="48"/>
        <v>0</v>
      </c>
      <c r="G184" s="211">
        <f t="shared" si="48"/>
        <v>0</v>
      </c>
      <c r="H184" s="212">
        <f t="shared" si="48"/>
        <v>0</v>
      </c>
      <c r="I184" s="212">
        <f t="shared" si="48"/>
        <v>0</v>
      </c>
      <c r="J184" s="212">
        <f t="shared" si="48"/>
        <v>0</v>
      </c>
      <c r="K184" s="212">
        <f t="shared" si="48"/>
        <v>0</v>
      </c>
      <c r="L184" s="212">
        <f t="shared" si="48"/>
        <v>0</v>
      </c>
    </row>
    <row r="185" spans="1:12" ht="15.75" customHeight="1">
      <c r="B185" s="175" t="s">
        <v>363</v>
      </c>
      <c r="C185" s="211">
        <f t="shared" ref="C185:L185" si="49">C30/C$63</f>
        <v>0</v>
      </c>
      <c r="D185" s="211">
        <f t="shared" si="49"/>
        <v>0</v>
      </c>
      <c r="E185" s="211">
        <f t="shared" si="49"/>
        <v>0</v>
      </c>
      <c r="F185" s="211">
        <f t="shared" si="49"/>
        <v>0</v>
      </c>
      <c r="G185" s="211">
        <f t="shared" si="49"/>
        <v>0</v>
      </c>
      <c r="H185" s="212">
        <f t="shared" si="49"/>
        <v>0</v>
      </c>
      <c r="I185" s="212">
        <f t="shared" si="49"/>
        <v>0</v>
      </c>
      <c r="J185" s="212">
        <f t="shared" si="49"/>
        <v>0</v>
      </c>
      <c r="K185" s="212">
        <f t="shared" si="49"/>
        <v>0</v>
      </c>
      <c r="L185" s="212">
        <f t="shared" si="49"/>
        <v>0</v>
      </c>
    </row>
    <row r="186" spans="1:12" ht="15.75" customHeight="1">
      <c r="B186" s="175" t="s">
        <v>364</v>
      </c>
      <c r="C186" s="211">
        <f t="shared" ref="C186:L186" si="50">C31/C$63</f>
        <v>0</v>
      </c>
      <c r="D186" s="211">
        <f t="shared" si="50"/>
        <v>0</v>
      </c>
      <c r="E186" s="211">
        <f t="shared" si="50"/>
        <v>0</v>
      </c>
      <c r="F186" s="211">
        <f t="shared" si="50"/>
        <v>0</v>
      </c>
      <c r="G186" s="211">
        <f t="shared" si="50"/>
        <v>0</v>
      </c>
      <c r="H186" s="212">
        <f t="shared" si="50"/>
        <v>0</v>
      </c>
      <c r="I186" s="212">
        <f t="shared" si="50"/>
        <v>0</v>
      </c>
      <c r="J186" s="212">
        <f t="shared" si="50"/>
        <v>0</v>
      </c>
      <c r="K186" s="212">
        <f t="shared" si="50"/>
        <v>0</v>
      </c>
      <c r="L186" s="212">
        <f t="shared" si="50"/>
        <v>0</v>
      </c>
    </row>
    <row r="187" spans="1:12" ht="15.75" customHeight="1">
      <c r="B187" s="175" t="s">
        <v>365</v>
      </c>
      <c r="C187" s="211">
        <f t="shared" ref="C187:L187" si="51">C32/C$63</f>
        <v>0</v>
      </c>
      <c r="D187" s="211">
        <f t="shared" si="51"/>
        <v>0</v>
      </c>
      <c r="E187" s="211">
        <f t="shared" si="51"/>
        <v>0</v>
      </c>
      <c r="F187" s="211">
        <f t="shared" si="51"/>
        <v>0</v>
      </c>
      <c r="G187" s="211">
        <f t="shared" si="51"/>
        <v>0</v>
      </c>
      <c r="H187" s="212">
        <f t="shared" si="51"/>
        <v>0</v>
      </c>
      <c r="I187" s="212">
        <f t="shared" si="51"/>
        <v>0</v>
      </c>
      <c r="J187" s="212">
        <f t="shared" si="51"/>
        <v>0</v>
      </c>
      <c r="K187" s="212">
        <f t="shared" si="51"/>
        <v>0</v>
      </c>
      <c r="L187" s="212">
        <f t="shared" si="51"/>
        <v>0</v>
      </c>
    </row>
    <row r="188" spans="1:12" ht="15.75" customHeight="1">
      <c r="B188" s="175" t="s">
        <v>366</v>
      </c>
      <c r="C188" s="211">
        <f t="shared" ref="C188:L188" si="52">C33/C$63</f>
        <v>1.0608577415777778E-2</v>
      </c>
      <c r="D188" s="211">
        <f t="shared" si="52"/>
        <v>1.1157445054333035E-2</v>
      </c>
      <c r="E188" s="211">
        <f t="shared" si="52"/>
        <v>8.9805970641838578E-3</v>
      </c>
      <c r="F188" s="211">
        <f t="shared" si="52"/>
        <v>9.5477926991619534E-3</v>
      </c>
      <c r="G188" s="211">
        <f t="shared" si="52"/>
        <v>7.6604484453235517E-3</v>
      </c>
      <c r="H188" s="212">
        <f t="shared" si="52"/>
        <v>5.8467313666830303E-3</v>
      </c>
      <c r="I188" s="212">
        <f t="shared" si="52"/>
        <v>5.0202677361595276E-3</v>
      </c>
      <c r="J188" s="212">
        <f t="shared" si="52"/>
        <v>4.373425371630193E-3</v>
      </c>
      <c r="K188" s="212">
        <f t="shared" si="52"/>
        <v>3.9257847797054043E-3</v>
      </c>
      <c r="L188" s="212">
        <f t="shared" si="52"/>
        <v>3.2185108819219091E-3</v>
      </c>
    </row>
    <row r="189" spans="1:12" ht="15.75" customHeight="1">
      <c r="B189" s="175" t="s">
        <v>367</v>
      </c>
      <c r="C189" s="211">
        <f t="shared" ref="C189:L189" si="53">C34/C$63</f>
        <v>0</v>
      </c>
      <c r="D189" s="211">
        <f t="shared" si="53"/>
        <v>0</v>
      </c>
      <c r="E189" s="211">
        <f t="shared" si="53"/>
        <v>0</v>
      </c>
      <c r="F189" s="211">
        <f t="shared" si="53"/>
        <v>0</v>
      </c>
      <c r="G189" s="211">
        <f t="shared" si="53"/>
        <v>0</v>
      </c>
      <c r="H189" s="212">
        <f t="shared" si="53"/>
        <v>0</v>
      </c>
      <c r="I189" s="212">
        <f t="shared" si="53"/>
        <v>0</v>
      </c>
      <c r="J189" s="212">
        <f t="shared" si="53"/>
        <v>0</v>
      </c>
      <c r="K189" s="212">
        <f t="shared" si="53"/>
        <v>0</v>
      </c>
      <c r="L189" s="212">
        <f t="shared" si="53"/>
        <v>0</v>
      </c>
    </row>
    <row r="190" spans="1:12" ht="15.75" customHeight="1">
      <c r="A190" s="403"/>
      <c r="B190" s="180" t="s">
        <v>368</v>
      </c>
      <c r="C190" s="211">
        <f t="shared" ref="C190:L190" si="54">C35/C$63</f>
        <v>0.15176396452435206</v>
      </c>
      <c r="D190" s="211">
        <f t="shared" si="54"/>
        <v>0.11852232079462691</v>
      </c>
      <c r="E190" s="211">
        <f t="shared" si="54"/>
        <v>0.12956182571318797</v>
      </c>
      <c r="F190" s="211">
        <f t="shared" si="54"/>
        <v>0.15847973577737381</v>
      </c>
      <c r="G190" s="211">
        <f t="shared" si="54"/>
        <v>0.15319920098082362</v>
      </c>
      <c r="H190" s="212">
        <f t="shared" si="54"/>
        <v>0.15338232050739647</v>
      </c>
      <c r="I190" s="212">
        <f t="shared" si="54"/>
        <v>0.17214878023380534</v>
      </c>
      <c r="J190" s="212">
        <f t="shared" si="54"/>
        <v>0.18679161104689584</v>
      </c>
      <c r="K190" s="212">
        <f t="shared" si="54"/>
        <v>0.200394412568043</v>
      </c>
      <c r="L190" s="212">
        <f t="shared" si="54"/>
        <v>0.1892306198962995</v>
      </c>
    </row>
    <row r="191" spans="1:12" ht="15.75" customHeight="1">
      <c r="A191" s="403"/>
      <c r="B191" s="180" t="s">
        <v>369</v>
      </c>
      <c r="C191" s="211">
        <f t="shared" ref="C191:L191" si="55">C36/C$63</f>
        <v>0.15054545209493991</v>
      </c>
      <c r="D191" s="211">
        <f t="shared" si="55"/>
        <v>0.11751870559732505</v>
      </c>
      <c r="E191" s="211">
        <f t="shared" si="55"/>
        <v>0.12887855788092747</v>
      </c>
      <c r="F191" s="211">
        <f t="shared" si="55"/>
        <v>0.15787921716899611</v>
      </c>
      <c r="G191" s="211">
        <f t="shared" si="55"/>
        <v>0.15192538471049008</v>
      </c>
      <c r="H191" s="212">
        <f t="shared" si="55"/>
        <v>0.15246959068698276</v>
      </c>
      <c r="I191" s="212">
        <f t="shared" si="55"/>
        <v>0.17141793174793424</v>
      </c>
      <c r="J191" s="212">
        <f t="shared" si="55"/>
        <v>0.1862025314837723</v>
      </c>
      <c r="K191" s="212">
        <f t="shared" si="55"/>
        <v>0.19990974941313089</v>
      </c>
      <c r="L191" s="212">
        <f t="shared" si="55"/>
        <v>0.18886898733647667</v>
      </c>
    </row>
    <row r="192" spans="1:12" ht="15.75" customHeight="1">
      <c r="A192" s="403"/>
      <c r="B192" s="30" t="s">
        <v>370</v>
      </c>
      <c r="C192" s="211">
        <f t="shared" ref="C192:L192" si="56">C37/C$63</f>
        <v>0.21175003310963145</v>
      </c>
      <c r="D192" s="211">
        <f t="shared" si="56"/>
        <v>0.20582522238440731</v>
      </c>
      <c r="E192" s="211">
        <f t="shared" si="56"/>
        <v>0.21934485116924124</v>
      </c>
      <c r="F192" s="211">
        <f t="shared" si="56"/>
        <v>0.2816220632757836</v>
      </c>
      <c r="G192" s="211">
        <f t="shared" si="56"/>
        <v>0.28563897942451494</v>
      </c>
      <c r="H192" s="212">
        <f t="shared" si="56"/>
        <v>0.29398595862354637</v>
      </c>
      <c r="I192" s="212">
        <f t="shared" si="56"/>
        <v>0.3343341393290063</v>
      </c>
      <c r="J192" s="212">
        <f t="shared" si="56"/>
        <v>0.37280841395631259</v>
      </c>
      <c r="K192" s="212">
        <f t="shared" si="56"/>
        <v>0.41675842965351928</v>
      </c>
      <c r="L192" s="212">
        <f t="shared" si="56"/>
        <v>0.41585485865009031</v>
      </c>
    </row>
    <row r="193" spans="1:12" ht="15.75" customHeight="1">
      <c r="A193" s="403"/>
      <c r="B193" s="30" t="s">
        <v>371</v>
      </c>
      <c r="C193" s="211">
        <f t="shared" ref="C193:L193" si="57">C38/C$63</f>
        <v>-6.1204581014691534E-2</v>
      </c>
      <c r="D193" s="211">
        <f t="shared" si="57"/>
        <v>-8.8306516787082262E-2</v>
      </c>
      <c r="E193" s="211">
        <f t="shared" si="57"/>
        <v>-9.0466293288313765E-2</v>
      </c>
      <c r="F193" s="211">
        <f t="shared" si="57"/>
        <v>-0.12374284610678743</v>
      </c>
      <c r="G193" s="211">
        <f t="shared" si="57"/>
        <v>-0.13371359471402489</v>
      </c>
      <c r="H193" s="212">
        <f t="shared" si="57"/>
        <v>-0.14151636793656364</v>
      </c>
      <c r="I193" s="212">
        <f t="shared" si="57"/>
        <v>-0.16291620758107206</v>
      </c>
      <c r="J193" s="212">
        <f t="shared" si="57"/>
        <v>-0.18660588247254029</v>
      </c>
      <c r="K193" s="212">
        <f t="shared" si="57"/>
        <v>-0.21684868024038836</v>
      </c>
      <c r="L193" s="212">
        <f t="shared" si="57"/>
        <v>-0.22698587131361367</v>
      </c>
    </row>
    <row r="194" spans="1:12" ht="15.75" customHeight="1">
      <c r="A194" s="403"/>
      <c r="B194" s="30" t="s">
        <v>372</v>
      </c>
      <c r="C194" s="211">
        <f t="shared" ref="C194:L194" si="58">C39/C$63</f>
        <v>0</v>
      </c>
      <c r="D194" s="211">
        <f t="shared" si="58"/>
        <v>0</v>
      </c>
      <c r="E194" s="211">
        <f t="shared" si="58"/>
        <v>0</v>
      </c>
      <c r="F194" s="211">
        <f t="shared" si="58"/>
        <v>0</v>
      </c>
      <c r="G194" s="211">
        <f t="shared" si="58"/>
        <v>0</v>
      </c>
      <c r="H194" s="212">
        <f t="shared" si="58"/>
        <v>0</v>
      </c>
      <c r="I194" s="212">
        <f t="shared" si="58"/>
        <v>0</v>
      </c>
      <c r="J194" s="212">
        <f t="shared" si="58"/>
        <v>0</v>
      </c>
      <c r="K194" s="212">
        <f t="shared" si="58"/>
        <v>0</v>
      </c>
      <c r="L194" s="212">
        <f t="shared" si="58"/>
        <v>0</v>
      </c>
    </row>
    <row r="195" spans="1:12" ht="15.75" customHeight="1">
      <c r="A195" s="403"/>
      <c r="B195" s="30" t="s">
        <v>370</v>
      </c>
      <c r="C195" s="211">
        <f t="shared" ref="C195:L195" si="59">C40/C$63</f>
        <v>0</v>
      </c>
      <c r="D195" s="211">
        <f t="shared" si="59"/>
        <v>0</v>
      </c>
      <c r="E195" s="211">
        <f t="shared" si="59"/>
        <v>0</v>
      </c>
      <c r="F195" s="211">
        <f t="shared" si="59"/>
        <v>0</v>
      </c>
      <c r="G195" s="211">
        <f t="shared" si="59"/>
        <v>0</v>
      </c>
      <c r="H195" s="212">
        <f t="shared" si="59"/>
        <v>0</v>
      </c>
      <c r="I195" s="212">
        <f t="shared" si="59"/>
        <v>0</v>
      </c>
      <c r="J195" s="212">
        <f t="shared" si="59"/>
        <v>0</v>
      </c>
      <c r="K195" s="212">
        <f t="shared" si="59"/>
        <v>0</v>
      </c>
      <c r="L195" s="212">
        <f t="shared" si="59"/>
        <v>0</v>
      </c>
    </row>
    <row r="196" spans="1:12" ht="15.75" customHeight="1">
      <c r="A196" s="403"/>
      <c r="B196" s="30" t="s">
        <v>371</v>
      </c>
      <c r="C196" s="211">
        <f t="shared" ref="C196:L196" si="60">C41/C$63</f>
        <v>0</v>
      </c>
      <c r="D196" s="211">
        <f t="shared" si="60"/>
        <v>0</v>
      </c>
      <c r="E196" s="211">
        <f t="shared" si="60"/>
        <v>0</v>
      </c>
      <c r="F196" s="211">
        <f t="shared" si="60"/>
        <v>0</v>
      </c>
      <c r="G196" s="211">
        <f t="shared" si="60"/>
        <v>0</v>
      </c>
      <c r="H196" s="212">
        <f t="shared" si="60"/>
        <v>0</v>
      </c>
      <c r="I196" s="212">
        <f t="shared" si="60"/>
        <v>0</v>
      </c>
      <c r="J196" s="212">
        <f t="shared" si="60"/>
        <v>0</v>
      </c>
      <c r="K196" s="212">
        <f t="shared" si="60"/>
        <v>0</v>
      </c>
      <c r="L196" s="212">
        <f t="shared" si="60"/>
        <v>0</v>
      </c>
    </row>
    <row r="197" spans="1:12" ht="15.75" customHeight="1">
      <c r="A197" s="403"/>
      <c r="B197" s="180" t="s">
        <v>373</v>
      </c>
      <c r="C197" s="211">
        <f t="shared" ref="C197:L197" si="61">C42/C$63</f>
        <v>1.2185124294121631E-3</v>
      </c>
      <c r="D197" s="211">
        <f t="shared" si="61"/>
        <v>1.0036116414342002E-3</v>
      </c>
      <c r="E197" s="211">
        <f t="shared" si="61"/>
        <v>6.83267832260526E-4</v>
      </c>
      <c r="F197" s="211">
        <f t="shared" si="61"/>
        <v>6.0051860837768045E-4</v>
      </c>
      <c r="G197" s="211">
        <f t="shared" si="61"/>
        <v>1.2738146823111686E-3</v>
      </c>
      <c r="H197" s="212">
        <f t="shared" si="61"/>
        <v>9.1272982041371584E-4</v>
      </c>
      <c r="I197" s="212">
        <f t="shared" si="61"/>
        <v>7.3084848587110234E-4</v>
      </c>
      <c r="J197" s="212">
        <f t="shared" si="61"/>
        <v>5.8907956312356834E-4</v>
      </c>
      <c r="K197" s="212">
        <f t="shared" si="61"/>
        <v>4.846631549121058E-4</v>
      </c>
      <c r="L197" s="212">
        <f t="shared" si="61"/>
        <v>3.616325598228147E-4</v>
      </c>
    </row>
    <row r="198" spans="1:12" ht="15.75" customHeight="1">
      <c r="A198" s="403"/>
      <c r="B198" s="30" t="s">
        <v>370</v>
      </c>
      <c r="C198" s="211">
        <f t="shared" ref="C198:L198" si="62">C43/C$63</f>
        <v>1.4362696533912987E-3</v>
      </c>
      <c r="D198" s="211">
        <f t="shared" si="62"/>
        <v>1.2032487189142273E-3</v>
      </c>
      <c r="E198" s="211">
        <f t="shared" si="62"/>
        <v>8.3562194778229561E-4</v>
      </c>
      <c r="F198" s="211">
        <f t="shared" si="62"/>
        <v>7.7799077488850958E-4</v>
      </c>
      <c r="G198" s="211">
        <f t="shared" si="62"/>
        <v>1.433949270891921E-3</v>
      </c>
      <c r="H198" s="212">
        <f t="shared" si="62"/>
        <v>1.1060702305849025E-3</v>
      </c>
      <c r="I198" s="212">
        <f t="shared" si="62"/>
        <v>9.5970643977586693E-4</v>
      </c>
      <c r="J198" s="212">
        <f t="shared" si="62"/>
        <v>8.4475001187218695E-4</v>
      </c>
      <c r="K198" s="212">
        <f t="shared" si="62"/>
        <v>7.6609368649107408E-4</v>
      </c>
      <c r="L198" s="212">
        <f t="shared" si="62"/>
        <v>6.3447450443373827E-4</v>
      </c>
    </row>
    <row r="199" spans="1:12" ht="15.75" customHeight="1">
      <c r="A199" s="403"/>
      <c r="B199" s="30" t="s">
        <v>371</v>
      </c>
      <c r="C199" s="211">
        <f t="shared" ref="C199:L199" si="63">C44/C$63</f>
        <v>-2.1775722397913562E-4</v>
      </c>
      <c r="D199" s="211">
        <f t="shared" si="63"/>
        <v>-1.9963707748002702E-4</v>
      </c>
      <c r="E199" s="211">
        <f t="shared" si="63"/>
        <v>-1.5235411552176961E-4</v>
      </c>
      <c r="F199" s="211">
        <f t="shared" si="63"/>
        <v>-1.7747433896549448E-4</v>
      </c>
      <c r="G199" s="211">
        <f t="shared" si="63"/>
        <v>-1.6013300055837406E-4</v>
      </c>
      <c r="H199" s="212">
        <f t="shared" si="63"/>
        <v>-1.9334041017118672E-4</v>
      </c>
      <c r="I199" s="212">
        <f t="shared" si="63"/>
        <v>-2.2885795390476459E-4</v>
      </c>
      <c r="J199" s="212">
        <f t="shared" si="63"/>
        <v>-2.5567044874861866E-4</v>
      </c>
      <c r="K199" s="212">
        <f t="shared" si="63"/>
        <v>-2.8143053157896823E-4</v>
      </c>
      <c r="L199" s="212">
        <f t="shared" si="63"/>
        <v>-2.7284194461092356E-4</v>
      </c>
    </row>
    <row r="200" spans="1:12" ht="15.75" customHeight="1">
      <c r="A200" s="403"/>
      <c r="B200" s="30" t="s">
        <v>374</v>
      </c>
      <c r="C200" s="211">
        <f t="shared" ref="C200:L200" si="64">C45/C$63</f>
        <v>0</v>
      </c>
      <c r="D200" s="211">
        <f t="shared" si="64"/>
        <v>0</v>
      </c>
      <c r="E200" s="211">
        <f t="shared" si="64"/>
        <v>0</v>
      </c>
      <c r="F200" s="211">
        <f t="shared" si="64"/>
        <v>0</v>
      </c>
      <c r="G200" s="211">
        <f t="shared" si="64"/>
        <v>0</v>
      </c>
      <c r="H200" s="212">
        <f t="shared" si="64"/>
        <v>0</v>
      </c>
      <c r="I200" s="212">
        <f t="shared" si="64"/>
        <v>0</v>
      </c>
      <c r="J200" s="212">
        <f t="shared" si="64"/>
        <v>0</v>
      </c>
      <c r="K200" s="212">
        <f t="shared" si="64"/>
        <v>0</v>
      </c>
      <c r="L200" s="212">
        <f t="shared" si="64"/>
        <v>0</v>
      </c>
    </row>
    <row r="201" spans="1:12" ht="15.75" customHeight="1">
      <c r="A201" s="403"/>
      <c r="B201" s="30" t="s">
        <v>375</v>
      </c>
      <c r="C201" s="211">
        <f t="shared" ref="C201:L201" si="65">C46/C$63</f>
        <v>0</v>
      </c>
      <c r="D201" s="211">
        <f t="shared" si="65"/>
        <v>0</v>
      </c>
      <c r="E201" s="211">
        <f t="shared" si="65"/>
        <v>0</v>
      </c>
      <c r="F201" s="211">
        <f t="shared" si="65"/>
        <v>0</v>
      </c>
      <c r="G201" s="211">
        <f t="shared" si="65"/>
        <v>0</v>
      </c>
      <c r="H201" s="212">
        <f t="shared" si="65"/>
        <v>0</v>
      </c>
      <c r="I201" s="212">
        <f t="shared" si="65"/>
        <v>0</v>
      </c>
      <c r="J201" s="212">
        <f t="shared" si="65"/>
        <v>0</v>
      </c>
      <c r="K201" s="212">
        <f t="shared" si="65"/>
        <v>0</v>
      </c>
      <c r="L201" s="212">
        <f t="shared" si="65"/>
        <v>0</v>
      </c>
    </row>
    <row r="202" spans="1:12" ht="15.75" customHeight="1">
      <c r="A202" s="403"/>
      <c r="B202" s="30" t="s">
        <v>376</v>
      </c>
      <c r="C202" s="211">
        <f t="shared" ref="C202:L202" si="66">C47/C$63</f>
        <v>0</v>
      </c>
      <c r="D202" s="211">
        <f t="shared" si="66"/>
        <v>0</v>
      </c>
      <c r="E202" s="211">
        <f t="shared" si="66"/>
        <v>0</v>
      </c>
      <c r="F202" s="211">
        <f t="shared" si="66"/>
        <v>0</v>
      </c>
      <c r="G202" s="211">
        <f t="shared" si="66"/>
        <v>0</v>
      </c>
      <c r="H202" s="212">
        <f t="shared" si="66"/>
        <v>0</v>
      </c>
      <c r="I202" s="212">
        <f t="shared" si="66"/>
        <v>0</v>
      </c>
      <c r="J202" s="212">
        <f t="shared" si="66"/>
        <v>0</v>
      </c>
      <c r="K202" s="212">
        <f t="shared" si="66"/>
        <v>0</v>
      </c>
      <c r="L202" s="212">
        <f t="shared" si="66"/>
        <v>0</v>
      </c>
    </row>
    <row r="203" spans="1:12" ht="15.75" customHeight="1">
      <c r="A203" s="403"/>
      <c r="B203" s="180" t="s">
        <v>377</v>
      </c>
      <c r="C203" s="211">
        <f t="shared" ref="C203:L203" si="67">C48/C$63</f>
        <v>1.553604771523563E-3</v>
      </c>
      <c r="D203" s="211">
        <f t="shared" si="67"/>
        <v>9.1326060031259992E-3</v>
      </c>
      <c r="E203" s="211">
        <f t="shared" si="67"/>
        <v>2.0962453200482384E-3</v>
      </c>
      <c r="F203" s="211">
        <f t="shared" si="67"/>
        <v>2.8811180668281812E-3</v>
      </c>
      <c r="G203" s="211">
        <f t="shared" si="67"/>
        <v>1.2656204868404016E-3</v>
      </c>
      <c r="H203" s="212">
        <f t="shared" si="67"/>
        <v>3.0003995649090639E-3</v>
      </c>
      <c r="I203" s="212">
        <f t="shared" si="67"/>
        <v>3.1731293140494338E-3</v>
      </c>
      <c r="J203" s="212">
        <f t="shared" si="67"/>
        <v>3.1515068227266777E-3</v>
      </c>
      <c r="K203" s="212">
        <f t="shared" si="67"/>
        <v>2.3783930844893881E-3</v>
      </c>
      <c r="L203" s="212">
        <f t="shared" si="67"/>
        <v>2.1669062282106853E-3</v>
      </c>
    </row>
    <row r="204" spans="1:12" ht="15.75" customHeight="1">
      <c r="A204" s="403"/>
      <c r="B204" s="30" t="s">
        <v>378</v>
      </c>
      <c r="C204" s="211">
        <f t="shared" ref="C204:L204" si="68">C49/C$63</f>
        <v>0</v>
      </c>
      <c r="D204" s="211">
        <f t="shared" si="68"/>
        <v>0</v>
      </c>
      <c r="E204" s="211">
        <f t="shared" si="68"/>
        <v>0</v>
      </c>
      <c r="F204" s="211">
        <f t="shared" si="68"/>
        <v>0</v>
      </c>
      <c r="G204" s="211">
        <f t="shared" si="68"/>
        <v>0</v>
      </c>
      <c r="H204" s="212">
        <f t="shared" si="68"/>
        <v>0</v>
      </c>
      <c r="I204" s="212">
        <f t="shared" si="68"/>
        <v>0</v>
      </c>
      <c r="J204" s="212">
        <f t="shared" si="68"/>
        <v>0</v>
      </c>
      <c r="K204" s="212">
        <f t="shared" si="68"/>
        <v>0</v>
      </c>
      <c r="L204" s="212">
        <f t="shared" si="68"/>
        <v>0</v>
      </c>
    </row>
    <row r="205" spans="1:12" ht="15.75" customHeight="1">
      <c r="A205" s="403"/>
      <c r="B205" s="30" t="s">
        <v>379</v>
      </c>
      <c r="C205" s="211">
        <f t="shared" ref="C205:L205" si="69">C50/C$63</f>
        <v>1.553604771523563E-3</v>
      </c>
      <c r="D205" s="211">
        <f t="shared" si="69"/>
        <v>9.1326060031259992E-3</v>
      </c>
      <c r="E205" s="211">
        <f t="shared" si="69"/>
        <v>2.0962453200482384E-3</v>
      </c>
      <c r="F205" s="211">
        <f t="shared" si="69"/>
        <v>2.8811180668281812E-3</v>
      </c>
      <c r="G205" s="211">
        <f t="shared" si="69"/>
        <v>1.2656204868404016E-3</v>
      </c>
      <c r="H205" s="212">
        <f t="shared" si="69"/>
        <v>3.0003995649090639E-3</v>
      </c>
      <c r="I205" s="212">
        <f t="shared" si="69"/>
        <v>3.1731293140494338E-3</v>
      </c>
      <c r="J205" s="212">
        <f t="shared" si="69"/>
        <v>3.1515068227266777E-3</v>
      </c>
      <c r="K205" s="212">
        <f t="shared" si="69"/>
        <v>2.3783930844893881E-3</v>
      </c>
      <c r="L205" s="212">
        <f t="shared" si="69"/>
        <v>2.1669062282106853E-3</v>
      </c>
    </row>
    <row r="206" spans="1:12" ht="15.75" customHeight="1">
      <c r="B206" s="171" t="s">
        <v>380</v>
      </c>
      <c r="C206" s="211">
        <f t="shared" ref="C206:L206" si="70">C51/C$63</f>
        <v>0</v>
      </c>
      <c r="D206" s="211">
        <f t="shared" si="70"/>
        <v>2.1313088403865778E-3</v>
      </c>
      <c r="E206" s="211">
        <f t="shared" si="70"/>
        <v>1.3538019255758154E-3</v>
      </c>
      <c r="F206" s="211">
        <f t="shared" si="70"/>
        <v>1.1461327700013557E-3</v>
      </c>
      <c r="G206" s="211">
        <f t="shared" si="70"/>
        <v>0</v>
      </c>
      <c r="H206" s="212">
        <f t="shared" si="70"/>
        <v>0</v>
      </c>
      <c r="I206" s="212">
        <f t="shared" si="70"/>
        <v>0</v>
      </c>
      <c r="J206" s="212">
        <f t="shared" si="70"/>
        <v>0</v>
      </c>
      <c r="K206" s="212">
        <f t="shared" si="70"/>
        <v>0</v>
      </c>
      <c r="L206" s="212">
        <f t="shared" si="70"/>
        <v>0</v>
      </c>
    </row>
    <row r="207" spans="1:12" ht="15.75" customHeight="1">
      <c r="B207" s="175" t="s">
        <v>381</v>
      </c>
      <c r="C207" s="211">
        <f t="shared" ref="C207:L207" si="71">C52/C$63</f>
        <v>0</v>
      </c>
      <c r="D207" s="211">
        <f t="shared" si="71"/>
        <v>0</v>
      </c>
      <c r="E207" s="211">
        <f t="shared" si="71"/>
        <v>0</v>
      </c>
      <c r="F207" s="211">
        <f t="shared" si="71"/>
        <v>0</v>
      </c>
      <c r="G207" s="211">
        <f t="shared" si="71"/>
        <v>0</v>
      </c>
      <c r="H207" s="212">
        <f t="shared" si="71"/>
        <v>0</v>
      </c>
      <c r="I207" s="212">
        <f t="shared" si="71"/>
        <v>0</v>
      </c>
      <c r="J207" s="212">
        <f t="shared" si="71"/>
        <v>0</v>
      </c>
      <c r="K207" s="212">
        <f t="shared" si="71"/>
        <v>0</v>
      </c>
      <c r="L207" s="212">
        <f t="shared" si="71"/>
        <v>0</v>
      </c>
    </row>
    <row r="208" spans="1:12" ht="15.75" customHeight="1">
      <c r="B208" s="175" t="s">
        <v>382</v>
      </c>
      <c r="C208" s="211">
        <f t="shared" ref="C208:L208" si="72">C53/C$63</f>
        <v>0</v>
      </c>
      <c r="D208" s="211">
        <f t="shared" si="72"/>
        <v>2.1313088403865778E-3</v>
      </c>
      <c r="E208" s="211">
        <f t="shared" si="72"/>
        <v>1.3538019255758154E-3</v>
      </c>
      <c r="F208" s="211">
        <f t="shared" si="72"/>
        <v>1.1461327700013557E-3</v>
      </c>
      <c r="G208" s="211">
        <f t="shared" si="72"/>
        <v>0</v>
      </c>
      <c r="H208" s="212">
        <f t="shared" si="72"/>
        <v>0</v>
      </c>
      <c r="I208" s="212">
        <f t="shared" si="72"/>
        <v>0</v>
      </c>
      <c r="J208" s="212">
        <f t="shared" si="72"/>
        <v>0</v>
      </c>
      <c r="K208" s="212">
        <f t="shared" si="72"/>
        <v>0</v>
      </c>
      <c r="L208" s="212">
        <f t="shared" si="72"/>
        <v>0</v>
      </c>
    </row>
    <row r="209" spans="2:12" ht="15.75" customHeight="1">
      <c r="B209" s="175" t="s">
        <v>383</v>
      </c>
      <c r="C209" s="211">
        <f t="shared" ref="C209:L209" si="73">C54/C$63</f>
        <v>0</v>
      </c>
      <c r="D209" s="211">
        <f t="shared" si="73"/>
        <v>0</v>
      </c>
      <c r="E209" s="211">
        <f t="shared" si="73"/>
        <v>0</v>
      </c>
      <c r="F209" s="211">
        <f t="shared" si="73"/>
        <v>0</v>
      </c>
      <c r="G209" s="211">
        <f t="shared" si="73"/>
        <v>0</v>
      </c>
      <c r="H209" s="212">
        <f t="shared" si="73"/>
        <v>0</v>
      </c>
      <c r="I209" s="212">
        <f t="shared" si="73"/>
        <v>0</v>
      </c>
      <c r="J209" s="212">
        <f t="shared" si="73"/>
        <v>0</v>
      </c>
      <c r="K209" s="212">
        <f t="shared" si="73"/>
        <v>0</v>
      </c>
      <c r="L209" s="212">
        <f t="shared" si="73"/>
        <v>0</v>
      </c>
    </row>
    <row r="210" spans="2:12" ht="15.75" customHeight="1">
      <c r="B210" s="175" t="s">
        <v>384</v>
      </c>
      <c r="C210" s="211">
        <f t="shared" ref="C210:L210" si="74">C55/C$63</f>
        <v>0</v>
      </c>
      <c r="D210" s="211">
        <f t="shared" si="74"/>
        <v>0</v>
      </c>
      <c r="E210" s="211">
        <f t="shared" si="74"/>
        <v>0</v>
      </c>
      <c r="F210" s="211">
        <f t="shared" si="74"/>
        <v>0</v>
      </c>
      <c r="G210" s="211">
        <f t="shared" si="74"/>
        <v>0</v>
      </c>
      <c r="H210" s="212">
        <f t="shared" si="74"/>
        <v>0</v>
      </c>
      <c r="I210" s="212">
        <f t="shared" si="74"/>
        <v>0</v>
      </c>
      <c r="J210" s="212">
        <f t="shared" si="74"/>
        <v>0</v>
      </c>
      <c r="K210" s="212">
        <f t="shared" si="74"/>
        <v>0</v>
      </c>
      <c r="L210" s="212">
        <f t="shared" si="74"/>
        <v>0</v>
      </c>
    </row>
    <row r="211" spans="2:12" ht="15.75" customHeight="1">
      <c r="B211" s="175" t="s">
        <v>385</v>
      </c>
      <c r="C211" s="211">
        <f t="shared" ref="C211:L211" si="75">C56/C$63</f>
        <v>0</v>
      </c>
      <c r="D211" s="211">
        <f t="shared" si="75"/>
        <v>0</v>
      </c>
      <c r="E211" s="211">
        <f t="shared" si="75"/>
        <v>0</v>
      </c>
      <c r="F211" s="211">
        <f t="shared" si="75"/>
        <v>0</v>
      </c>
      <c r="G211" s="211">
        <f t="shared" si="75"/>
        <v>0</v>
      </c>
      <c r="H211" s="212">
        <f t="shared" si="75"/>
        <v>0</v>
      </c>
      <c r="I211" s="212">
        <f t="shared" si="75"/>
        <v>0</v>
      </c>
      <c r="J211" s="212">
        <f t="shared" si="75"/>
        <v>0</v>
      </c>
      <c r="K211" s="212">
        <f t="shared" si="75"/>
        <v>0</v>
      </c>
      <c r="L211" s="212">
        <f t="shared" si="75"/>
        <v>0</v>
      </c>
    </row>
    <row r="212" spans="2:12" ht="15.75" customHeight="1">
      <c r="B212" s="171" t="s">
        <v>386</v>
      </c>
      <c r="C212" s="211">
        <f t="shared" ref="C212:L212" si="76">C57/C$63</f>
        <v>9.576949390509808E-3</v>
      </c>
      <c r="D212" s="211">
        <f t="shared" si="76"/>
        <v>2.7979120585214741E-2</v>
      </c>
      <c r="E212" s="211">
        <f t="shared" si="76"/>
        <v>1.8556663657778381E-2</v>
      </c>
      <c r="F212" s="211">
        <f t="shared" si="76"/>
        <v>1.7245231896500783E-2</v>
      </c>
      <c r="G212" s="211">
        <f t="shared" si="76"/>
        <v>1.2813611234539269E-2</v>
      </c>
      <c r="H212" s="212">
        <f t="shared" si="76"/>
        <v>1.0332944096329818E-2</v>
      </c>
      <c r="I212" s="212">
        <f t="shared" si="76"/>
        <v>9.5488023026952321E-3</v>
      </c>
      <c r="J212" s="212">
        <f t="shared" si="76"/>
        <v>8.6152748133886542E-3</v>
      </c>
      <c r="K212" s="212">
        <f t="shared" si="76"/>
        <v>7.9881270548293869E-3</v>
      </c>
      <c r="L212" s="212">
        <f t="shared" si="76"/>
        <v>6.7770427149697861E-3</v>
      </c>
    </row>
    <row r="213" spans="2:12" ht="15.75" customHeight="1">
      <c r="B213" s="175" t="s">
        <v>387</v>
      </c>
      <c r="C213" s="211">
        <f t="shared" ref="C213:L213" si="77">C58/C$63</f>
        <v>4.2808805818559956E-3</v>
      </c>
      <c r="D213" s="211">
        <f t="shared" si="77"/>
        <v>3.0142414455114046E-3</v>
      </c>
      <c r="E213" s="211">
        <f t="shared" si="77"/>
        <v>2.4942280090444312E-3</v>
      </c>
      <c r="F213" s="211">
        <f t="shared" si="77"/>
        <v>1.6667115640630812E-3</v>
      </c>
      <c r="G213" s="211">
        <f t="shared" si="77"/>
        <v>1.4033576078010569E-3</v>
      </c>
      <c r="H213" s="212">
        <f t="shared" si="77"/>
        <v>1.3325007750776823E-3</v>
      </c>
      <c r="I213" s="212">
        <f t="shared" si="77"/>
        <v>1.4092113996559432E-3</v>
      </c>
      <c r="J213" s="212">
        <f t="shared" si="77"/>
        <v>1.399608683143232E-3</v>
      </c>
      <c r="K213" s="212">
        <f t="shared" si="77"/>
        <v>1.4083504813100056E-3</v>
      </c>
      <c r="L213" s="212">
        <f t="shared" si="77"/>
        <v>1.2831198717134446E-3</v>
      </c>
    </row>
    <row r="214" spans="2:12" ht="15.75" customHeight="1">
      <c r="B214" s="175" t="s">
        <v>388</v>
      </c>
      <c r="C214" s="211">
        <f t="shared" ref="C214:L214" si="78">C59/C$63</f>
        <v>5.2960731902632124E-3</v>
      </c>
      <c r="D214" s="211">
        <f t="shared" si="78"/>
        <v>5.3177538444574238E-3</v>
      </c>
      <c r="E214" s="211">
        <f t="shared" si="78"/>
        <v>4.286906363298224E-3</v>
      </c>
      <c r="F214" s="211">
        <f t="shared" si="78"/>
        <v>6.2425441355889785E-3</v>
      </c>
      <c r="G214" s="211">
        <f t="shared" si="78"/>
        <v>5.5607525528793668E-3</v>
      </c>
      <c r="H214" s="212">
        <f t="shared" si="78"/>
        <v>5.2799849771273501E-3</v>
      </c>
      <c r="I214" s="212">
        <f t="shared" si="78"/>
        <v>5.5839479863313488E-3</v>
      </c>
      <c r="J214" s="212">
        <f t="shared" si="78"/>
        <v>5.5458975777499565E-3</v>
      </c>
      <c r="K214" s="212">
        <f t="shared" si="78"/>
        <v>5.5805366292664207E-3</v>
      </c>
      <c r="L214" s="212">
        <f t="shared" si="78"/>
        <v>5.0843149761812326E-3</v>
      </c>
    </row>
    <row r="215" spans="2:12" ht="15.75" customHeight="1">
      <c r="B215" s="175" t="s">
        <v>389</v>
      </c>
      <c r="C215" s="211">
        <f t="shared" ref="C215:L215" si="79">C60/C$63</f>
        <v>0</v>
      </c>
      <c r="D215" s="211">
        <f t="shared" si="79"/>
        <v>0</v>
      </c>
      <c r="E215" s="211">
        <f t="shared" si="79"/>
        <v>0</v>
      </c>
      <c r="F215" s="211">
        <f t="shared" si="79"/>
        <v>0</v>
      </c>
      <c r="G215" s="211">
        <f t="shared" si="79"/>
        <v>0</v>
      </c>
      <c r="H215" s="212">
        <f t="shared" si="79"/>
        <v>0</v>
      </c>
      <c r="I215" s="212">
        <f t="shared" si="79"/>
        <v>0</v>
      </c>
      <c r="J215" s="212">
        <f t="shared" si="79"/>
        <v>0</v>
      </c>
      <c r="K215" s="212">
        <f t="shared" si="79"/>
        <v>0</v>
      </c>
      <c r="L215" s="212">
        <f t="shared" si="79"/>
        <v>0</v>
      </c>
    </row>
    <row r="216" spans="2:12" ht="15.75" customHeight="1">
      <c r="B216" s="175" t="s">
        <v>390</v>
      </c>
      <c r="C216" s="211">
        <f t="shared" ref="C216:L216" si="80">C61/C$63</f>
        <v>0</v>
      </c>
      <c r="D216" s="211">
        <f t="shared" si="80"/>
        <v>0</v>
      </c>
      <c r="E216" s="211">
        <f t="shared" si="80"/>
        <v>0</v>
      </c>
      <c r="F216" s="211">
        <f t="shared" si="80"/>
        <v>0</v>
      </c>
      <c r="G216" s="211">
        <f t="shared" si="80"/>
        <v>0</v>
      </c>
      <c r="H216" s="212">
        <f t="shared" si="80"/>
        <v>0</v>
      </c>
      <c r="I216" s="212">
        <f t="shared" si="80"/>
        <v>0</v>
      </c>
      <c r="J216" s="212">
        <f t="shared" si="80"/>
        <v>0</v>
      </c>
      <c r="K216" s="212">
        <f t="shared" si="80"/>
        <v>0</v>
      </c>
      <c r="L216" s="212">
        <f t="shared" si="80"/>
        <v>0</v>
      </c>
    </row>
    <row r="217" spans="2:12" ht="15.75" customHeight="1">
      <c r="B217" s="175" t="s">
        <v>391</v>
      </c>
      <c r="C217" s="211">
        <f t="shared" ref="C217:L217" si="81">C62/C$63</f>
        <v>0</v>
      </c>
      <c r="D217" s="211">
        <f t="shared" si="81"/>
        <v>1.9647121739378264E-2</v>
      </c>
      <c r="E217" s="211">
        <f t="shared" si="81"/>
        <v>1.1775531683051794E-2</v>
      </c>
      <c r="F217" s="211">
        <f t="shared" si="81"/>
        <v>9.3359740243940583E-3</v>
      </c>
      <c r="G217" s="211">
        <f t="shared" si="81"/>
        <v>5.8494994858364667E-3</v>
      </c>
      <c r="H217" s="212">
        <f t="shared" si="81"/>
        <v>3.7204583441247854E-3</v>
      </c>
      <c r="I217" s="212">
        <f t="shared" si="81"/>
        <v>2.5556429167079404E-3</v>
      </c>
      <c r="J217" s="212">
        <f t="shared" si="81"/>
        <v>1.6697685524954653E-3</v>
      </c>
      <c r="K217" s="212">
        <f t="shared" si="81"/>
        <v>9.9923994425295997E-4</v>
      </c>
      <c r="L217" s="212">
        <f t="shared" si="81"/>
        <v>4.0960786707510923E-4</v>
      </c>
    </row>
    <row r="218" spans="2:12" ht="15.75" customHeight="1">
      <c r="B218" s="171" t="s">
        <v>392</v>
      </c>
      <c r="C218" s="213">
        <f t="shared" ref="C218:L218" si="82">C63/C63</f>
        <v>1</v>
      </c>
      <c r="D218" s="213">
        <f t="shared" si="82"/>
        <v>1</v>
      </c>
      <c r="E218" s="213">
        <f t="shared" si="82"/>
        <v>1</v>
      </c>
      <c r="F218" s="213">
        <f t="shared" si="82"/>
        <v>1</v>
      </c>
      <c r="G218" s="213">
        <f t="shared" si="82"/>
        <v>1</v>
      </c>
      <c r="H218" s="214">
        <f t="shared" si="82"/>
        <v>1</v>
      </c>
      <c r="I218" s="214">
        <f t="shared" si="82"/>
        <v>1</v>
      </c>
      <c r="J218" s="214">
        <f t="shared" si="82"/>
        <v>1</v>
      </c>
      <c r="K218" s="214">
        <f t="shared" si="82"/>
        <v>1</v>
      </c>
      <c r="L218" s="214">
        <f t="shared" si="82"/>
        <v>1</v>
      </c>
    </row>
    <row r="219" spans="2:12" ht="15.75" customHeight="1">
      <c r="B219" s="171" t="s">
        <v>393</v>
      </c>
      <c r="C219" s="215">
        <f t="shared" ref="C219:L219" si="83">C64/C$114</f>
        <v>0.74109436793974293</v>
      </c>
      <c r="D219" s="215">
        <f t="shared" si="83"/>
        <v>0.68057515376949618</v>
      </c>
      <c r="E219" s="215">
        <f t="shared" si="83"/>
        <v>0.7088432843930742</v>
      </c>
      <c r="F219" s="215">
        <f t="shared" si="83"/>
        <v>0.66366730551316855</v>
      </c>
      <c r="G219" s="215">
        <f t="shared" si="83"/>
        <v>0.67638889326477281</v>
      </c>
      <c r="H219" s="216">
        <f t="shared" si="83"/>
        <v>0.59013808597827111</v>
      </c>
      <c r="I219" s="216">
        <f t="shared" si="83"/>
        <v>0.5771227870305139</v>
      </c>
      <c r="J219" s="216">
        <f t="shared" si="83"/>
        <v>0.54736942658336218</v>
      </c>
      <c r="K219" s="216">
        <f t="shared" si="83"/>
        <v>0.50023349590641986</v>
      </c>
      <c r="L219" s="216">
        <f t="shared" si="83"/>
        <v>0.50307996665023624</v>
      </c>
    </row>
    <row r="220" spans="2:12" ht="15.75" customHeight="1">
      <c r="B220" s="175" t="s">
        <v>394</v>
      </c>
      <c r="C220" s="215">
        <f t="shared" ref="C220:L220" si="84">C65/C$114</f>
        <v>0.68851799081371057</v>
      </c>
      <c r="D220" s="215">
        <f t="shared" si="84"/>
        <v>0.63754690789483159</v>
      </c>
      <c r="E220" s="215">
        <f t="shared" si="84"/>
        <v>0.68193875455185915</v>
      </c>
      <c r="F220" s="215">
        <f t="shared" si="84"/>
        <v>0.63919076498211636</v>
      </c>
      <c r="G220" s="215">
        <f t="shared" si="84"/>
        <v>0.67638889326477281</v>
      </c>
      <c r="H220" s="216">
        <f t="shared" si="84"/>
        <v>0.59013808597827111</v>
      </c>
      <c r="I220" s="216">
        <f t="shared" si="84"/>
        <v>0.5771227870305139</v>
      </c>
      <c r="J220" s="216">
        <f t="shared" si="84"/>
        <v>0.54736942658336218</v>
      </c>
      <c r="K220" s="216">
        <f t="shared" si="84"/>
        <v>0.50023349590641986</v>
      </c>
      <c r="L220" s="216">
        <f t="shared" si="84"/>
        <v>0.50307996665023624</v>
      </c>
    </row>
    <row r="221" spans="2:12" ht="15.75" customHeight="1">
      <c r="B221" s="175" t="s">
        <v>395</v>
      </c>
      <c r="C221" s="215">
        <f t="shared" ref="C221:L221" si="85">C66/C$114</f>
        <v>0.32306612564540121</v>
      </c>
      <c r="D221" s="215">
        <f t="shared" si="85"/>
        <v>0.29316756921403042</v>
      </c>
      <c r="E221" s="215">
        <f t="shared" si="85"/>
        <v>0.28904185999094589</v>
      </c>
      <c r="F221" s="215">
        <f t="shared" si="85"/>
        <v>0.18961551245598607</v>
      </c>
      <c r="G221" s="215">
        <f t="shared" si="85"/>
        <v>0.19341754942078093</v>
      </c>
      <c r="H221" s="216">
        <f t="shared" si="85"/>
        <v>0.18345057479499907</v>
      </c>
      <c r="I221" s="216">
        <f t="shared" si="85"/>
        <v>0.19463481707175653</v>
      </c>
      <c r="J221" s="216">
        <f t="shared" si="85"/>
        <v>0.1731158364781841</v>
      </c>
      <c r="K221" s="216">
        <f t="shared" si="85"/>
        <v>0.19346787817527666</v>
      </c>
      <c r="L221" s="216">
        <f t="shared" si="85"/>
        <v>0.15891185056637089</v>
      </c>
    </row>
    <row r="222" spans="2:12" ht="15.75" customHeight="1">
      <c r="B222" s="175" t="s">
        <v>396</v>
      </c>
      <c r="C222" s="215">
        <f t="shared" ref="C222:L222" si="86">C67/C$114</f>
        <v>9.847886207781124E-4</v>
      </c>
      <c r="D222" s="215">
        <f t="shared" si="86"/>
        <v>1.3534201215135984E-3</v>
      </c>
      <c r="E222" s="215">
        <f t="shared" si="86"/>
        <v>1.9467227891045759E-3</v>
      </c>
      <c r="F222" s="215">
        <f t="shared" si="86"/>
        <v>1.8880238657179701E-3</v>
      </c>
      <c r="G222" s="215">
        <f t="shared" si="86"/>
        <v>1.5622852993744871E-3</v>
      </c>
      <c r="H222" s="216">
        <f t="shared" si="86"/>
        <v>1.4834040580379026E-3</v>
      </c>
      <c r="I222" s="216">
        <f t="shared" si="86"/>
        <v>1.5688020211827259E-3</v>
      </c>
      <c r="J222" s="216">
        <f t="shared" si="86"/>
        <v>1.5581118147011978E-3</v>
      </c>
      <c r="K222" s="216">
        <f t="shared" si="86"/>
        <v>1.5678436056884453E-3</v>
      </c>
      <c r="L222" s="216">
        <f t="shared" si="86"/>
        <v>1.4284308580364289E-3</v>
      </c>
    </row>
    <row r="223" spans="2:12" ht="15.75" customHeight="1">
      <c r="B223" s="175" t="s">
        <v>397</v>
      </c>
      <c r="C223" s="215">
        <f t="shared" ref="C223:L223" si="87">C68/C$114</f>
        <v>6.0212777437263446E-3</v>
      </c>
      <c r="D223" s="215">
        <f t="shared" si="87"/>
        <v>7.7411096508150411E-3</v>
      </c>
      <c r="E223" s="215">
        <f t="shared" si="87"/>
        <v>8.9820284409773635E-3</v>
      </c>
      <c r="F223" s="215">
        <f t="shared" si="87"/>
        <v>1.3793303538841752E-2</v>
      </c>
      <c r="G223" s="215">
        <f t="shared" si="87"/>
        <v>1.1061512796360548E-2</v>
      </c>
      <c r="H223" s="216">
        <f t="shared" si="87"/>
        <v>1.0753278490829788E-2</v>
      </c>
      <c r="I223" s="216">
        <f t="shared" si="87"/>
        <v>1.137233307361187E-2</v>
      </c>
      <c r="J223" s="216">
        <f t="shared" si="87"/>
        <v>1.1489577778896488E-2</v>
      </c>
      <c r="K223" s="216">
        <f t="shared" si="87"/>
        <v>1.1561340388242587E-2</v>
      </c>
      <c r="L223" s="216">
        <f t="shared" si="87"/>
        <v>1.0533305306033362E-2</v>
      </c>
    </row>
    <row r="224" spans="2:12" ht="15.75" customHeight="1">
      <c r="B224" s="175" t="s">
        <v>398</v>
      </c>
      <c r="C224" s="215">
        <f t="shared" ref="C224:L224" si="88">C69/C$114</f>
        <v>5.8593115522420037E-3</v>
      </c>
      <c r="D224" s="215">
        <f t="shared" si="88"/>
        <v>5.3258007729496187E-3</v>
      </c>
      <c r="E224" s="215">
        <f t="shared" si="88"/>
        <v>6.1916588831057986E-3</v>
      </c>
      <c r="F224" s="215">
        <f t="shared" si="88"/>
        <v>1.1591616323650559E-2</v>
      </c>
      <c r="G224" s="215">
        <f t="shared" si="88"/>
        <v>8.4480789604363411E-3</v>
      </c>
      <c r="H224" s="216">
        <f t="shared" si="88"/>
        <v>8.4572991034786368E-3</v>
      </c>
      <c r="I224" s="216">
        <f t="shared" si="88"/>
        <v>9.1137802332403369E-3</v>
      </c>
      <c r="J224" s="216">
        <f t="shared" si="88"/>
        <v>9.1738857925183995E-3</v>
      </c>
      <c r="K224" s="216">
        <f t="shared" si="88"/>
        <v>9.3517453258517846E-3</v>
      </c>
      <c r="L224" s="216">
        <f t="shared" si="88"/>
        <v>8.6463982895251326E-3</v>
      </c>
    </row>
    <row r="225" spans="2:12" ht="15.75" customHeight="1">
      <c r="B225" s="175" t="s">
        <v>399</v>
      </c>
      <c r="C225" s="215">
        <f t="shared" ref="C225:L225" si="89">C70/C$114</f>
        <v>6.9464826109127076E-2</v>
      </c>
      <c r="D225" s="215">
        <f t="shared" si="89"/>
        <v>7.7271311794956998E-2</v>
      </c>
      <c r="E225" s="215">
        <f t="shared" si="89"/>
        <v>4.4403058394263048E-2</v>
      </c>
      <c r="F225" s="215">
        <f t="shared" si="89"/>
        <v>6.9323145679595952E-2</v>
      </c>
      <c r="G225" s="215">
        <f t="shared" si="89"/>
        <v>6.1700329099216793E-2</v>
      </c>
      <c r="H225" s="216">
        <f t="shared" si="89"/>
        <v>5.6249032704104057E-2</v>
      </c>
      <c r="I225" s="216">
        <f t="shared" si="89"/>
        <v>6.0757934613085443E-2</v>
      </c>
      <c r="J225" s="216">
        <f t="shared" si="89"/>
        <v>5.9585276564218609E-2</v>
      </c>
      <c r="K225" s="216">
        <f t="shared" si="89"/>
        <v>6.0047025421283873E-2</v>
      </c>
      <c r="L225" s="216">
        <f t="shared" si="89"/>
        <v>5.4506578081179834E-2</v>
      </c>
    </row>
    <row r="226" spans="2:12" ht="15.75" customHeight="1">
      <c r="B226" s="175" t="s">
        <v>400</v>
      </c>
      <c r="C226" s="215">
        <f t="shared" ref="C226:L226" si="90">C71/C$114</f>
        <v>0</v>
      </c>
      <c r="D226" s="215">
        <f t="shared" si="90"/>
        <v>0</v>
      </c>
      <c r="E226" s="215">
        <f t="shared" si="90"/>
        <v>0</v>
      </c>
      <c r="F226" s="215">
        <f t="shared" si="90"/>
        <v>0</v>
      </c>
      <c r="G226" s="215">
        <f t="shared" si="90"/>
        <v>0</v>
      </c>
      <c r="H226" s="216">
        <f t="shared" si="90"/>
        <v>0</v>
      </c>
      <c r="I226" s="216">
        <f t="shared" si="90"/>
        <v>0</v>
      </c>
      <c r="J226" s="216">
        <f t="shared" si="90"/>
        <v>0</v>
      </c>
      <c r="K226" s="216">
        <f t="shared" si="90"/>
        <v>0</v>
      </c>
      <c r="L226" s="216">
        <f t="shared" si="90"/>
        <v>0</v>
      </c>
    </row>
    <row r="227" spans="2:12" ht="15.75" customHeight="1">
      <c r="B227" s="175" t="s">
        <v>401</v>
      </c>
      <c r="C227" s="215">
        <f t="shared" ref="C227:L227" si="91">C72/C$114</f>
        <v>0</v>
      </c>
      <c r="D227" s="215">
        <f t="shared" si="91"/>
        <v>0</v>
      </c>
      <c r="E227" s="215">
        <f t="shared" si="91"/>
        <v>0</v>
      </c>
      <c r="F227" s="215">
        <f t="shared" si="91"/>
        <v>0</v>
      </c>
      <c r="G227" s="215">
        <f t="shared" si="91"/>
        <v>0</v>
      </c>
      <c r="H227" s="216">
        <f t="shared" si="91"/>
        <v>0</v>
      </c>
      <c r="I227" s="216">
        <f t="shared" si="91"/>
        <v>0</v>
      </c>
      <c r="J227" s="216">
        <f t="shared" si="91"/>
        <v>0</v>
      </c>
      <c r="K227" s="216">
        <f t="shared" si="91"/>
        <v>0</v>
      </c>
      <c r="L227" s="216">
        <f t="shared" si="91"/>
        <v>0</v>
      </c>
    </row>
    <row r="228" spans="2:12" ht="15.75" customHeight="1">
      <c r="B228" s="175" t="s">
        <v>402</v>
      </c>
      <c r="C228" s="215">
        <f t="shared" ref="C228:L228" si="92">C73/C$114</f>
        <v>0</v>
      </c>
      <c r="D228" s="215">
        <f t="shared" si="92"/>
        <v>0</v>
      </c>
      <c r="E228" s="215">
        <f t="shared" si="92"/>
        <v>7.9984472079287345E-6</v>
      </c>
      <c r="F228" s="215">
        <f t="shared" si="92"/>
        <v>6.699850187526286E-6</v>
      </c>
      <c r="G228" s="215">
        <f t="shared" si="92"/>
        <v>0</v>
      </c>
      <c r="H228" s="216">
        <f t="shared" si="92"/>
        <v>0</v>
      </c>
      <c r="I228" s="216">
        <f t="shared" si="92"/>
        <v>0</v>
      </c>
      <c r="J228" s="216">
        <f t="shared" si="92"/>
        <v>0</v>
      </c>
      <c r="K228" s="216">
        <f t="shared" si="92"/>
        <v>0</v>
      </c>
      <c r="L228" s="216">
        <f t="shared" si="92"/>
        <v>0</v>
      </c>
    </row>
    <row r="229" spans="2:12" ht="15.75" customHeight="1">
      <c r="B229" s="175" t="s">
        <v>403</v>
      </c>
      <c r="C229" s="215">
        <f t="shared" ref="C229:L229" si="93">C74/C$114</f>
        <v>3.5373175231662918E-2</v>
      </c>
      <c r="D229" s="215">
        <f t="shared" si="93"/>
        <v>4.2962501437681738E-2</v>
      </c>
      <c r="E229" s="215">
        <f t="shared" si="93"/>
        <v>1.7212118927846992E-2</v>
      </c>
      <c r="F229" s="215">
        <f t="shared" si="93"/>
        <v>1.1862588766497621E-2</v>
      </c>
      <c r="G229" s="215">
        <f t="shared" si="93"/>
        <v>7.5640666031322207E-3</v>
      </c>
      <c r="H229" s="216">
        <f t="shared" si="93"/>
        <v>8.2544221467601275E-3</v>
      </c>
      <c r="I229" s="216">
        <f t="shared" si="93"/>
        <v>8.1626193426808536E-3</v>
      </c>
      <c r="J229" s="216">
        <f t="shared" si="93"/>
        <v>8.3885658535877462E-3</v>
      </c>
      <c r="K229" s="216">
        <f t="shared" si="93"/>
        <v>8.2992962557016502E-3</v>
      </c>
      <c r="L229" s="216">
        <f t="shared" si="93"/>
        <v>7.6258557822383105E-3</v>
      </c>
    </row>
    <row r="230" spans="2:12" ht="15.75" customHeight="1">
      <c r="B230" s="175" t="s">
        <v>404</v>
      </c>
      <c r="C230" s="215">
        <f t="shared" ref="C230:L230" si="94">C75/C$114</f>
        <v>0.24552374564578663</v>
      </c>
      <c r="D230" s="215">
        <f t="shared" si="94"/>
        <v>0.20753660103465435</v>
      </c>
      <c r="E230" s="215">
        <f t="shared" si="94"/>
        <v>0.31243372404764919</v>
      </c>
      <c r="F230" s="215">
        <f t="shared" si="94"/>
        <v>0.33944995837576863</v>
      </c>
      <c r="G230" s="215">
        <f t="shared" si="94"/>
        <v>0.39140740750951142</v>
      </c>
      <c r="H230" s="216">
        <f t="shared" si="94"/>
        <v>0.32023789999539914</v>
      </c>
      <c r="I230" s="216">
        <f t="shared" si="94"/>
        <v>0.29016036465455475</v>
      </c>
      <c r="J230" s="216">
        <f t="shared" si="94"/>
        <v>0.28285262163070229</v>
      </c>
      <c r="K230" s="216">
        <f t="shared" si="94"/>
        <v>0.21455185440674035</v>
      </c>
      <c r="L230" s="216">
        <f t="shared" si="94"/>
        <v>0.26033907113437843</v>
      </c>
    </row>
    <row r="231" spans="2:12" ht="15.75" customHeight="1">
      <c r="B231" s="175" t="s">
        <v>405</v>
      </c>
      <c r="C231" s="215">
        <f t="shared" ref="C231:L231" si="95">C76/C$114</f>
        <v>2.0078505996683773E-3</v>
      </c>
      <c r="D231" s="215">
        <f t="shared" si="95"/>
        <v>2.0115045475191306E-3</v>
      </c>
      <c r="E231" s="215">
        <f t="shared" si="95"/>
        <v>1.7188629483213876E-3</v>
      </c>
      <c r="F231" s="215">
        <f t="shared" si="95"/>
        <v>1.6592643894707204E-3</v>
      </c>
      <c r="G231" s="215">
        <f t="shared" si="95"/>
        <v>1.2271855812243213E-3</v>
      </c>
      <c r="H231" s="216">
        <f t="shared" si="95"/>
        <v>1.2518098617890505E-3</v>
      </c>
      <c r="I231" s="216">
        <f t="shared" si="95"/>
        <v>1.3518227669978256E-3</v>
      </c>
      <c r="J231" s="216">
        <f t="shared" si="95"/>
        <v>1.2052777786569027E-3</v>
      </c>
      <c r="K231" s="216">
        <f t="shared" si="95"/>
        <v>1.3862673675031571E-3</v>
      </c>
      <c r="L231" s="216">
        <f t="shared" si="95"/>
        <v>1.0882758046414174E-3</v>
      </c>
    </row>
    <row r="232" spans="2:12" ht="15.75" customHeight="1">
      <c r="B232" s="175" t="s">
        <v>406</v>
      </c>
      <c r="C232" s="215">
        <f t="shared" ref="C232:L232" si="96">C77/C$114</f>
        <v>2.1688966531786417E-4</v>
      </c>
      <c r="D232" s="215">
        <f t="shared" si="96"/>
        <v>1.7708576484304055E-4</v>
      </c>
      <c r="E232" s="215">
        <f t="shared" si="96"/>
        <v>7.2168243692642358E-7</v>
      </c>
      <c r="F232" s="215">
        <f t="shared" si="96"/>
        <v>6.5390885423002994E-7</v>
      </c>
      <c r="G232" s="215">
        <f t="shared" si="96"/>
        <v>4.7799473579474601E-7</v>
      </c>
      <c r="H232" s="216">
        <f t="shared" si="96"/>
        <v>3.6482287324533293E-7</v>
      </c>
      <c r="I232" s="216">
        <f t="shared" si="96"/>
        <v>3.1325340354343038E-7</v>
      </c>
      <c r="J232" s="216">
        <f t="shared" si="96"/>
        <v>2.7289189639940335E-7</v>
      </c>
      <c r="K232" s="216">
        <f t="shared" si="96"/>
        <v>2.4496013134663843E-7</v>
      </c>
      <c r="L232" s="216">
        <f t="shared" si="96"/>
        <v>2.0082783257614422E-7</v>
      </c>
    </row>
    <row r="233" spans="2:12" ht="15.75" customHeight="1">
      <c r="B233" s="171" t="s">
        <v>409</v>
      </c>
      <c r="C233" s="215">
        <f t="shared" ref="C233:L233" si="97">C78/C$114</f>
        <v>5.2576377126032463E-2</v>
      </c>
      <c r="D233" s="215">
        <f t="shared" si="97"/>
        <v>4.302824587466459E-2</v>
      </c>
      <c r="E233" s="215">
        <f t="shared" si="97"/>
        <v>2.6904529841215118E-2</v>
      </c>
      <c r="F233" s="215">
        <f t="shared" si="97"/>
        <v>2.4476540531052197E-2</v>
      </c>
      <c r="G233" s="215">
        <f t="shared" si="97"/>
        <v>0</v>
      </c>
      <c r="H233" s="216">
        <f t="shared" si="97"/>
        <v>0</v>
      </c>
      <c r="I233" s="216">
        <f t="shared" si="97"/>
        <v>0</v>
      </c>
      <c r="J233" s="216">
        <f t="shared" si="97"/>
        <v>0</v>
      </c>
      <c r="K233" s="216">
        <f t="shared" si="97"/>
        <v>0</v>
      </c>
      <c r="L233" s="216">
        <f t="shared" si="97"/>
        <v>0</v>
      </c>
    </row>
    <row r="234" spans="2:12" ht="15.75" customHeight="1">
      <c r="B234" s="175" t="s">
        <v>410</v>
      </c>
      <c r="C234" s="215">
        <f t="shared" ref="C234:L234" si="98">C79/C$114</f>
        <v>0</v>
      </c>
      <c r="D234" s="215">
        <f t="shared" si="98"/>
        <v>0</v>
      </c>
      <c r="E234" s="215">
        <f t="shared" si="98"/>
        <v>0</v>
      </c>
      <c r="F234" s="215">
        <f t="shared" si="98"/>
        <v>0</v>
      </c>
      <c r="G234" s="215">
        <f t="shared" si="98"/>
        <v>0</v>
      </c>
      <c r="H234" s="216">
        <f t="shared" si="98"/>
        <v>0</v>
      </c>
      <c r="I234" s="216">
        <f t="shared" si="98"/>
        <v>0</v>
      </c>
      <c r="J234" s="216">
        <f t="shared" si="98"/>
        <v>0</v>
      </c>
      <c r="K234" s="216">
        <f t="shared" si="98"/>
        <v>0</v>
      </c>
      <c r="L234" s="216">
        <f t="shared" si="98"/>
        <v>0</v>
      </c>
    </row>
    <row r="235" spans="2:12" ht="15.75" customHeight="1">
      <c r="B235" s="175" t="s">
        <v>411</v>
      </c>
      <c r="C235" s="215">
        <f t="shared" ref="C235:L235" si="99">C80/C$114</f>
        <v>0</v>
      </c>
      <c r="D235" s="215">
        <f t="shared" si="99"/>
        <v>0</v>
      </c>
      <c r="E235" s="215">
        <f t="shared" si="99"/>
        <v>0</v>
      </c>
      <c r="F235" s="215">
        <f t="shared" si="99"/>
        <v>0</v>
      </c>
      <c r="G235" s="215">
        <f t="shared" si="99"/>
        <v>0</v>
      </c>
      <c r="H235" s="216">
        <f t="shared" si="99"/>
        <v>0</v>
      </c>
      <c r="I235" s="216">
        <f t="shared" si="99"/>
        <v>0</v>
      </c>
      <c r="J235" s="216">
        <f t="shared" si="99"/>
        <v>0</v>
      </c>
      <c r="K235" s="216">
        <f t="shared" si="99"/>
        <v>0</v>
      </c>
      <c r="L235" s="216">
        <f t="shared" si="99"/>
        <v>0</v>
      </c>
    </row>
    <row r="236" spans="2:12" ht="15.75" customHeight="1">
      <c r="B236" s="175" t="s">
        <v>412</v>
      </c>
      <c r="C236" s="215">
        <f t="shared" ref="C236:L236" si="100">C81/C$114</f>
        <v>0</v>
      </c>
      <c r="D236" s="215">
        <f t="shared" si="100"/>
        <v>0</v>
      </c>
      <c r="E236" s="215">
        <f t="shared" si="100"/>
        <v>0</v>
      </c>
      <c r="F236" s="215">
        <f t="shared" si="100"/>
        <v>0</v>
      </c>
      <c r="G236" s="215">
        <f t="shared" si="100"/>
        <v>0</v>
      </c>
      <c r="H236" s="216">
        <f t="shared" si="100"/>
        <v>0</v>
      </c>
      <c r="I236" s="216">
        <f t="shared" si="100"/>
        <v>0</v>
      </c>
      <c r="J236" s="216">
        <f t="shared" si="100"/>
        <v>0</v>
      </c>
      <c r="K236" s="216">
        <f t="shared" si="100"/>
        <v>0</v>
      </c>
      <c r="L236" s="216">
        <f t="shared" si="100"/>
        <v>0</v>
      </c>
    </row>
    <row r="237" spans="2:12" ht="15.75" customHeight="1">
      <c r="B237" s="175" t="s">
        <v>413</v>
      </c>
      <c r="C237" s="215">
        <f t="shared" ref="C237:L237" si="101">C82/C$114</f>
        <v>0</v>
      </c>
      <c r="D237" s="215">
        <f t="shared" si="101"/>
        <v>0</v>
      </c>
      <c r="E237" s="215">
        <f t="shared" si="101"/>
        <v>0</v>
      </c>
      <c r="F237" s="215">
        <f t="shared" si="101"/>
        <v>0</v>
      </c>
      <c r="G237" s="215">
        <f t="shared" si="101"/>
        <v>0</v>
      </c>
      <c r="H237" s="216">
        <f t="shared" si="101"/>
        <v>0</v>
      </c>
      <c r="I237" s="216">
        <f t="shared" si="101"/>
        <v>0</v>
      </c>
      <c r="J237" s="216">
        <f t="shared" si="101"/>
        <v>0</v>
      </c>
      <c r="K237" s="216">
        <f t="shared" si="101"/>
        <v>0</v>
      </c>
      <c r="L237" s="216">
        <f t="shared" si="101"/>
        <v>0</v>
      </c>
    </row>
    <row r="238" spans="2:12" ht="15.75" customHeight="1">
      <c r="B238" s="175" t="s">
        <v>414</v>
      </c>
      <c r="C238" s="215">
        <f t="shared" ref="C238:L238" si="102">C83/C$114</f>
        <v>0</v>
      </c>
      <c r="D238" s="215">
        <f t="shared" si="102"/>
        <v>0</v>
      </c>
      <c r="E238" s="215">
        <f t="shared" si="102"/>
        <v>0</v>
      </c>
      <c r="F238" s="215">
        <f t="shared" si="102"/>
        <v>0</v>
      </c>
      <c r="G238" s="215">
        <f t="shared" si="102"/>
        <v>0</v>
      </c>
      <c r="H238" s="216">
        <f t="shared" si="102"/>
        <v>0</v>
      </c>
      <c r="I238" s="216">
        <f t="shared" si="102"/>
        <v>0</v>
      </c>
      <c r="J238" s="216">
        <f t="shared" si="102"/>
        <v>0</v>
      </c>
      <c r="K238" s="216">
        <f t="shared" si="102"/>
        <v>0</v>
      </c>
      <c r="L238" s="216">
        <f t="shared" si="102"/>
        <v>0</v>
      </c>
    </row>
    <row r="239" spans="2:12" ht="15.75" customHeight="1">
      <c r="B239" s="175" t="s">
        <v>415</v>
      </c>
      <c r="C239" s="215">
        <f t="shared" ref="C239:L239" si="103">C84/C$114</f>
        <v>0</v>
      </c>
      <c r="D239" s="215">
        <f t="shared" si="103"/>
        <v>0</v>
      </c>
      <c r="E239" s="215">
        <f t="shared" si="103"/>
        <v>0</v>
      </c>
      <c r="F239" s="215">
        <f t="shared" si="103"/>
        <v>0</v>
      </c>
      <c r="G239" s="215">
        <f t="shared" si="103"/>
        <v>0</v>
      </c>
      <c r="H239" s="216">
        <f t="shared" si="103"/>
        <v>0</v>
      </c>
      <c r="I239" s="216">
        <f t="shared" si="103"/>
        <v>0</v>
      </c>
      <c r="J239" s="216">
        <f t="shared" si="103"/>
        <v>0</v>
      </c>
      <c r="K239" s="216">
        <f t="shared" si="103"/>
        <v>0</v>
      </c>
      <c r="L239" s="216">
        <f t="shared" si="103"/>
        <v>0</v>
      </c>
    </row>
    <row r="240" spans="2:12" ht="15.75" customHeight="1">
      <c r="B240" s="175" t="s">
        <v>416</v>
      </c>
      <c r="C240" s="215">
        <f t="shared" ref="C240:L240" si="104">C85/C$114</f>
        <v>0</v>
      </c>
      <c r="D240" s="215">
        <f t="shared" si="104"/>
        <v>0</v>
      </c>
      <c r="E240" s="215">
        <f t="shared" si="104"/>
        <v>0</v>
      </c>
      <c r="F240" s="215">
        <f t="shared" si="104"/>
        <v>0</v>
      </c>
      <c r="G240" s="215">
        <f t="shared" si="104"/>
        <v>0</v>
      </c>
      <c r="H240" s="216">
        <f t="shared" si="104"/>
        <v>0</v>
      </c>
      <c r="I240" s="216">
        <f t="shared" si="104"/>
        <v>0</v>
      </c>
      <c r="J240" s="216">
        <f t="shared" si="104"/>
        <v>0</v>
      </c>
      <c r="K240" s="216">
        <f t="shared" si="104"/>
        <v>0</v>
      </c>
      <c r="L240" s="216">
        <f t="shared" si="104"/>
        <v>0</v>
      </c>
    </row>
    <row r="241" spans="2:12" ht="15.75" customHeight="1">
      <c r="B241" s="175" t="s">
        <v>417</v>
      </c>
      <c r="C241" s="215">
        <f t="shared" ref="C241:L241" si="105">C86/C$114</f>
        <v>5.2576377126032463E-2</v>
      </c>
      <c r="D241" s="215">
        <f t="shared" si="105"/>
        <v>4.296082306815089E-2</v>
      </c>
      <c r="E241" s="215">
        <f t="shared" si="105"/>
        <v>2.6904529841215118E-2</v>
      </c>
      <c r="F241" s="215">
        <f t="shared" si="105"/>
        <v>2.4476540531052197E-2</v>
      </c>
      <c r="G241" s="215">
        <f t="shared" si="105"/>
        <v>0</v>
      </c>
      <c r="H241" s="216">
        <f t="shared" si="105"/>
        <v>0</v>
      </c>
      <c r="I241" s="216">
        <f t="shared" si="105"/>
        <v>0</v>
      </c>
      <c r="J241" s="216">
        <f t="shared" si="105"/>
        <v>0</v>
      </c>
      <c r="K241" s="216">
        <f t="shared" si="105"/>
        <v>0</v>
      </c>
      <c r="L241" s="216">
        <f t="shared" si="105"/>
        <v>0</v>
      </c>
    </row>
    <row r="242" spans="2:12" ht="15.75" customHeight="1">
      <c r="B242" s="175" t="s">
        <v>418</v>
      </c>
      <c r="C242" s="215">
        <f t="shared" ref="C242:L242" si="106">C87/C$114</f>
        <v>0</v>
      </c>
      <c r="D242" s="215">
        <f t="shared" si="106"/>
        <v>0</v>
      </c>
      <c r="E242" s="215">
        <f t="shared" si="106"/>
        <v>0</v>
      </c>
      <c r="F242" s="215">
        <f t="shared" si="106"/>
        <v>0</v>
      </c>
      <c r="G242" s="215">
        <f t="shared" si="106"/>
        <v>0</v>
      </c>
      <c r="H242" s="216">
        <f t="shared" si="106"/>
        <v>0</v>
      </c>
      <c r="I242" s="216">
        <f t="shared" si="106"/>
        <v>0</v>
      </c>
      <c r="J242" s="216">
        <f t="shared" si="106"/>
        <v>0</v>
      </c>
      <c r="K242" s="216">
        <f t="shared" si="106"/>
        <v>0</v>
      </c>
      <c r="L242" s="216">
        <f t="shared" si="106"/>
        <v>0</v>
      </c>
    </row>
    <row r="243" spans="2:12" ht="15.75" customHeight="1">
      <c r="B243" s="175" t="s">
        <v>419</v>
      </c>
      <c r="C243" s="215">
        <f t="shared" ref="C243:L243" si="107">C88/C$114</f>
        <v>0</v>
      </c>
      <c r="D243" s="215">
        <f t="shared" si="107"/>
        <v>0</v>
      </c>
      <c r="E243" s="215">
        <f t="shared" si="107"/>
        <v>0</v>
      </c>
      <c r="F243" s="215">
        <f t="shared" si="107"/>
        <v>0</v>
      </c>
      <c r="G243" s="215">
        <f t="shared" si="107"/>
        <v>0</v>
      </c>
      <c r="H243" s="216">
        <f t="shared" si="107"/>
        <v>0</v>
      </c>
      <c r="I243" s="216">
        <f t="shared" si="107"/>
        <v>0</v>
      </c>
      <c r="J243" s="216">
        <f t="shared" si="107"/>
        <v>0</v>
      </c>
      <c r="K243" s="216">
        <f t="shared" si="107"/>
        <v>0</v>
      </c>
      <c r="L243" s="216">
        <f t="shared" si="107"/>
        <v>0</v>
      </c>
    </row>
    <row r="244" spans="2:12" ht="15.75" customHeight="1">
      <c r="B244" s="175" t="s">
        <v>420</v>
      </c>
      <c r="C244" s="215">
        <f t="shared" ref="C244:L244" si="108">C89/C$114</f>
        <v>0</v>
      </c>
      <c r="D244" s="215">
        <f t="shared" si="108"/>
        <v>6.7419250646052253E-5</v>
      </c>
      <c r="E244" s="215">
        <f t="shared" si="108"/>
        <v>0</v>
      </c>
      <c r="F244" s="215">
        <f t="shared" si="108"/>
        <v>0</v>
      </c>
      <c r="G244" s="215">
        <f t="shared" si="108"/>
        <v>0</v>
      </c>
      <c r="H244" s="216">
        <f t="shared" si="108"/>
        <v>0</v>
      </c>
      <c r="I244" s="216">
        <f t="shared" si="108"/>
        <v>0</v>
      </c>
      <c r="J244" s="216">
        <f t="shared" si="108"/>
        <v>0</v>
      </c>
      <c r="K244" s="216">
        <f t="shared" si="108"/>
        <v>0</v>
      </c>
      <c r="L244" s="216">
        <f t="shared" si="108"/>
        <v>0</v>
      </c>
    </row>
    <row r="245" spans="2:12" ht="15.75" customHeight="1">
      <c r="B245" s="175" t="s">
        <v>421</v>
      </c>
      <c r="C245" s="215">
        <f t="shared" ref="C245:L245" si="109">C90/C$114</f>
        <v>0</v>
      </c>
      <c r="D245" s="215">
        <f t="shared" si="109"/>
        <v>0</v>
      </c>
      <c r="E245" s="215">
        <f t="shared" si="109"/>
        <v>0</v>
      </c>
      <c r="F245" s="215">
        <f t="shared" si="109"/>
        <v>0</v>
      </c>
      <c r="G245" s="215">
        <f t="shared" si="109"/>
        <v>0</v>
      </c>
      <c r="H245" s="216">
        <f t="shared" si="109"/>
        <v>0</v>
      </c>
      <c r="I245" s="216">
        <f t="shared" si="109"/>
        <v>0</v>
      </c>
      <c r="J245" s="216">
        <f t="shared" si="109"/>
        <v>0</v>
      </c>
      <c r="K245" s="216">
        <f t="shared" si="109"/>
        <v>0</v>
      </c>
      <c r="L245" s="216">
        <f t="shared" si="109"/>
        <v>0</v>
      </c>
    </row>
    <row r="246" spans="2:12" ht="15.75" customHeight="1">
      <c r="B246" s="175" t="s">
        <v>422</v>
      </c>
      <c r="C246" s="215">
        <f t="shared" ref="C246:L246" si="110">C91/C$114</f>
        <v>0</v>
      </c>
      <c r="D246" s="215">
        <f t="shared" si="110"/>
        <v>0</v>
      </c>
      <c r="E246" s="215">
        <f t="shared" si="110"/>
        <v>0</v>
      </c>
      <c r="F246" s="215">
        <f t="shared" si="110"/>
        <v>0</v>
      </c>
      <c r="G246" s="215">
        <f t="shared" si="110"/>
        <v>0</v>
      </c>
      <c r="H246" s="216">
        <f t="shared" si="110"/>
        <v>0</v>
      </c>
      <c r="I246" s="216">
        <f t="shared" si="110"/>
        <v>0</v>
      </c>
      <c r="J246" s="216">
        <f t="shared" si="110"/>
        <v>0</v>
      </c>
      <c r="K246" s="216">
        <f t="shared" si="110"/>
        <v>0</v>
      </c>
      <c r="L246" s="216">
        <f t="shared" si="110"/>
        <v>0</v>
      </c>
    </row>
    <row r="247" spans="2:12" ht="15.75" customHeight="1">
      <c r="B247" s="171" t="s">
        <v>423</v>
      </c>
      <c r="C247" s="215">
        <f t="shared" ref="C247:L247" si="111">C92/C$114</f>
        <v>0.25890563206025702</v>
      </c>
      <c r="D247" s="215">
        <f t="shared" si="111"/>
        <v>0.31942484623050382</v>
      </c>
      <c r="E247" s="215">
        <f t="shared" si="111"/>
        <v>0.29115671800454179</v>
      </c>
      <c r="F247" s="215">
        <f t="shared" si="111"/>
        <v>0.33633269231437679</v>
      </c>
      <c r="G247" s="215">
        <f t="shared" si="111"/>
        <v>0.32361110673522725</v>
      </c>
      <c r="H247" s="216">
        <f t="shared" si="111"/>
        <v>0.40986191402172883</v>
      </c>
      <c r="I247" s="216">
        <f t="shared" si="111"/>
        <v>0.4228772129694861</v>
      </c>
      <c r="J247" s="216">
        <f t="shared" si="111"/>
        <v>0.45263057341663793</v>
      </c>
      <c r="K247" s="216">
        <f t="shared" si="111"/>
        <v>0.4997665040935802</v>
      </c>
      <c r="L247" s="216">
        <f t="shared" si="111"/>
        <v>0.49692003334976365</v>
      </c>
    </row>
    <row r="248" spans="2:12" ht="15.75" customHeight="1">
      <c r="B248" s="175" t="s">
        <v>424</v>
      </c>
      <c r="C248" s="215">
        <f t="shared" ref="C248:L248" si="112">C93/C$114</f>
        <v>0.25890563206025702</v>
      </c>
      <c r="D248" s="215">
        <f t="shared" si="112"/>
        <v>0.31942484623050382</v>
      </c>
      <c r="E248" s="215">
        <f t="shared" si="112"/>
        <v>0.29115671800454179</v>
      </c>
      <c r="F248" s="215">
        <f t="shared" si="112"/>
        <v>0.33633269231437679</v>
      </c>
      <c r="G248" s="215">
        <f t="shared" si="112"/>
        <v>0.32361110673522725</v>
      </c>
      <c r="H248" s="216">
        <f t="shared" si="112"/>
        <v>0.40986191402172883</v>
      </c>
      <c r="I248" s="216">
        <f t="shared" si="112"/>
        <v>0.4228772129694861</v>
      </c>
      <c r="J248" s="216">
        <f t="shared" si="112"/>
        <v>0.45263057341663793</v>
      </c>
      <c r="K248" s="216">
        <f t="shared" si="112"/>
        <v>0.4997665040935802</v>
      </c>
      <c r="L248" s="216">
        <f t="shared" si="112"/>
        <v>0.49692003334976365</v>
      </c>
    </row>
    <row r="249" spans="2:12" ht="15.75" customHeight="1">
      <c r="B249" s="175" t="s">
        <v>425</v>
      </c>
      <c r="C249" s="215">
        <f t="shared" ref="C249:L249" si="113">C94/C$114</f>
        <v>0.13889195285097347</v>
      </c>
      <c r="D249" s="215">
        <f t="shared" si="113"/>
        <v>0.15770137194085818</v>
      </c>
      <c r="E249" s="215">
        <f t="shared" si="113"/>
        <v>0.10634534487435418</v>
      </c>
      <c r="F249" s="215">
        <f t="shared" si="113"/>
        <v>9.8457815709801777E-2</v>
      </c>
      <c r="G249" s="215">
        <f t="shared" si="113"/>
        <v>0.11323639710194301</v>
      </c>
      <c r="H249" s="216">
        <f t="shared" si="113"/>
        <v>0.17751232376527823</v>
      </c>
      <c r="I249" s="216">
        <f t="shared" si="113"/>
        <v>0.1524201021052293</v>
      </c>
      <c r="J249" s="216">
        <f t="shared" si="113"/>
        <v>0.13278135286763124</v>
      </c>
      <c r="K249" s="216">
        <f t="shared" si="113"/>
        <v>0.1191905588549767</v>
      </c>
      <c r="L249" s="216">
        <f t="shared" si="113"/>
        <v>9.7717050798408672E-2</v>
      </c>
    </row>
    <row r="250" spans="2:12" ht="15.75" customHeight="1">
      <c r="B250" s="175" t="s">
        <v>426</v>
      </c>
      <c r="C250" s="215">
        <f t="shared" ref="C250:L250" si="114">C95/C$114</f>
        <v>0.13889195285097347</v>
      </c>
      <c r="D250" s="215">
        <f t="shared" si="114"/>
        <v>0.15770137194085818</v>
      </c>
      <c r="E250" s="215">
        <f t="shared" si="114"/>
        <v>0.10634534487435418</v>
      </c>
      <c r="F250" s="215">
        <f t="shared" si="114"/>
        <v>9.8457815709801777E-2</v>
      </c>
      <c r="G250" s="215">
        <f t="shared" si="114"/>
        <v>0.11323639710194301</v>
      </c>
      <c r="H250" s="216">
        <f t="shared" si="114"/>
        <v>0.17751232376527823</v>
      </c>
      <c r="I250" s="216">
        <f t="shared" si="114"/>
        <v>0.1524201021052293</v>
      </c>
      <c r="J250" s="216">
        <f t="shared" si="114"/>
        <v>0.13278135286763124</v>
      </c>
      <c r="K250" s="216">
        <f t="shared" si="114"/>
        <v>0.1191905588549767</v>
      </c>
      <c r="L250" s="216">
        <f t="shared" si="114"/>
        <v>9.7717050798408672E-2</v>
      </c>
    </row>
    <row r="251" spans="2:12" ht="15.75" customHeight="1">
      <c r="B251" s="175" t="s">
        <v>427</v>
      </c>
      <c r="C251" s="215">
        <f t="shared" ref="C251:L251" si="115">C96/C$114</f>
        <v>0</v>
      </c>
      <c r="D251" s="215">
        <f t="shared" si="115"/>
        <v>0</v>
      </c>
      <c r="E251" s="215">
        <f t="shared" si="115"/>
        <v>0</v>
      </c>
      <c r="F251" s="215">
        <f t="shared" si="115"/>
        <v>0</v>
      </c>
      <c r="G251" s="215">
        <f t="shared" si="115"/>
        <v>0</v>
      </c>
      <c r="H251" s="216">
        <f t="shared" si="115"/>
        <v>0</v>
      </c>
      <c r="I251" s="216">
        <f t="shared" si="115"/>
        <v>0</v>
      </c>
      <c r="J251" s="216">
        <f t="shared" si="115"/>
        <v>0</v>
      </c>
      <c r="K251" s="216">
        <f t="shared" si="115"/>
        <v>0</v>
      </c>
      <c r="L251" s="216">
        <f t="shared" si="115"/>
        <v>0</v>
      </c>
    </row>
    <row r="252" spans="2:12" ht="15.75" customHeight="1">
      <c r="B252" s="175" t="s">
        <v>428</v>
      </c>
      <c r="C252" s="215">
        <f t="shared" ref="C252:L252" si="116">C97/C$114</f>
        <v>1.6088261947963113E-3</v>
      </c>
      <c r="D252" s="215">
        <f t="shared" si="116"/>
        <v>1.9608903273874899E-2</v>
      </c>
      <c r="E252" s="215">
        <f t="shared" si="116"/>
        <v>1.3311732251116573E-2</v>
      </c>
      <c r="F252" s="215">
        <f t="shared" si="116"/>
        <v>1.2124695421855937E-2</v>
      </c>
      <c r="G252" s="215">
        <f t="shared" si="116"/>
        <v>8.8629180462558143E-3</v>
      </c>
      <c r="H252" s="216">
        <f t="shared" si="116"/>
        <v>6.7644998280273179E-3</v>
      </c>
      <c r="I252" s="216">
        <f t="shared" si="116"/>
        <v>5.808305207260233E-3</v>
      </c>
      <c r="J252" s="216">
        <f t="shared" si="116"/>
        <v>5.0599272184955512E-3</v>
      </c>
      <c r="K252" s="216">
        <f t="shared" si="116"/>
        <v>4.5420199441650079E-3</v>
      </c>
      <c r="L252" s="216">
        <f t="shared" si="116"/>
        <v>3.7237244113553E-3</v>
      </c>
    </row>
    <row r="253" spans="2:12" ht="15.75" customHeight="1">
      <c r="B253" s="175" t="s">
        <v>429</v>
      </c>
      <c r="C253" s="215">
        <f t="shared" ref="C253:L253" si="117">C98/C$114</f>
        <v>0</v>
      </c>
      <c r="D253" s="215">
        <f t="shared" si="117"/>
        <v>0</v>
      </c>
      <c r="E253" s="215">
        <f t="shared" si="117"/>
        <v>0</v>
      </c>
      <c r="F253" s="215">
        <f t="shared" si="117"/>
        <v>0</v>
      </c>
      <c r="G253" s="215">
        <f t="shared" si="117"/>
        <v>0</v>
      </c>
      <c r="H253" s="216">
        <f t="shared" si="117"/>
        <v>0</v>
      </c>
      <c r="I253" s="216">
        <f t="shared" si="117"/>
        <v>0</v>
      </c>
      <c r="J253" s="216">
        <f t="shared" si="117"/>
        <v>0</v>
      </c>
      <c r="K253" s="216">
        <f t="shared" si="117"/>
        <v>0</v>
      </c>
      <c r="L253" s="216">
        <f t="shared" si="117"/>
        <v>0</v>
      </c>
    </row>
    <row r="254" spans="2:12" ht="15.75" customHeight="1">
      <c r="B254" s="175" t="s">
        <v>430</v>
      </c>
      <c r="C254" s="215">
        <f t="shared" ref="C254:L254" si="118">C99/C$114</f>
        <v>4.9534094271079885E-5</v>
      </c>
      <c r="D254" s="215">
        <f t="shared" si="118"/>
        <v>4.0199083784473668E-5</v>
      </c>
      <c r="E254" s="215">
        <f t="shared" si="118"/>
        <v>2.7105049665957537E-5</v>
      </c>
      <c r="F254" s="215">
        <f t="shared" si="118"/>
        <v>0</v>
      </c>
      <c r="G254" s="215">
        <f t="shared" si="118"/>
        <v>0</v>
      </c>
      <c r="H254" s="216">
        <f t="shared" si="118"/>
        <v>0</v>
      </c>
      <c r="I254" s="216">
        <f t="shared" si="118"/>
        <v>0</v>
      </c>
      <c r="J254" s="216">
        <f t="shared" si="118"/>
        <v>0</v>
      </c>
      <c r="K254" s="216">
        <f t="shared" si="118"/>
        <v>0</v>
      </c>
      <c r="L254" s="216">
        <f t="shared" si="118"/>
        <v>0</v>
      </c>
    </row>
    <row r="255" spans="2:12" ht="15.75" customHeight="1">
      <c r="B255" s="175" t="s">
        <v>431</v>
      </c>
      <c r="C255" s="215">
        <f t="shared" ref="C255:L255" si="119">C100/C$114</f>
        <v>-3.4702346450858269E-6</v>
      </c>
      <c r="D255" s="215">
        <f t="shared" si="119"/>
        <v>-2.8763413421725563E-5</v>
      </c>
      <c r="E255" s="215">
        <f t="shared" si="119"/>
        <v>-1.3567869575823715E-4</v>
      </c>
      <c r="F255" s="215">
        <f t="shared" si="119"/>
        <v>-1.3123581387103613E-4</v>
      </c>
      <c r="G255" s="215">
        <f t="shared" si="119"/>
        <v>-3.6842119170890723E-5</v>
      </c>
      <c r="H255" s="216">
        <f t="shared" si="119"/>
        <v>-2.8119238070736634E-5</v>
      </c>
      <c r="I255" s="216">
        <f t="shared" si="119"/>
        <v>-2.4144448379427203E-5</v>
      </c>
      <c r="J255" s="216">
        <f t="shared" si="119"/>
        <v>-2.1033528227462324E-5</v>
      </c>
      <c r="K255" s="216">
        <f t="shared" si="119"/>
        <v>-1.8880647997481772E-5</v>
      </c>
      <c r="L255" s="216">
        <f t="shared" si="119"/>
        <v>-1.5479088756699495E-5</v>
      </c>
    </row>
    <row r="256" spans="2:12" ht="15.75" customHeight="1">
      <c r="B256" s="175" t="s">
        <v>432</v>
      </c>
      <c r="C256" s="215">
        <f t="shared" ref="C256:L256" si="120">C101/C$114</f>
        <v>0</v>
      </c>
      <c r="D256" s="215">
        <f t="shared" si="120"/>
        <v>0</v>
      </c>
      <c r="E256" s="215">
        <f t="shared" si="120"/>
        <v>0</v>
      </c>
      <c r="F256" s="215">
        <f t="shared" si="120"/>
        <v>0</v>
      </c>
      <c r="G256" s="215">
        <f t="shared" si="120"/>
        <v>0</v>
      </c>
      <c r="H256" s="216">
        <f t="shared" si="120"/>
        <v>0</v>
      </c>
      <c r="I256" s="216">
        <f t="shared" si="120"/>
        <v>0</v>
      </c>
      <c r="J256" s="216">
        <f t="shared" si="120"/>
        <v>0</v>
      </c>
      <c r="K256" s="216">
        <f t="shared" si="120"/>
        <v>0</v>
      </c>
      <c r="L256" s="216">
        <f t="shared" si="120"/>
        <v>0</v>
      </c>
    </row>
    <row r="257" spans="1:12" ht="15.75" customHeight="1">
      <c r="A257" s="403"/>
      <c r="B257" s="30" t="s">
        <v>433</v>
      </c>
      <c r="C257" s="215">
        <f t="shared" ref="C257:L257" si="121">C102/C$114</f>
        <v>-3.772565693710728E-6</v>
      </c>
      <c r="D257" s="215">
        <f t="shared" si="121"/>
        <v>1.5880504925383406E-5</v>
      </c>
      <c r="E257" s="215">
        <f t="shared" si="121"/>
        <v>-6.8092296374453252E-7</v>
      </c>
      <c r="F257" s="215">
        <f t="shared" si="121"/>
        <v>-3.1365900456389277E-5</v>
      </c>
      <c r="G257" s="215">
        <f t="shared" si="121"/>
        <v>8.5568997819149807E-5</v>
      </c>
      <c r="H257" s="216">
        <f t="shared" si="121"/>
        <v>6.5309657500564229E-5</v>
      </c>
      <c r="I257" s="216">
        <f t="shared" si="121"/>
        <v>5.6077822956428872E-5</v>
      </c>
      <c r="J257" s="216">
        <f t="shared" si="121"/>
        <v>4.8852409197872261E-5</v>
      </c>
      <c r="K257" s="216">
        <f t="shared" si="121"/>
        <v>4.3852136071478737E-5</v>
      </c>
      <c r="L257" s="216">
        <f t="shared" si="121"/>
        <v>3.5951684842163117E-5</v>
      </c>
    </row>
    <row r="258" spans="1:12" ht="15.75" customHeight="1">
      <c r="B258" s="175" t="s">
        <v>434</v>
      </c>
      <c r="C258" s="215">
        <f t="shared" ref="C258:L258" si="122">C103/C$114</f>
        <v>0</v>
      </c>
      <c r="D258" s="215">
        <f t="shared" si="122"/>
        <v>0</v>
      </c>
      <c r="E258" s="215">
        <f t="shared" si="122"/>
        <v>0</v>
      </c>
      <c r="F258" s="215">
        <f t="shared" si="122"/>
        <v>0</v>
      </c>
      <c r="G258" s="215">
        <f t="shared" si="122"/>
        <v>0</v>
      </c>
      <c r="H258" s="216">
        <f t="shared" si="122"/>
        <v>0</v>
      </c>
      <c r="I258" s="216">
        <f t="shared" si="122"/>
        <v>0</v>
      </c>
      <c r="J258" s="216">
        <f t="shared" si="122"/>
        <v>0</v>
      </c>
      <c r="K258" s="216">
        <f t="shared" si="122"/>
        <v>0</v>
      </c>
      <c r="L258" s="216">
        <f t="shared" si="122"/>
        <v>0</v>
      </c>
    </row>
    <row r="259" spans="1:12" ht="15.75" customHeight="1">
      <c r="B259" s="175" t="s">
        <v>435</v>
      </c>
      <c r="C259" s="215">
        <f t="shared" ref="C259:L259" si="123">C104/C$114</f>
        <v>0</v>
      </c>
      <c r="D259" s="215">
        <f t="shared" si="123"/>
        <v>0</v>
      </c>
      <c r="E259" s="215">
        <f t="shared" si="123"/>
        <v>0</v>
      </c>
      <c r="F259" s="215">
        <f t="shared" si="123"/>
        <v>0</v>
      </c>
      <c r="G259" s="215">
        <f t="shared" si="123"/>
        <v>0</v>
      </c>
      <c r="H259" s="216">
        <f t="shared" si="123"/>
        <v>0</v>
      </c>
      <c r="I259" s="216">
        <f t="shared" si="123"/>
        <v>0</v>
      </c>
      <c r="J259" s="216">
        <f t="shared" si="123"/>
        <v>0</v>
      </c>
      <c r="K259" s="216">
        <f t="shared" si="123"/>
        <v>0</v>
      </c>
      <c r="L259" s="216">
        <f t="shared" si="123"/>
        <v>0</v>
      </c>
    </row>
    <row r="260" spans="1:12" ht="15.75" customHeight="1">
      <c r="B260" s="175" t="s">
        <v>436</v>
      </c>
      <c r="C260" s="215">
        <f t="shared" ref="C260:L260" si="124">C105/C$114</f>
        <v>0</v>
      </c>
      <c r="D260" s="215">
        <f t="shared" si="124"/>
        <v>0</v>
      </c>
      <c r="E260" s="215">
        <f t="shared" si="124"/>
        <v>0</v>
      </c>
      <c r="F260" s="215">
        <f t="shared" si="124"/>
        <v>0</v>
      </c>
      <c r="G260" s="215">
        <f t="shared" si="124"/>
        <v>0</v>
      </c>
      <c r="H260" s="216">
        <f t="shared" si="124"/>
        <v>0</v>
      </c>
      <c r="I260" s="216">
        <f t="shared" si="124"/>
        <v>0</v>
      </c>
      <c r="J260" s="216">
        <f t="shared" si="124"/>
        <v>0</v>
      </c>
      <c r="K260" s="216">
        <f t="shared" si="124"/>
        <v>0</v>
      </c>
      <c r="L260" s="216">
        <f t="shared" si="124"/>
        <v>0</v>
      </c>
    </row>
    <row r="261" spans="1:12" ht="15.75" customHeight="1">
      <c r="B261" s="175" t="s">
        <v>437</v>
      </c>
      <c r="C261" s="215">
        <f t="shared" ref="C261:L261" si="125">C106/C$114</f>
        <v>0.11824091509877274</v>
      </c>
      <c r="D261" s="215">
        <f t="shared" si="125"/>
        <v>0.14186503444755674</v>
      </c>
      <c r="E261" s="215">
        <f t="shared" si="125"/>
        <v>0.17142221706095404</v>
      </c>
      <c r="F261" s="215">
        <f t="shared" si="125"/>
        <v>0.22571116606938646</v>
      </c>
      <c r="G261" s="215">
        <f t="shared" si="125"/>
        <v>0.20127507461926591</v>
      </c>
      <c r="H261" s="216">
        <f t="shared" si="125"/>
        <v>0.2253671620948032</v>
      </c>
      <c r="I261" s="216">
        <f t="shared" si="125"/>
        <v>0.26442159083467193</v>
      </c>
      <c r="J261" s="216">
        <f t="shared" si="125"/>
        <v>0.31455187829904807</v>
      </c>
      <c r="K261" s="216">
        <f t="shared" si="125"/>
        <v>0.37578091592929463</v>
      </c>
      <c r="L261" s="216">
        <f t="shared" si="125"/>
        <v>0.39523556231992868</v>
      </c>
    </row>
    <row r="262" spans="1:12" ht="15.75" customHeight="1">
      <c r="B262" s="175" t="s">
        <v>438</v>
      </c>
      <c r="C262" s="215">
        <f t="shared" ref="C262:L262" si="126">C107/C$114</f>
        <v>2.1596650403330211E-2</v>
      </c>
      <c r="D262" s="215">
        <f t="shared" si="126"/>
        <v>4.0476110765490653E-2</v>
      </c>
      <c r="E262" s="215">
        <f t="shared" si="126"/>
        <v>7.9491152982518715E-2</v>
      </c>
      <c r="F262" s="215">
        <f t="shared" si="126"/>
        <v>0.14057487712596414</v>
      </c>
      <c r="G262" s="215">
        <f t="shared" si="126"/>
        <v>0.12347993386356851</v>
      </c>
      <c r="H262" s="216">
        <f t="shared" si="126"/>
        <v>0</v>
      </c>
      <c r="I262" s="216">
        <f t="shared" si="126"/>
        <v>0</v>
      </c>
      <c r="J262" s="216">
        <f t="shared" si="126"/>
        <v>0</v>
      </c>
      <c r="K262" s="216">
        <f t="shared" si="126"/>
        <v>0</v>
      </c>
      <c r="L262" s="216">
        <f t="shared" si="126"/>
        <v>0</v>
      </c>
    </row>
    <row r="263" spans="1:12" ht="15.75" customHeight="1">
      <c r="B263" s="175" t="s">
        <v>439</v>
      </c>
      <c r="C263" s="215">
        <f t="shared" ref="C263:L263" si="127">C108/C$114</f>
        <v>9.6644264695442531E-2</v>
      </c>
      <c r="D263" s="215">
        <f t="shared" si="127"/>
        <v>0.10138892368206612</v>
      </c>
      <c r="E263" s="215">
        <f t="shared" si="127"/>
        <v>9.1931061680819257E-2</v>
      </c>
      <c r="F263" s="215">
        <f t="shared" si="127"/>
        <v>8.5136288943422331E-2</v>
      </c>
      <c r="G263" s="215">
        <f t="shared" si="127"/>
        <v>7.779514075569742E-2</v>
      </c>
      <c r="H263" s="216">
        <f t="shared" si="127"/>
        <v>0</v>
      </c>
      <c r="I263" s="216">
        <f t="shared" si="127"/>
        <v>0</v>
      </c>
      <c r="J263" s="216">
        <f t="shared" si="127"/>
        <v>0</v>
      </c>
      <c r="K263" s="216">
        <f t="shared" si="127"/>
        <v>0</v>
      </c>
      <c r="L263" s="216">
        <f t="shared" si="127"/>
        <v>0</v>
      </c>
    </row>
    <row r="264" spans="1:12" ht="15.75" customHeight="1">
      <c r="B264" s="175" t="s">
        <v>440</v>
      </c>
      <c r="C264" s="215">
        <f t="shared" ref="C264:L264" si="128">C109/C$114</f>
        <v>0</v>
      </c>
      <c r="D264" s="215">
        <f t="shared" si="128"/>
        <v>0</v>
      </c>
      <c r="E264" s="215">
        <f t="shared" si="128"/>
        <v>0</v>
      </c>
      <c r="F264" s="215">
        <f t="shared" si="128"/>
        <v>0</v>
      </c>
      <c r="G264" s="215">
        <f t="shared" si="128"/>
        <v>0</v>
      </c>
      <c r="H264" s="216">
        <f t="shared" si="128"/>
        <v>0</v>
      </c>
      <c r="I264" s="216">
        <f t="shared" si="128"/>
        <v>0</v>
      </c>
      <c r="J264" s="216">
        <f t="shared" si="128"/>
        <v>0</v>
      </c>
      <c r="K264" s="216">
        <f t="shared" si="128"/>
        <v>0</v>
      </c>
      <c r="L264" s="216">
        <f t="shared" si="128"/>
        <v>0</v>
      </c>
    </row>
    <row r="265" spans="1:12" ht="15.75" customHeight="1">
      <c r="B265" s="175" t="s">
        <v>441</v>
      </c>
      <c r="C265" s="215">
        <f t="shared" ref="C265:L265" si="129">C110/C$114</f>
        <v>1.2164662178221946E-4</v>
      </c>
      <c r="D265" s="215">
        <f t="shared" si="129"/>
        <v>2.2222039292586442E-4</v>
      </c>
      <c r="E265" s="215">
        <f t="shared" si="129"/>
        <v>1.8668078478913046E-4</v>
      </c>
      <c r="F265" s="215">
        <f t="shared" si="129"/>
        <v>2.0161682766004039E-4</v>
      </c>
      <c r="G265" s="215">
        <f t="shared" si="129"/>
        <v>1.8799008911422603E-4</v>
      </c>
      <c r="H265" s="216">
        <f t="shared" si="129"/>
        <v>1.8073791419022928E-4</v>
      </c>
      <c r="I265" s="216">
        <f t="shared" si="129"/>
        <v>1.9528144774766582E-4</v>
      </c>
      <c r="J265" s="216">
        <f t="shared" si="129"/>
        <v>2.0959615049265904E-4</v>
      </c>
      <c r="K265" s="216">
        <f t="shared" si="129"/>
        <v>2.2803787706985351E-4</v>
      </c>
      <c r="L265" s="216">
        <f t="shared" si="129"/>
        <v>2.2322322398552673E-4</v>
      </c>
    </row>
    <row r="266" spans="1:12" ht="15.75" customHeight="1">
      <c r="B266" s="175" t="s">
        <v>442</v>
      </c>
      <c r="C266" s="215">
        <f t="shared" ref="C266:L266" si="130">C111/C$114</f>
        <v>0</v>
      </c>
      <c r="D266" s="215">
        <f t="shared" si="130"/>
        <v>0</v>
      </c>
      <c r="E266" s="215">
        <f t="shared" si="130"/>
        <v>0</v>
      </c>
      <c r="F266" s="215">
        <f t="shared" si="130"/>
        <v>0</v>
      </c>
      <c r="G266" s="215">
        <f t="shared" si="130"/>
        <v>0</v>
      </c>
      <c r="H266" s="216">
        <f t="shared" si="130"/>
        <v>0</v>
      </c>
      <c r="I266" s="216">
        <f t="shared" si="130"/>
        <v>0</v>
      </c>
      <c r="J266" s="216">
        <f t="shared" si="130"/>
        <v>0</v>
      </c>
      <c r="K266" s="216">
        <f t="shared" si="130"/>
        <v>0</v>
      </c>
      <c r="L266" s="216">
        <f t="shared" si="130"/>
        <v>0</v>
      </c>
    </row>
    <row r="267" spans="1:12" ht="15.75" customHeight="1">
      <c r="B267" s="175" t="s">
        <v>443</v>
      </c>
      <c r="C267" s="215">
        <f t="shared" ref="C267:L267" si="131">C112/C$114</f>
        <v>0</v>
      </c>
      <c r="D267" s="215">
        <f t="shared" si="131"/>
        <v>0</v>
      </c>
      <c r="E267" s="215">
        <f t="shared" si="131"/>
        <v>0</v>
      </c>
      <c r="F267" s="215">
        <f t="shared" si="131"/>
        <v>0</v>
      </c>
      <c r="G267" s="215">
        <f t="shared" si="131"/>
        <v>0</v>
      </c>
      <c r="H267" s="216">
        <f t="shared" si="131"/>
        <v>0</v>
      </c>
      <c r="I267" s="216">
        <f t="shared" si="131"/>
        <v>0</v>
      </c>
      <c r="J267" s="216">
        <f t="shared" si="131"/>
        <v>0</v>
      </c>
      <c r="K267" s="216">
        <f t="shared" si="131"/>
        <v>0</v>
      </c>
      <c r="L267" s="216">
        <f t="shared" si="131"/>
        <v>0</v>
      </c>
    </row>
    <row r="268" spans="1:12" ht="15.75" customHeight="1">
      <c r="B268" s="175" t="s">
        <v>444</v>
      </c>
      <c r="C268" s="215">
        <f t="shared" ref="C268:L268" si="132">C113/C$114</f>
        <v>0</v>
      </c>
      <c r="D268" s="215">
        <f t="shared" si="132"/>
        <v>0</v>
      </c>
      <c r="E268" s="215">
        <f t="shared" si="132"/>
        <v>0</v>
      </c>
      <c r="F268" s="215">
        <f t="shared" si="132"/>
        <v>0</v>
      </c>
      <c r="G268" s="215">
        <f t="shared" si="132"/>
        <v>0</v>
      </c>
      <c r="H268" s="216">
        <f t="shared" si="132"/>
        <v>0</v>
      </c>
      <c r="I268" s="216">
        <f t="shared" si="132"/>
        <v>0</v>
      </c>
      <c r="J268" s="216">
        <f t="shared" si="132"/>
        <v>0</v>
      </c>
      <c r="K268" s="216">
        <f t="shared" si="132"/>
        <v>0</v>
      </c>
      <c r="L268" s="216">
        <f t="shared" si="132"/>
        <v>0</v>
      </c>
    </row>
    <row r="269" spans="1:12" ht="15.75" customHeight="1">
      <c r="B269" s="171" t="s">
        <v>445</v>
      </c>
      <c r="C269" s="217">
        <f t="shared" ref="C269:L269" si="133">C114/C114</f>
        <v>1</v>
      </c>
      <c r="D269" s="217">
        <f t="shared" si="133"/>
        <v>1</v>
      </c>
      <c r="E269" s="217">
        <f t="shared" si="133"/>
        <v>1</v>
      </c>
      <c r="F269" s="217">
        <f t="shared" si="133"/>
        <v>1</v>
      </c>
      <c r="G269" s="217">
        <f t="shared" si="133"/>
        <v>1</v>
      </c>
      <c r="H269" s="218">
        <f t="shared" si="133"/>
        <v>1</v>
      </c>
      <c r="I269" s="218">
        <f t="shared" si="133"/>
        <v>1</v>
      </c>
      <c r="J269" s="218">
        <f t="shared" si="133"/>
        <v>1</v>
      </c>
      <c r="K269" s="218">
        <f t="shared" si="133"/>
        <v>1</v>
      </c>
      <c r="L269" s="218">
        <f t="shared" si="133"/>
        <v>1</v>
      </c>
    </row>
    <row r="270" spans="1:12" ht="15.75" customHeight="1" thickBot="1"/>
    <row r="271" spans="1:12" ht="21" customHeight="1" thickBot="1">
      <c r="A271" s="409"/>
      <c r="B271" s="410" t="s">
        <v>735</v>
      </c>
    </row>
    <row r="272" spans="1:12" s="171" customFormat="1" ht="15.75" customHeight="1">
      <c r="A272" s="402"/>
      <c r="B272" s="171" t="s">
        <v>333</v>
      </c>
      <c r="C272" s="219"/>
      <c r="D272" s="172">
        <f t="shared" ref="D272:L272" si="134">IF(C2&lt;&gt;"",-(D2-C2),"")</f>
        <v>-4509133.5</v>
      </c>
      <c r="E272" s="172">
        <f t="shared" si="134"/>
        <v>-11639902.099999998</v>
      </c>
      <c r="F272" s="172">
        <f t="shared" si="134"/>
        <v>-2305337.1000000015</v>
      </c>
      <c r="G272" s="172">
        <f t="shared" si="134"/>
        <v>-14638023.799999997</v>
      </c>
      <c r="H272" s="184">
        <f t="shared" si="134"/>
        <v>-16313136.801149324</v>
      </c>
      <c r="I272" s="184">
        <f t="shared" si="134"/>
        <v>-9573637.4990950078</v>
      </c>
      <c r="J272" s="184">
        <f t="shared" si="134"/>
        <v>-10074657.89937371</v>
      </c>
      <c r="K272" s="184">
        <f t="shared" si="134"/>
        <v>-8580358.9621987939</v>
      </c>
      <c r="L272" s="184">
        <f t="shared" si="134"/>
        <v>-23197855.76928477</v>
      </c>
    </row>
    <row r="273" spans="1:12" s="171" customFormat="1" ht="15.75" customHeight="1">
      <c r="A273" s="402"/>
      <c r="B273" s="171" t="s">
        <v>334</v>
      </c>
      <c r="C273" s="219"/>
      <c r="D273" s="172">
        <f t="shared" ref="D273:L273" si="135">IF(C3&lt;&gt;"",-(D3-C3),"")</f>
        <v>-338566.89999999991</v>
      </c>
      <c r="E273" s="172">
        <f t="shared" si="135"/>
        <v>634313.5</v>
      </c>
      <c r="F273" s="172">
        <f t="shared" si="135"/>
        <v>-4232620.6000000006</v>
      </c>
      <c r="G273" s="172">
        <f t="shared" si="135"/>
        <v>3205841.6000000006</v>
      </c>
      <c r="H273" s="184">
        <f t="shared" si="135"/>
        <v>-11049688.513609458</v>
      </c>
      <c r="I273" s="184">
        <f t="shared" si="135"/>
        <v>-181542.11970224418</v>
      </c>
      <c r="J273" s="184">
        <f t="shared" si="135"/>
        <v>-6125854.2271584626</v>
      </c>
      <c r="K273" s="184">
        <f t="shared" si="135"/>
        <v>-16503.776071686298</v>
      </c>
      <c r="L273" s="184">
        <f t="shared" si="135"/>
        <v>-18775540.965548713</v>
      </c>
    </row>
    <row r="274" spans="1:12" s="171" customFormat="1" ht="15.75" customHeight="1">
      <c r="A274" s="403" t="s">
        <v>54</v>
      </c>
      <c r="B274" s="171" t="s">
        <v>337</v>
      </c>
      <c r="C274" s="219"/>
      <c r="D274" s="172">
        <f t="shared" ref="D274:L274" si="136">IF(C4&lt;&gt;"",-(D4-C4),"")</f>
        <v>-50922.5</v>
      </c>
      <c r="E274" s="172">
        <f t="shared" si="136"/>
        <v>-3086077.5</v>
      </c>
      <c r="F274" s="172">
        <f t="shared" si="136"/>
        <v>-4920318.8</v>
      </c>
      <c r="G274" s="172">
        <f t="shared" si="136"/>
        <v>-6179307.5000000009</v>
      </c>
      <c r="H274" s="184">
        <f t="shared" si="136"/>
        <v>0</v>
      </c>
      <c r="I274" s="184">
        <f t="shared" si="136"/>
        <v>0</v>
      </c>
      <c r="J274" s="184">
        <f t="shared" si="136"/>
        <v>0</v>
      </c>
      <c r="K274" s="184">
        <f t="shared" si="136"/>
        <v>0</v>
      </c>
      <c r="L274" s="184">
        <f t="shared" si="136"/>
        <v>0</v>
      </c>
    </row>
    <row r="275" spans="1:12" ht="15.75" customHeight="1">
      <c r="A275" s="403"/>
      <c r="B275" s="175" t="s">
        <v>338</v>
      </c>
      <c r="C275" s="220"/>
      <c r="D275" s="176">
        <f t="shared" ref="D275:L275" si="137">IF(C5&lt;&gt;"",-(D5-C5),"")</f>
        <v>0</v>
      </c>
      <c r="E275" s="176">
        <f t="shared" si="137"/>
        <v>0</v>
      </c>
      <c r="F275" s="176">
        <f t="shared" si="137"/>
        <v>0</v>
      </c>
      <c r="G275" s="176">
        <f t="shared" si="137"/>
        <v>0</v>
      </c>
      <c r="H275" s="177">
        <f t="shared" si="137"/>
        <v>0</v>
      </c>
      <c r="I275" s="177">
        <f t="shared" si="137"/>
        <v>0</v>
      </c>
      <c r="J275" s="177">
        <f t="shared" si="137"/>
        <v>0</v>
      </c>
      <c r="K275" s="177">
        <f t="shared" si="137"/>
        <v>0</v>
      </c>
      <c r="L275" s="177">
        <f t="shared" si="137"/>
        <v>0</v>
      </c>
    </row>
    <row r="276" spans="1:12" ht="15.75" customHeight="1">
      <c r="A276" s="403"/>
      <c r="B276" s="175" t="s">
        <v>339</v>
      </c>
      <c r="C276" s="220"/>
      <c r="D276" s="176">
        <f t="shared" ref="D276:L276" si="138">IF(C6&lt;&gt;"",-(D6-C6),"")</f>
        <v>0</v>
      </c>
      <c r="E276" s="176">
        <f t="shared" si="138"/>
        <v>0</v>
      </c>
      <c r="F276" s="176">
        <f t="shared" si="138"/>
        <v>0</v>
      </c>
      <c r="G276" s="176">
        <f t="shared" si="138"/>
        <v>0</v>
      </c>
      <c r="H276" s="177">
        <f t="shared" si="138"/>
        <v>0</v>
      </c>
      <c r="I276" s="177">
        <f t="shared" si="138"/>
        <v>0</v>
      </c>
      <c r="J276" s="177">
        <f t="shared" si="138"/>
        <v>0</v>
      </c>
      <c r="K276" s="177">
        <f t="shared" si="138"/>
        <v>0</v>
      </c>
      <c r="L276" s="177">
        <f t="shared" si="138"/>
        <v>0</v>
      </c>
    </row>
    <row r="277" spans="1:12" ht="15.75" customHeight="1">
      <c r="A277" s="403"/>
      <c r="B277" s="175" t="s">
        <v>340</v>
      </c>
      <c r="C277" s="220"/>
      <c r="D277" s="176">
        <f t="shared" ref="D277:L277" si="139">IF(C7&lt;&gt;"",-(D7-C7),"")</f>
        <v>-50922.5</v>
      </c>
      <c r="E277" s="176">
        <f t="shared" si="139"/>
        <v>-3086077.5</v>
      </c>
      <c r="F277" s="176">
        <f t="shared" si="139"/>
        <v>-4920318.8</v>
      </c>
      <c r="G277" s="176">
        <f t="shared" si="139"/>
        <v>-6179307.5000000009</v>
      </c>
      <c r="H277" s="177">
        <f t="shared" si="139"/>
        <v>0</v>
      </c>
      <c r="I277" s="177">
        <f t="shared" si="139"/>
        <v>0</v>
      </c>
      <c r="J277" s="177">
        <f t="shared" si="139"/>
        <v>0</v>
      </c>
      <c r="K277" s="177">
        <f t="shared" si="139"/>
        <v>0</v>
      </c>
      <c r="L277" s="177">
        <f t="shared" si="139"/>
        <v>0</v>
      </c>
    </row>
    <row r="278" spans="1:12" s="171" customFormat="1" ht="15.75" customHeight="1">
      <c r="A278" s="403"/>
      <c r="B278" s="171" t="s">
        <v>341</v>
      </c>
      <c r="C278" s="219"/>
      <c r="D278" s="172">
        <f t="shared" ref="D278:L278" si="140">IF(C8&lt;&gt;"",-(D8-C8),"")</f>
        <v>1223318.0999999999</v>
      </c>
      <c r="E278" s="172">
        <f t="shared" si="140"/>
        <v>-272555.90000000014</v>
      </c>
      <c r="F278" s="172">
        <f t="shared" si="140"/>
        <v>219834.60000000009</v>
      </c>
      <c r="G278" s="172">
        <f t="shared" si="140"/>
        <v>-1566871</v>
      </c>
      <c r="H278" s="184">
        <f t="shared" si="140"/>
        <v>-648046.35153397545</v>
      </c>
      <c r="I278" s="184">
        <f t="shared" si="140"/>
        <v>-1061235.0217068503</v>
      </c>
      <c r="J278" s="184">
        <f t="shared" si="140"/>
        <v>-538772.25632116105</v>
      </c>
      <c r="K278" s="184">
        <f t="shared" si="140"/>
        <v>-868470.27941519953</v>
      </c>
      <c r="L278" s="184">
        <f t="shared" si="140"/>
        <v>-430359.66013130732</v>
      </c>
    </row>
    <row r="279" spans="1:12" ht="15.75" customHeight="1">
      <c r="A279" s="403" t="s">
        <v>55</v>
      </c>
      <c r="B279" s="175" t="s">
        <v>342</v>
      </c>
      <c r="C279" s="220"/>
      <c r="D279" s="176">
        <f t="shared" ref="D279:L279" si="141">IF(C9&lt;&gt;"",-(D9-C9),"")</f>
        <v>1062203.1000000001</v>
      </c>
      <c r="E279" s="176">
        <f t="shared" si="141"/>
        <v>107305.29999999999</v>
      </c>
      <c r="F279" s="176">
        <f t="shared" si="141"/>
        <v>65873.900000000023</v>
      </c>
      <c r="G279" s="176">
        <f t="shared" si="141"/>
        <v>-187842.09999999998</v>
      </c>
      <c r="H279" s="177">
        <f t="shared" si="141"/>
        <v>86230.877620340791</v>
      </c>
      <c r="I279" s="177">
        <f t="shared" si="141"/>
        <v>-268274.54868820531</v>
      </c>
      <c r="J279" s="177">
        <f t="shared" si="141"/>
        <v>161070.91317897802</v>
      </c>
      <c r="K279" s="177">
        <f t="shared" si="141"/>
        <v>-286322.31016712403</v>
      </c>
      <c r="L279" s="177">
        <f t="shared" si="141"/>
        <v>168567.33902990841</v>
      </c>
    </row>
    <row r="280" spans="1:12" ht="15.75" customHeight="1">
      <c r="A280" s="403" t="s">
        <v>55</v>
      </c>
      <c r="B280" s="175" t="s">
        <v>343</v>
      </c>
      <c r="C280" s="220"/>
      <c r="D280" s="176">
        <f t="shared" ref="D280:L280" si="142">IF(C10&lt;&gt;"",-(D10-C10),"")</f>
        <v>96934.7</v>
      </c>
      <c r="E280" s="176">
        <f t="shared" si="142"/>
        <v>-174009.5</v>
      </c>
      <c r="F280" s="176">
        <f t="shared" si="142"/>
        <v>-92896.5</v>
      </c>
      <c r="G280" s="176">
        <f t="shared" si="142"/>
        <v>-102825.5</v>
      </c>
      <c r="H280" s="177">
        <f t="shared" si="142"/>
        <v>-95362.417976944533</v>
      </c>
      <c r="I280" s="177">
        <f t="shared" si="142"/>
        <v>-112615.86202575802</v>
      </c>
      <c r="J280" s="177">
        <f t="shared" si="142"/>
        <v>-83868.779640589259</v>
      </c>
      <c r="K280" s="177">
        <f t="shared" si="142"/>
        <v>-82581.857813902199</v>
      </c>
      <c r="L280" s="177">
        <f t="shared" si="142"/>
        <v>-85156.657079249737</v>
      </c>
    </row>
    <row r="281" spans="1:12" ht="15.75" customHeight="1">
      <c r="A281" s="403" t="s">
        <v>55</v>
      </c>
      <c r="B281" s="175" t="s">
        <v>344</v>
      </c>
      <c r="C281" s="220"/>
      <c r="D281" s="176">
        <f t="shared" ref="D281:L281" si="143">IF(C11&lt;&gt;"",-(D11-C11),"")</f>
        <v>0</v>
      </c>
      <c r="E281" s="176">
        <f t="shared" si="143"/>
        <v>0</v>
      </c>
      <c r="F281" s="176">
        <f t="shared" si="143"/>
        <v>0</v>
      </c>
      <c r="G281" s="176">
        <f t="shared" si="143"/>
        <v>0</v>
      </c>
      <c r="H281" s="177">
        <f t="shared" si="143"/>
        <v>0</v>
      </c>
      <c r="I281" s="177">
        <f t="shared" si="143"/>
        <v>0</v>
      </c>
      <c r="J281" s="177">
        <f t="shared" si="143"/>
        <v>0</v>
      </c>
      <c r="K281" s="177">
        <f t="shared" si="143"/>
        <v>0</v>
      </c>
      <c r="L281" s="177">
        <f t="shared" si="143"/>
        <v>0</v>
      </c>
    </row>
    <row r="282" spans="1:12" ht="15.75" customHeight="1">
      <c r="A282" s="403" t="s">
        <v>55</v>
      </c>
      <c r="B282" s="175" t="s">
        <v>345</v>
      </c>
      <c r="C282" s="220"/>
      <c r="D282" s="176">
        <f t="shared" ref="D282:L282" si="144">IF(C12&lt;&gt;"",-(D12-C12),"")</f>
        <v>0</v>
      </c>
      <c r="E282" s="176">
        <f t="shared" si="144"/>
        <v>0</v>
      </c>
      <c r="F282" s="176">
        <f t="shared" si="144"/>
        <v>0</v>
      </c>
      <c r="G282" s="176">
        <f t="shared" si="144"/>
        <v>0</v>
      </c>
      <c r="H282" s="177">
        <f t="shared" si="144"/>
        <v>0</v>
      </c>
      <c r="I282" s="177">
        <f t="shared" si="144"/>
        <v>0</v>
      </c>
      <c r="J282" s="177">
        <f t="shared" si="144"/>
        <v>0</v>
      </c>
      <c r="K282" s="177">
        <f t="shared" si="144"/>
        <v>0</v>
      </c>
      <c r="L282" s="177">
        <f t="shared" si="144"/>
        <v>0</v>
      </c>
    </row>
    <row r="283" spans="1:12" ht="15.75" customHeight="1">
      <c r="A283" s="403" t="s">
        <v>55</v>
      </c>
      <c r="B283" s="175" t="s">
        <v>346</v>
      </c>
      <c r="C283" s="220"/>
      <c r="D283" s="176">
        <f t="shared" ref="D283:L283" si="145">IF(C13&lt;&gt;"",-(D13-C13),"")</f>
        <v>84700</v>
      </c>
      <c r="E283" s="176">
        <f t="shared" si="145"/>
        <v>0</v>
      </c>
      <c r="F283" s="176">
        <f t="shared" si="145"/>
        <v>-80000</v>
      </c>
      <c r="G283" s="176">
        <f t="shared" si="145"/>
        <v>-881917.7</v>
      </c>
      <c r="H283" s="177">
        <f t="shared" si="145"/>
        <v>-311245.87661756482</v>
      </c>
      <c r="I283" s="177">
        <f t="shared" si="145"/>
        <v>-389158.34993226873</v>
      </c>
      <c r="J283" s="177">
        <f t="shared" si="145"/>
        <v>-232859.41892437497</v>
      </c>
      <c r="K283" s="177">
        <f t="shared" si="145"/>
        <v>-229286.31496307184</v>
      </c>
      <c r="L283" s="177">
        <f t="shared" si="145"/>
        <v>-236435.17611671099</v>
      </c>
    </row>
    <row r="284" spans="1:12" ht="15.75" customHeight="1">
      <c r="A284" s="403" t="s">
        <v>55</v>
      </c>
      <c r="B284" s="175" t="s">
        <v>347</v>
      </c>
      <c r="C284" s="220"/>
      <c r="D284" s="176">
        <f t="shared" ref="D284:L284" si="146">IF(C14&lt;&gt;"",-(D14-C14),"")</f>
        <v>-20519.90000000014</v>
      </c>
      <c r="E284" s="176">
        <f t="shared" si="146"/>
        <v>-205851.59999999986</v>
      </c>
      <c r="F284" s="176">
        <f t="shared" si="146"/>
        <v>326857.29999999993</v>
      </c>
      <c r="G284" s="176">
        <f t="shared" si="146"/>
        <v>-394285.79999999993</v>
      </c>
      <c r="H284" s="177">
        <f t="shared" si="146"/>
        <v>-327668.93455980695</v>
      </c>
      <c r="I284" s="177">
        <f t="shared" si="146"/>
        <v>-291186.26106061833</v>
      </c>
      <c r="J284" s="177">
        <f t="shared" si="146"/>
        <v>-383114.9709351745</v>
      </c>
      <c r="K284" s="177">
        <f t="shared" si="146"/>
        <v>-270279.7964711017</v>
      </c>
      <c r="L284" s="177">
        <f t="shared" si="146"/>
        <v>-277335.16596525488</v>
      </c>
    </row>
    <row r="285" spans="1:12" ht="15.75" customHeight="1">
      <c r="A285" s="403" t="s">
        <v>56</v>
      </c>
      <c r="B285" s="175" t="s">
        <v>348</v>
      </c>
      <c r="C285" s="220"/>
      <c r="D285" s="176">
        <f t="shared" ref="D285:L285" si="147">IF(C15&lt;&gt;"",-(D15-C15),"")</f>
        <v>0</v>
      </c>
      <c r="E285" s="176">
        <f t="shared" si="147"/>
        <v>0</v>
      </c>
      <c r="F285" s="176">
        <f t="shared" si="147"/>
        <v>0</v>
      </c>
      <c r="G285" s="176">
        <f t="shared" si="147"/>
        <v>0</v>
      </c>
      <c r="H285" s="177">
        <f t="shared" si="147"/>
        <v>0</v>
      </c>
      <c r="I285" s="177">
        <f t="shared" si="147"/>
        <v>0</v>
      </c>
      <c r="J285" s="177">
        <f t="shared" si="147"/>
        <v>0</v>
      </c>
      <c r="K285" s="177">
        <f t="shared" si="147"/>
        <v>0</v>
      </c>
      <c r="L285" s="177">
        <f t="shared" si="147"/>
        <v>0</v>
      </c>
    </row>
    <row r="286" spans="1:12" ht="15.75" customHeight="1">
      <c r="A286" s="403" t="s">
        <v>55</v>
      </c>
      <c r="B286" s="175" t="s">
        <v>349</v>
      </c>
      <c r="C286" s="220"/>
      <c r="D286" s="176">
        <f t="shared" ref="D286:L286" si="148">IF(C16&lt;&gt;"",-(D16-C16),"")</f>
        <v>0</v>
      </c>
      <c r="E286" s="176">
        <f t="shared" si="148"/>
        <v>0</v>
      </c>
      <c r="F286" s="176">
        <f t="shared" si="148"/>
        <v>0</v>
      </c>
      <c r="G286" s="176">
        <f t="shared" si="148"/>
        <v>0</v>
      </c>
      <c r="H286" s="177">
        <f t="shared" si="148"/>
        <v>0</v>
      </c>
      <c r="I286" s="177">
        <f t="shared" si="148"/>
        <v>0</v>
      </c>
      <c r="J286" s="177">
        <f t="shared" si="148"/>
        <v>0</v>
      </c>
      <c r="K286" s="177">
        <f t="shared" si="148"/>
        <v>0</v>
      </c>
      <c r="L286" s="177">
        <f t="shared" si="148"/>
        <v>0</v>
      </c>
    </row>
    <row r="287" spans="1:12" s="171" customFormat="1" ht="15.75" customHeight="1">
      <c r="A287" s="403"/>
      <c r="B287" s="171" t="s">
        <v>350</v>
      </c>
      <c r="C287" s="219"/>
      <c r="D287" s="172">
        <f t="shared" ref="D287:L287" si="149">IF(C17&lt;&gt;"",-(D17-C17),"")</f>
        <v>-5395842.6000000015</v>
      </c>
      <c r="E287" s="172">
        <f t="shared" si="149"/>
        <v>-8299423.0999999978</v>
      </c>
      <c r="F287" s="172">
        <f t="shared" si="149"/>
        <v>6323250.8999999985</v>
      </c>
      <c r="G287" s="172">
        <f t="shared" si="149"/>
        <v>-9745054.8000000007</v>
      </c>
      <c r="H287" s="184">
        <f t="shared" si="149"/>
        <v>-4315235.7133981995</v>
      </c>
      <c r="I287" s="184">
        <f t="shared" si="149"/>
        <v>-7968592.0217234641</v>
      </c>
      <c r="J287" s="184">
        <f t="shared" si="149"/>
        <v>-3149298.3890456855</v>
      </c>
      <c r="K287" s="184">
        <f t="shared" si="149"/>
        <v>-7440777.2710879147</v>
      </c>
      <c r="L287" s="184">
        <f t="shared" si="149"/>
        <v>-3725559.1412307769</v>
      </c>
    </row>
    <row r="288" spans="1:12" ht="15.75" customHeight="1">
      <c r="A288" s="403" t="s">
        <v>55</v>
      </c>
      <c r="B288" s="175" t="s">
        <v>351</v>
      </c>
      <c r="C288" s="220"/>
      <c r="D288" s="176">
        <f t="shared" ref="D288:L288" si="150">IF(C18&lt;&gt;"",-(D18-C18),"")</f>
        <v>-5511182.1000000015</v>
      </c>
      <c r="E288" s="176">
        <f t="shared" si="150"/>
        <v>-8374797.0999999978</v>
      </c>
      <c r="F288" s="176">
        <f t="shared" si="150"/>
        <v>6269571.1999999993</v>
      </c>
      <c r="G288" s="176">
        <f t="shared" si="150"/>
        <v>-9923705.3000000007</v>
      </c>
      <c r="H288" s="177">
        <f t="shared" si="150"/>
        <v>-4455738.5907768421</v>
      </c>
      <c r="I288" s="177">
        <f t="shared" si="150"/>
        <v>-8164541.005864203</v>
      </c>
      <c r="J288" s="177">
        <f t="shared" si="150"/>
        <v>-3226740.1527107507</v>
      </c>
      <c r="K288" s="177">
        <f t="shared" si="150"/>
        <v>-7623747.2039835155</v>
      </c>
      <c r="L288" s="177">
        <f t="shared" si="150"/>
        <v>-3817171.2512610406</v>
      </c>
    </row>
    <row r="289" spans="1:12" ht="15.75" customHeight="1">
      <c r="A289" s="403" t="s">
        <v>56</v>
      </c>
      <c r="B289" s="175" t="s">
        <v>352</v>
      </c>
      <c r="C289" s="220"/>
      <c r="D289" s="176">
        <f t="shared" ref="D289:L289" si="151">IF(C19&lt;&gt;"",-(D19-C19),"")</f>
        <v>115339.5</v>
      </c>
      <c r="E289" s="176">
        <f t="shared" si="151"/>
        <v>75373.900000000023</v>
      </c>
      <c r="F289" s="176">
        <f t="shared" si="151"/>
        <v>53679.799999999988</v>
      </c>
      <c r="G289" s="176">
        <f t="shared" si="151"/>
        <v>178650.5</v>
      </c>
      <c r="H289" s="177">
        <f t="shared" si="151"/>
        <v>140502.87737864419</v>
      </c>
      <c r="I289" s="177">
        <f t="shared" si="151"/>
        <v>195948.98414074094</v>
      </c>
      <c r="J289" s="177">
        <f t="shared" si="151"/>
        <v>77441.763665057952</v>
      </c>
      <c r="K289" s="177">
        <f t="shared" si="151"/>
        <v>182969.93289560452</v>
      </c>
      <c r="L289" s="177">
        <f t="shared" si="151"/>
        <v>91612.110030264826</v>
      </c>
    </row>
    <row r="290" spans="1:12" s="171" customFormat="1" ht="15.75" customHeight="1">
      <c r="A290" s="403" t="s">
        <v>54</v>
      </c>
      <c r="B290" s="171" t="s">
        <v>353</v>
      </c>
      <c r="C290" s="219"/>
      <c r="D290" s="172">
        <f t="shared" ref="D290:L290" si="152">IF(C20&lt;&gt;"",-(D20-C20),"")</f>
        <v>52880.5</v>
      </c>
      <c r="E290" s="172">
        <f t="shared" si="152"/>
        <v>-616159.10000000009</v>
      </c>
      <c r="F290" s="172">
        <f t="shared" si="152"/>
        <v>304516.80000000005</v>
      </c>
      <c r="G290" s="172">
        <f t="shared" si="152"/>
        <v>-352632.09999999986</v>
      </c>
      <c r="H290" s="184">
        <f t="shared" si="152"/>
        <v>-300166.22260768362</v>
      </c>
      <c r="I290" s="184">
        <f t="shared" si="152"/>
        <v>-362268.33596245153</v>
      </c>
      <c r="J290" s="184">
        <f t="shared" si="152"/>
        <v>-260733.02684839419</v>
      </c>
      <c r="K290" s="184">
        <f t="shared" si="152"/>
        <v>-254607.63562400639</v>
      </c>
      <c r="L290" s="184">
        <f t="shared" si="152"/>
        <v>-266396.00237397943</v>
      </c>
    </row>
    <row r="291" spans="1:12" ht="15.75" customHeight="1">
      <c r="A291" s="403"/>
      <c r="B291" s="175" t="s">
        <v>354</v>
      </c>
      <c r="C291" s="220"/>
      <c r="D291" s="176">
        <f t="shared" ref="D291:L291" si="153">IF(C21&lt;&gt;"",-(D21-C21),"")</f>
        <v>55134.899999999965</v>
      </c>
      <c r="E291" s="176">
        <f t="shared" si="153"/>
        <v>-203995.89999999997</v>
      </c>
      <c r="F291" s="176">
        <f t="shared" si="153"/>
        <v>-76755.70000000007</v>
      </c>
      <c r="G291" s="176">
        <f t="shared" si="153"/>
        <v>-5409.2999999999302</v>
      </c>
      <c r="H291" s="177">
        <f t="shared" si="153"/>
        <v>-136982.74730294233</v>
      </c>
      <c r="I291" s="177">
        <f t="shared" si="153"/>
        <v>-165323.43809336936</v>
      </c>
      <c r="J291" s="177">
        <f t="shared" si="153"/>
        <v>-118987.15991434339</v>
      </c>
      <c r="K291" s="177">
        <f t="shared" si="153"/>
        <v>-116191.79902752349</v>
      </c>
      <c r="L291" s="177">
        <f t="shared" si="153"/>
        <v>-121571.49448291957</v>
      </c>
    </row>
    <row r="292" spans="1:12" ht="15.75" customHeight="1">
      <c r="A292" s="403"/>
      <c r="B292" s="175" t="s">
        <v>355</v>
      </c>
      <c r="C292" s="220"/>
      <c r="D292" s="176">
        <f t="shared" ref="D292:L292" si="154">IF(C22&lt;&gt;"",-(D22-C22),"")</f>
        <v>-511.09999999997672</v>
      </c>
      <c r="E292" s="176">
        <f t="shared" si="154"/>
        <v>-411115.8</v>
      </c>
      <c r="F292" s="176">
        <f t="shared" si="154"/>
        <v>383133.8</v>
      </c>
      <c r="G292" s="176">
        <f t="shared" si="154"/>
        <v>-309990.10000000003</v>
      </c>
      <c r="H292" s="177">
        <f t="shared" si="154"/>
        <v>-153079.49970151158</v>
      </c>
      <c r="I292" s="177">
        <f t="shared" si="154"/>
        <v>-184750.48639737151</v>
      </c>
      <c r="J292" s="177">
        <f t="shared" si="154"/>
        <v>-132969.26269342122</v>
      </c>
      <c r="K292" s="177">
        <f t="shared" si="154"/>
        <v>-129845.42079022713</v>
      </c>
      <c r="L292" s="177">
        <f t="shared" si="154"/>
        <v>-135857.28071472747</v>
      </c>
    </row>
    <row r="293" spans="1:12" ht="15.75" customHeight="1">
      <c r="A293" s="403"/>
      <c r="B293" s="175" t="s">
        <v>356</v>
      </c>
      <c r="C293" s="220"/>
      <c r="D293" s="176">
        <f t="shared" ref="D293:L293" si="155">IF(C23&lt;&gt;"",-(D23-C23),"")</f>
        <v>-1743.2</v>
      </c>
      <c r="E293" s="176">
        <f t="shared" si="155"/>
        <v>-1047.5</v>
      </c>
      <c r="F293" s="176">
        <f t="shared" si="155"/>
        <v>-1861.2999999999997</v>
      </c>
      <c r="G293" s="176">
        <f t="shared" si="155"/>
        <v>-37232.700000000004</v>
      </c>
      <c r="H293" s="177">
        <f t="shared" si="155"/>
        <v>-10103.975603229635</v>
      </c>
      <c r="I293" s="177">
        <f t="shared" si="155"/>
        <v>-12194.4114717107</v>
      </c>
      <c r="J293" s="177">
        <f t="shared" si="155"/>
        <v>-8776.604240629691</v>
      </c>
      <c r="K293" s="177">
        <f t="shared" si="155"/>
        <v>-8570.415806255638</v>
      </c>
      <c r="L293" s="177">
        <f t="shared" si="155"/>
        <v>-8967.2271763321623</v>
      </c>
    </row>
    <row r="294" spans="1:12" ht="15.75" customHeight="1">
      <c r="A294" s="403"/>
      <c r="B294" s="175" t="s">
        <v>357</v>
      </c>
      <c r="C294" s="220"/>
      <c r="D294" s="176">
        <f t="shared" ref="D294:L294" si="156">IF(C24&lt;&gt;"",-(D24-C24),"")</f>
        <v>0</v>
      </c>
      <c r="E294" s="176">
        <f t="shared" si="156"/>
        <v>0</v>
      </c>
      <c r="F294" s="176">
        <f t="shared" si="156"/>
        <v>0</v>
      </c>
      <c r="G294" s="176">
        <f t="shared" si="156"/>
        <v>0</v>
      </c>
      <c r="H294" s="177">
        <f t="shared" si="156"/>
        <v>0</v>
      </c>
      <c r="I294" s="177">
        <f t="shared" si="156"/>
        <v>0</v>
      </c>
      <c r="J294" s="177">
        <f t="shared" si="156"/>
        <v>0</v>
      </c>
      <c r="K294" s="177">
        <f t="shared" si="156"/>
        <v>0</v>
      </c>
      <c r="L294" s="177">
        <f t="shared" si="156"/>
        <v>0</v>
      </c>
    </row>
    <row r="295" spans="1:12" ht="15.75" customHeight="1">
      <c r="A295" s="403"/>
      <c r="B295" s="175" t="s">
        <v>358</v>
      </c>
      <c r="C295" s="220"/>
      <c r="D295" s="176">
        <f t="shared" ref="D295:L295" si="157">IF(C25&lt;&gt;"",-(D25-C25),"")</f>
        <v>0</v>
      </c>
      <c r="E295" s="176">
        <f t="shared" si="157"/>
        <v>0</v>
      </c>
      <c r="F295" s="176">
        <f t="shared" si="157"/>
        <v>0</v>
      </c>
      <c r="G295" s="176">
        <f t="shared" si="157"/>
        <v>0</v>
      </c>
      <c r="H295" s="177">
        <f t="shared" si="157"/>
        <v>0</v>
      </c>
      <c r="I295" s="177">
        <f t="shared" si="157"/>
        <v>0</v>
      </c>
      <c r="J295" s="177">
        <f t="shared" si="157"/>
        <v>0</v>
      </c>
      <c r="K295" s="177">
        <f t="shared" si="157"/>
        <v>0</v>
      </c>
      <c r="L295" s="177">
        <f t="shared" si="157"/>
        <v>0</v>
      </c>
    </row>
    <row r="296" spans="1:12" s="171" customFormat="1" ht="15.75" customHeight="1">
      <c r="A296" s="403"/>
      <c r="B296" s="171" t="s">
        <v>359</v>
      </c>
      <c r="C296" s="219"/>
      <c r="D296" s="172">
        <f t="shared" ref="D296:L296" si="158">IF(C26&lt;&gt;"",-(D26-C26),"")</f>
        <v>-790733.80000000028</v>
      </c>
      <c r="E296" s="172">
        <f t="shared" si="158"/>
        <v>-1945661.8999999994</v>
      </c>
      <c r="F296" s="172">
        <f t="shared" si="158"/>
        <v>-2017447.4000000004</v>
      </c>
      <c r="G296" s="172">
        <f t="shared" si="158"/>
        <v>-2302501</v>
      </c>
      <c r="H296" s="184">
        <f t="shared" si="158"/>
        <v>-3221250.0534566939</v>
      </c>
      <c r="I296" s="184">
        <f t="shared" si="158"/>
        <v>-4008912.2161209472</v>
      </c>
      <c r="J296" s="184">
        <f t="shared" si="158"/>
        <v>-4137087.9643014781</v>
      </c>
      <c r="K296" s="184">
        <f t="shared" si="158"/>
        <v>-3996692.2795821354</v>
      </c>
      <c r="L296" s="184">
        <f t="shared" si="158"/>
        <v>-3804629.4999263845</v>
      </c>
    </row>
    <row r="297" spans="1:12" s="171" customFormat="1" ht="15.75" customHeight="1">
      <c r="A297" s="403" t="s">
        <v>54</v>
      </c>
      <c r="B297" s="171" t="s">
        <v>360</v>
      </c>
      <c r="C297" s="219"/>
      <c r="D297" s="172">
        <f t="shared" ref="D297:L297" si="159">IF(C27&lt;&gt;"",-(D27-C27),"")</f>
        <v>-71659.599999999977</v>
      </c>
      <c r="E297" s="172">
        <f t="shared" si="159"/>
        <v>-60788</v>
      </c>
      <c r="F297" s="172">
        <f t="shared" si="159"/>
        <v>-64929.700000000012</v>
      </c>
      <c r="G297" s="172">
        <f t="shared" si="159"/>
        <v>-42895.900000000023</v>
      </c>
      <c r="H297" s="184">
        <f t="shared" si="159"/>
        <v>0</v>
      </c>
      <c r="I297" s="184">
        <f t="shared" si="159"/>
        <v>0</v>
      </c>
      <c r="J297" s="184">
        <f t="shared" si="159"/>
        <v>0</v>
      </c>
      <c r="K297" s="184">
        <f t="shared" si="159"/>
        <v>0</v>
      </c>
      <c r="L297" s="184">
        <f t="shared" si="159"/>
        <v>0</v>
      </c>
    </row>
    <row r="298" spans="1:12" ht="15.75" customHeight="1">
      <c r="A298" s="403"/>
      <c r="B298" s="175" t="s">
        <v>361</v>
      </c>
      <c r="C298" s="220"/>
      <c r="D298" s="176">
        <f t="shared" ref="D298:L298" si="160">IF(C28&lt;&gt;"",-(D28-C28),"")</f>
        <v>0</v>
      </c>
      <c r="E298" s="176">
        <f t="shared" si="160"/>
        <v>0</v>
      </c>
      <c r="F298" s="176">
        <f t="shared" si="160"/>
        <v>0</v>
      </c>
      <c r="G298" s="176">
        <f t="shared" si="160"/>
        <v>0</v>
      </c>
      <c r="H298" s="177">
        <f t="shared" si="160"/>
        <v>0</v>
      </c>
      <c r="I298" s="177">
        <f t="shared" si="160"/>
        <v>0</v>
      </c>
      <c r="J298" s="177">
        <f t="shared" si="160"/>
        <v>0</v>
      </c>
      <c r="K298" s="177">
        <f t="shared" si="160"/>
        <v>0</v>
      </c>
      <c r="L298" s="177">
        <f t="shared" si="160"/>
        <v>0</v>
      </c>
    </row>
    <row r="299" spans="1:12" ht="15.75" customHeight="1">
      <c r="A299" s="403"/>
      <c r="B299" s="175" t="s">
        <v>362</v>
      </c>
      <c r="C299" s="220"/>
      <c r="D299" s="176">
        <f t="shared" ref="D299:L299" si="161">IF(C29&lt;&gt;"",-(D29-C29),"")</f>
        <v>0</v>
      </c>
      <c r="E299" s="176">
        <f t="shared" si="161"/>
        <v>0</v>
      </c>
      <c r="F299" s="176">
        <f t="shared" si="161"/>
        <v>0</v>
      </c>
      <c r="G299" s="176">
        <f t="shared" si="161"/>
        <v>0</v>
      </c>
      <c r="H299" s="177">
        <f t="shared" si="161"/>
        <v>0</v>
      </c>
      <c r="I299" s="177">
        <f t="shared" si="161"/>
        <v>0</v>
      </c>
      <c r="J299" s="177">
        <f t="shared" si="161"/>
        <v>0</v>
      </c>
      <c r="K299" s="177">
        <f t="shared" si="161"/>
        <v>0</v>
      </c>
      <c r="L299" s="177">
        <f t="shared" si="161"/>
        <v>0</v>
      </c>
    </row>
    <row r="300" spans="1:12" ht="15.75" customHeight="1">
      <c r="A300" s="403"/>
      <c r="B300" s="175" t="s">
        <v>363</v>
      </c>
      <c r="C300" s="220"/>
      <c r="D300" s="176">
        <f t="shared" ref="D300:L300" si="162">IF(C30&lt;&gt;"",-(D30-C30),"")</f>
        <v>0</v>
      </c>
      <c r="E300" s="176">
        <f t="shared" si="162"/>
        <v>0</v>
      </c>
      <c r="F300" s="176">
        <f t="shared" si="162"/>
        <v>0</v>
      </c>
      <c r="G300" s="176">
        <f t="shared" si="162"/>
        <v>0</v>
      </c>
      <c r="H300" s="177">
        <f t="shared" si="162"/>
        <v>0</v>
      </c>
      <c r="I300" s="177">
        <f t="shared" si="162"/>
        <v>0</v>
      </c>
      <c r="J300" s="177">
        <f t="shared" si="162"/>
        <v>0</v>
      </c>
      <c r="K300" s="177">
        <f t="shared" si="162"/>
        <v>0</v>
      </c>
      <c r="L300" s="177">
        <f t="shared" si="162"/>
        <v>0</v>
      </c>
    </row>
    <row r="301" spans="1:12" ht="15.75" customHeight="1">
      <c r="A301" s="403"/>
      <c r="B301" s="175" t="s">
        <v>364</v>
      </c>
      <c r="C301" s="220"/>
      <c r="D301" s="176">
        <f t="shared" ref="D301:L301" si="163">IF(C31&lt;&gt;"",-(D31-C31),"")</f>
        <v>0</v>
      </c>
      <c r="E301" s="176">
        <f t="shared" si="163"/>
        <v>0</v>
      </c>
      <c r="F301" s="176">
        <f t="shared" si="163"/>
        <v>0</v>
      </c>
      <c r="G301" s="176">
        <f t="shared" si="163"/>
        <v>0</v>
      </c>
      <c r="H301" s="177">
        <f t="shared" si="163"/>
        <v>0</v>
      </c>
      <c r="I301" s="177">
        <f t="shared" si="163"/>
        <v>0</v>
      </c>
      <c r="J301" s="177">
        <f t="shared" si="163"/>
        <v>0</v>
      </c>
      <c r="K301" s="177">
        <f t="shared" si="163"/>
        <v>0</v>
      </c>
      <c r="L301" s="177">
        <f t="shared" si="163"/>
        <v>0</v>
      </c>
    </row>
    <row r="302" spans="1:12" ht="15.75" customHeight="1">
      <c r="A302" s="403"/>
      <c r="B302" s="175" t="s">
        <v>365</v>
      </c>
      <c r="C302" s="220"/>
      <c r="D302" s="176">
        <f t="shared" ref="D302:L302" si="164">IF(C32&lt;&gt;"",-(D32-C32),"")</f>
        <v>0</v>
      </c>
      <c r="E302" s="176">
        <f t="shared" si="164"/>
        <v>0</v>
      </c>
      <c r="F302" s="176">
        <f t="shared" si="164"/>
        <v>0</v>
      </c>
      <c r="G302" s="176">
        <f t="shared" si="164"/>
        <v>0</v>
      </c>
      <c r="H302" s="177">
        <f t="shared" si="164"/>
        <v>0</v>
      </c>
      <c r="I302" s="177">
        <f t="shared" si="164"/>
        <v>0</v>
      </c>
      <c r="J302" s="177">
        <f t="shared" si="164"/>
        <v>0</v>
      </c>
      <c r="K302" s="177">
        <f t="shared" si="164"/>
        <v>0</v>
      </c>
      <c r="L302" s="177">
        <f t="shared" si="164"/>
        <v>0</v>
      </c>
    </row>
    <row r="303" spans="1:12" ht="15.75" customHeight="1">
      <c r="A303" s="403"/>
      <c r="B303" s="175" t="s">
        <v>366</v>
      </c>
      <c r="C303" s="220"/>
      <c r="D303" s="176">
        <f t="shared" ref="D303:L303" si="165">IF(C33&lt;&gt;"",-(D33-C33),"")</f>
        <v>-71659.599999999977</v>
      </c>
      <c r="E303" s="176">
        <f t="shared" si="165"/>
        <v>-60788</v>
      </c>
      <c r="F303" s="176">
        <f t="shared" si="165"/>
        <v>-64929.700000000012</v>
      </c>
      <c r="G303" s="176">
        <f t="shared" si="165"/>
        <v>-42895.900000000023</v>
      </c>
      <c r="H303" s="177">
        <f t="shared" si="165"/>
        <v>0</v>
      </c>
      <c r="I303" s="177">
        <f t="shared" si="165"/>
        <v>0</v>
      </c>
      <c r="J303" s="177">
        <f t="shared" si="165"/>
        <v>0</v>
      </c>
      <c r="K303" s="177">
        <f t="shared" si="165"/>
        <v>0</v>
      </c>
      <c r="L303" s="177">
        <f t="shared" si="165"/>
        <v>0</v>
      </c>
    </row>
    <row r="304" spans="1:12" ht="15.75" customHeight="1">
      <c r="A304" s="403"/>
      <c r="B304" s="175" t="s">
        <v>367</v>
      </c>
      <c r="C304" s="220"/>
      <c r="D304" s="176">
        <f t="shared" ref="D304:L304" si="166">IF(C34&lt;&gt;"",-(D34-C34),"")</f>
        <v>0</v>
      </c>
      <c r="E304" s="176">
        <f t="shared" si="166"/>
        <v>0</v>
      </c>
      <c r="F304" s="176">
        <f t="shared" si="166"/>
        <v>0</v>
      </c>
      <c r="G304" s="176">
        <f t="shared" si="166"/>
        <v>0</v>
      </c>
      <c r="H304" s="177">
        <f t="shared" si="166"/>
        <v>0</v>
      </c>
      <c r="I304" s="177">
        <f t="shared" si="166"/>
        <v>0</v>
      </c>
      <c r="J304" s="177">
        <f t="shared" si="166"/>
        <v>0</v>
      </c>
      <c r="K304" s="177">
        <f t="shared" si="166"/>
        <v>0</v>
      </c>
      <c r="L304" s="177">
        <f t="shared" si="166"/>
        <v>0</v>
      </c>
    </row>
    <row r="305" spans="1:12" s="171" customFormat="1" ht="15.75" customHeight="1">
      <c r="A305" s="403"/>
      <c r="B305" s="180" t="s">
        <v>368</v>
      </c>
      <c r="C305" s="219"/>
      <c r="D305" s="172">
        <f t="shared" ref="D305:L305" si="167">IF(C35&lt;&gt;"",-(D35-C35),"")</f>
        <v>130510.29999999981</v>
      </c>
      <c r="E305" s="172">
        <f t="shared" si="167"/>
        <v>-2070629.2999999998</v>
      </c>
      <c r="F305" s="172">
        <f t="shared" si="167"/>
        <v>-1891184.7000000002</v>
      </c>
      <c r="G305" s="172">
        <f t="shared" si="167"/>
        <v>-2352207.2000000002</v>
      </c>
      <c r="H305" s="184">
        <f t="shared" si="167"/>
        <v>-3007760.8792832568</v>
      </c>
      <c r="I305" s="184">
        <f t="shared" si="167"/>
        <v>-3886560.9822210893</v>
      </c>
      <c r="J305" s="184">
        <f t="shared" si="167"/>
        <v>-4061640.2314537372</v>
      </c>
      <c r="K305" s="184">
        <f t="shared" si="167"/>
        <v>-4020760.989837341</v>
      </c>
      <c r="L305" s="184">
        <f t="shared" si="167"/>
        <v>-3737922.1281984039</v>
      </c>
    </row>
    <row r="306" spans="1:12" s="171" customFormat="1" ht="15.75" customHeight="1">
      <c r="A306" s="403"/>
      <c r="B306" s="180" t="s">
        <v>369</v>
      </c>
      <c r="C306" s="219"/>
      <c r="D306" s="172">
        <f t="shared" ref="D306:L306" si="168">IF(C36&lt;&gt;"",-(D36-C36),"")</f>
        <v>130924.79999999981</v>
      </c>
      <c r="E306" s="172">
        <f t="shared" si="168"/>
        <v>-2070355.7000000002</v>
      </c>
      <c r="F306" s="172">
        <f t="shared" si="168"/>
        <v>-1892040.0999999996</v>
      </c>
      <c r="G306" s="172">
        <f t="shared" si="168"/>
        <v>-2299635.6000000006</v>
      </c>
      <c r="H306" s="184">
        <f t="shared" si="168"/>
        <v>-3012669.3828832563</v>
      </c>
      <c r="I306" s="184">
        <f t="shared" si="168"/>
        <v>-3891640.4598210901</v>
      </c>
      <c r="J306" s="184">
        <f t="shared" si="168"/>
        <v>-4066890.7230537385</v>
      </c>
      <c r="K306" s="184">
        <f t="shared" si="168"/>
        <v>-4026182.4954373389</v>
      </c>
      <c r="L306" s="184">
        <f t="shared" si="168"/>
        <v>-3743274.7977984026</v>
      </c>
    </row>
    <row r="307" spans="1:12" ht="15.75" customHeight="1">
      <c r="A307" s="403" t="s">
        <v>57</v>
      </c>
      <c r="B307" s="30" t="s">
        <v>370</v>
      </c>
      <c r="C307" s="220"/>
      <c r="D307" s="176">
        <f t="shared" ref="D307:L307" si="169">IF(C37&lt;&gt;"",-(D37-C37),"")</f>
        <v>-955626.39999999944</v>
      </c>
      <c r="E307" s="176">
        <f t="shared" si="169"/>
        <v>-3360129.7</v>
      </c>
      <c r="F307" s="176">
        <f t="shared" si="169"/>
        <v>-3814855.4000000004</v>
      </c>
      <c r="G307" s="176">
        <f t="shared" si="169"/>
        <v>-5023776.4000000004</v>
      </c>
      <c r="H307" s="177">
        <f t="shared" si="169"/>
        <v>-6268456.4515739419</v>
      </c>
      <c r="I307" s="177">
        <f t="shared" si="169"/>
        <v>-7870068.6598572321</v>
      </c>
      <c r="J307" s="177">
        <f t="shared" si="169"/>
        <v>-8995187.6693318225</v>
      </c>
      <c r="K307" s="177">
        <f t="shared" si="169"/>
        <v>-10089282.690511927</v>
      </c>
      <c r="L307" s="177">
        <f t="shared" si="169"/>
        <v>-11118086.475518376</v>
      </c>
    </row>
    <row r="308" spans="1:12" ht="15.75" customHeight="1">
      <c r="A308" s="403" t="s">
        <v>58</v>
      </c>
      <c r="B308" s="30" t="s">
        <v>371</v>
      </c>
      <c r="C308" s="220"/>
      <c r="D308" s="176">
        <f t="shared" ref="D308:L308" si="170">IF(C38&lt;&gt;"",-(D38-C38),"")</f>
        <v>1086551.1999999997</v>
      </c>
      <c r="E308" s="176">
        <f t="shared" si="170"/>
        <v>1289774</v>
      </c>
      <c r="F308" s="176">
        <f t="shared" si="170"/>
        <v>1922815.2999999998</v>
      </c>
      <c r="G308" s="176">
        <f t="shared" si="170"/>
        <v>2724140.8000000007</v>
      </c>
      <c r="H308" s="177">
        <f t="shared" si="170"/>
        <v>3255787.0686906856</v>
      </c>
      <c r="I308" s="177">
        <f t="shared" si="170"/>
        <v>3978428.200036142</v>
      </c>
      <c r="J308" s="177">
        <f t="shared" si="170"/>
        <v>4928296.9462780841</v>
      </c>
      <c r="K308" s="177">
        <f t="shared" si="170"/>
        <v>6063100.1950745881</v>
      </c>
      <c r="L308" s="177">
        <f t="shared" si="170"/>
        <v>7374811.677719973</v>
      </c>
    </row>
    <row r="309" spans="1:12" ht="15.75" customHeight="1">
      <c r="A309" s="403"/>
      <c r="B309" s="30" t="s">
        <v>372</v>
      </c>
      <c r="C309" s="220"/>
      <c r="D309" s="176">
        <f t="shared" ref="D309:L309" si="171">IF(C39&lt;&gt;"",-(D39-C39),"")</f>
        <v>0</v>
      </c>
      <c r="E309" s="176">
        <f t="shared" si="171"/>
        <v>0</v>
      </c>
      <c r="F309" s="176">
        <f t="shared" si="171"/>
        <v>0</v>
      </c>
      <c r="G309" s="176">
        <f t="shared" si="171"/>
        <v>0</v>
      </c>
      <c r="H309" s="177">
        <f t="shared" si="171"/>
        <v>0</v>
      </c>
      <c r="I309" s="221" t="str">
        <f t="shared" si="171"/>
        <v/>
      </c>
      <c r="J309" s="221" t="str">
        <f t="shared" si="171"/>
        <v/>
      </c>
      <c r="K309" s="221" t="str">
        <f t="shared" si="171"/>
        <v/>
      </c>
      <c r="L309" s="221" t="str">
        <f t="shared" si="171"/>
        <v/>
      </c>
    </row>
    <row r="310" spans="1:12" ht="15.75" customHeight="1">
      <c r="A310" s="403" t="s">
        <v>57</v>
      </c>
      <c r="B310" s="30" t="s">
        <v>370</v>
      </c>
      <c r="C310" s="220"/>
      <c r="D310" s="176">
        <f t="shared" ref="D310:L310" si="172">IF(C40&lt;&gt;"",-(D40-C40),"")</f>
        <v>0</v>
      </c>
      <c r="E310" s="176">
        <f t="shared" si="172"/>
        <v>0</v>
      </c>
      <c r="F310" s="176">
        <f t="shared" si="172"/>
        <v>0</v>
      </c>
      <c r="G310" s="176">
        <f t="shared" si="172"/>
        <v>0</v>
      </c>
      <c r="H310" s="177">
        <f t="shared" si="172"/>
        <v>0</v>
      </c>
      <c r="I310" s="221" t="str">
        <f t="shared" si="172"/>
        <v/>
      </c>
      <c r="J310" s="221" t="str">
        <f t="shared" si="172"/>
        <v/>
      </c>
      <c r="K310" s="221" t="str">
        <f t="shared" si="172"/>
        <v/>
      </c>
      <c r="L310" s="221" t="str">
        <f t="shared" si="172"/>
        <v/>
      </c>
    </row>
    <row r="311" spans="1:12" ht="15.75" customHeight="1">
      <c r="A311" s="403" t="s">
        <v>58</v>
      </c>
      <c r="B311" s="30" t="s">
        <v>371</v>
      </c>
      <c r="C311" s="220"/>
      <c r="D311" s="176">
        <f t="shared" ref="D311:L311" si="173">IF(C41&lt;&gt;"",-(D41-C41),"")</f>
        <v>0</v>
      </c>
      <c r="E311" s="176">
        <f t="shared" si="173"/>
        <v>0</v>
      </c>
      <c r="F311" s="176">
        <f t="shared" si="173"/>
        <v>0</v>
      </c>
      <c r="G311" s="176">
        <f t="shared" si="173"/>
        <v>0</v>
      </c>
      <c r="H311" s="177">
        <f t="shared" si="173"/>
        <v>0</v>
      </c>
      <c r="I311" s="221" t="str">
        <f t="shared" si="173"/>
        <v/>
      </c>
      <c r="J311" s="221" t="str">
        <f t="shared" si="173"/>
        <v/>
      </c>
      <c r="K311" s="221" t="str">
        <f t="shared" si="173"/>
        <v/>
      </c>
      <c r="L311" s="221" t="str">
        <f t="shared" si="173"/>
        <v/>
      </c>
    </row>
    <row r="312" spans="1:12" s="171" customFormat="1" ht="15.75" customHeight="1">
      <c r="A312" s="403"/>
      <c r="B312" s="180" t="s">
        <v>373</v>
      </c>
      <c r="C312" s="219"/>
      <c r="D312" s="172">
        <f t="shared" ref="D312:L312" si="174">IF(C42&lt;&gt;"",-(D42-C42),"")</f>
        <v>-414.39999999999782</v>
      </c>
      <c r="E312" s="172">
        <f t="shared" si="174"/>
        <v>-273.70000000000073</v>
      </c>
      <c r="F312" s="172">
        <f t="shared" si="174"/>
        <v>855.39999999999782</v>
      </c>
      <c r="G312" s="172">
        <f t="shared" si="174"/>
        <v>-52571.499999999993</v>
      </c>
      <c r="H312" s="184">
        <f t="shared" si="174"/>
        <v>4908.4035999999905</v>
      </c>
      <c r="I312" s="184">
        <f t="shared" si="174"/>
        <v>5079.4776000000129</v>
      </c>
      <c r="J312" s="184">
        <f t="shared" si="174"/>
        <v>5250.4916000000085</v>
      </c>
      <c r="K312" s="184">
        <f t="shared" si="174"/>
        <v>5421.5056000000041</v>
      </c>
      <c r="L312" s="184">
        <f t="shared" si="174"/>
        <v>5352.6696000000084</v>
      </c>
    </row>
    <row r="313" spans="1:12" ht="15.75" customHeight="1">
      <c r="A313" s="403" t="s">
        <v>57</v>
      </c>
      <c r="B313" s="30" t="s">
        <v>370</v>
      </c>
      <c r="C313" s="220"/>
      <c r="D313" s="176">
        <f t="shared" ref="D313:L313" si="175">IF(C43&lt;&gt;"",-(D43-C43),"")</f>
        <v>-1058.9000000000015</v>
      </c>
      <c r="E313" s="176">
        <f t="shared" si="175"/>
        <v>-1013.7999999999956</v>
      </c>
      <c r="F313" s="176">
        <f t="shared" si="175"/>
        <v>-959.40000000000146</v>
      </c>
      <c r="G313" s="176">
        <f t="shared" si="175"/>
        <v>-54486.200000000004</v>
      </c>
      <c r="H313" s="177">
        <f t="shared" si="175"/>
        <v>-959.39999999999418</v>
      </c>
      <c r="I313" s="177">
        <f t="shared" si="175"/>
        <v>-959.39999999999418</v>
      </c>
      <c r="J313" s="177">
        <f t="shared" si="175"/>
        <v>-959.39999999999418</v>
      </c>
      <c r="K313" s="177">
        <f t="shared" si="175"/>
        <v>-959.39999999999418</v>
      </c>
      <c r="L313" s="177">
        <f t="shared" si="175"/>
        <v>-959.39999999999418</v>
      </c>
    </row>
    <row r="314" spans="1:12" ht="15.75" customHeight="1">
      <c r="A314" s="403" t="s">
        <v>58</v>
      </c>
      <c r="B314" s="30" t="s">
        <v>371</v>
      </c>
      <c r="C314" s="220"/>
      <c r="D314" s="176">
        <f t="shared" ref="D314:L314" si="176">IF(C44&lt;&gt;"",-(D44-C44),"")</f>
        <v>644.5</v>
      </c>
      <c r="E314" s="176">
        <f t="shared" si="176"/>
        <v>740.09999999999945</v>
      </c>
      <c r="F314" s="176">
        <f t="shared" si="176"/>
        <v>1814.9000000000005</v>
      </c>
      <c r="G314" s="176">
        <f t="shared" si="176"/>
        <v>1914.4999999999991</v>
      </c>
      <c r="H314" s="177">
        <f t="shared" si="176"/>
        <v>5867.9036000000015</v>
      </c>
      <c r="I314" s="177">
        <f t="shared" si="176"/>
        <v>6038.8775999999998</v>
      </c>
      <c r="J314" s="177">
        <f t="shared" si="176"/>
        <v>6209.8916000000027</v>
      </c>
      <c r="K314" s="177">
        <f t="shared" si="176"/>
        <v>6380.9055999999982</v>
      </c>
      <c r="L314" s="177">
        <f t="shared" si="176"/>
        <v>6312.0696000000025</v>
      </c>
    </row>
    <row r="315" spans="1:12" ht="15.75" customHeight="1">
      <c r="A315" s="403"/>
      <c r="B315" s="30" t="s">
        <v>374</v>
      </c>
      <c r="C315" s="220"/>
      <c r="D315" s="176">
        <f t="shared" ref="D315:L315" si="177">IF(C45&lt;&gt;"",-(D45-C45),"")</f>
        <v>0</v>
      </c>
      <c r="E315" s="176">
        <f t="shared" si="177"/>
        <v>0</v>
      </c>
      <c r="F315" s="176">
        <f t="shared" si="177"/>
        <v>0</v>
      </c>
      <c r="G315" s="176">
        <f t="shared" si="177"/>
        <v>0</v>
      </c>
      <c r="H315" s="177">
        <f t="shared" si="177"/>
        <v>0</v>
      </c>
      <c r="I315" s="221" t="str">
        <f t="shared" si="177"/>
        <v/>
      </c>
      <c r="J315" s="221" t="str">
        <f t="shared" si="177"/>
        <v/>
      </c>
      <c r="K315" s="221" t="str">
        <f t="shared" si="177"/>
        <v/>
      </c>
      <c r="L315" s="221" t="str">
        <f t="shared" si="177"/>
        <v/>
      </c>
    </row>
    <row r="316" spans="1:12" ht="15.75" customHeight="1">
      <c r="A316" s="403" t="s">
        <v>57</v>
      </c>
      <c r="B316" s="30" t="s">
        <v>375</v>
      </c>
      <c r="C316" s="220"/>
      <c r="D316" s="176">
        <f t="shared" ref="D316:L316" si="178">IF(C46&lt;&gt;"",-(D46-C46),"")</f>
        <v>0</v>
      </c>
      <c r="E316" s="176">
        <f t="shared" si="178"/>
        <v>0</v>
      </c>
      <c r="F316" s="176">
        <f t="shared" si="178"/>
        <v>0</v>
      </c>
      <c r="G316" s="176">
        <f t="shared" si="178"/>
        <v>0</v>
      </c>
      <c r="H316" s="177">
        <f t="shared" si="178"/>
        <v>0</v>
      </c>
      <c r="I316" s="221" t="str">
        <f t="shared" si="178"/>
        <v/>
      </c>
      <c r="J316" s="221" t="str">
        <f t="shared" si="178"/>
        <v/>
      </c>
      <c r="K316" s="221" t="str">
        <f t="shared" si="178"/>
        <v/>
      </c>
      <c r="L316" s="221" t="str">
        <f t="shared" si="178"/>
        <v/>
      </c>
    </row>
    <row r="317" spans="1:12" ht="15.75" customHeight="1">
      <c r="A317" s="403" t="s">
        <v>58</v>
      </c>
      <c r="B317" s="30" t="s">
        <v>376</v>
      </c>
      <c r="C317" s="220"/>
      <c r="D317" s="176">
        <f t="shared" ref="D317:L317" si="179">IF(C47&lt;&gt;"",-(D47-C47),"")</f>
        <v>0</v>
      </c>
      <c r="E317" s="176">
        <f t="shared" si="179"/>
        <v>0</v>
      </c>
      <c r="F317" s="176">
        <f t="shared" si="179"/>
        <v>0</v>
      </c>
      <c r="G317" s="176">
        <f t="shared" si="179"/>
        <v>0</v>
      </c>
      <c r="H317" s="177">
        <f t="shared" si="179"/>
        <v>0</v>
      </c>
      <c r="I317" s="221" t="str">
        <f t="shared" si="179"/>
        <v/>
      </c>
      <c r="J317" s="221" t="str">
        <f t="shared" si="179"/>
        <v/>
      </c>
      <c r="K317" s="221" t="str">
        <f t="shared" si="179"/>
        <v/>
      </c>
      <c r="L317" s="221" t="str">
        <f t="shared" si="179"/>
        <v/>
      </c>
    </row>
    <row r="318" spans="1:12" s="171" customFormat="1" ht="15.75" customHeight="1">
      <c r="A318" s="403"/>
      <c r="B318" s="180" t="s">
        <v>377</v>
      </c>
      <c r="C318" s="219"/>
      <c r="D318" s="172">
        <f t="shared" ref="D318:L318" si="180">IF(C48&lt;&gt;"",-(D48-C48),"")</f>
        <v>-221374.6</v>
      </c>
      <c r="E318" s="172">
        <f t="shared" si="180"/>
        <v>169401.60000000001</v>
      </c>
      <c r="F318" s="172">
        <f t="shared" si="180"/>
        <v>-45190</v>
      </c>
      <c r="G318" s="172">
        <f t="shared" si="180"/>
        <v>52922.5</v>
      </c>
      <c r="H318" s="184">
        <f t="shared" si="180"/>
        <v>-167852.44138295777</v>
      </c>
      <c r="I318" s="184">
        <f t="shared" si="180"/>
        <v>-57350.39135601325</v>
      </c>
      <c r="J318" s="184">
        <f t="shared" si="180"/>
        <v>-42710.74472474301</v>
      </c>
      <c r="K318" s="184">
        <f t="shared" si="180"/>
        <v>55361.341072267736</v>
      </c>
      <c r="L318" s="184">
        <f t="shared" si="180"/>
        <v>-32524.953782361583</v>
      </c>
    </row>
    <row r="319" spans="1:12" ht="15.75" customHeight="1">
      <c r="A319" s="403"/>
      <c r="B319" s="30" t="s">
        <v>378</v>
      </c>
      <c r="C319" s="220"/>
      <c r="D319" s="176">
        <f t="shared" ref="D319:L319" si="181">IF(C49&lt;&gt;"",-(D49-C49),"")</f>
        <v>0</v>
      </c>
      <c r="E319" s="176">
        <f t="shared" si="181"/>
        <v>0</v>
      </c>
      <c r="F319" s="176">
        <f t="shared" si="181"/>
        <v>0</v>
      </c>
      <c r="G319" s="176">
        <f t="shared" si="181"/>
        <v>0</v>
      </c>
      <c r="H319" s="177">
        <f t="shared" si="181"/>
        <v>0</v>
      </c>
      <c r="I319" s="221" t="str">
        <f t="shared" si="181"/>
        <v/>
      </c>
      <c r="J319" s="221" t="str">
        <f t="shared" si="181"/>
        <v/>
      </c>
      <c r="K319" s="221" t="str">
        <f t="shared" si="181"/>
        <v/>
      </c>
      <c r="L319" s="221" t="str">
        <f t="shared" si="181"/>
        <v/>
      </c>
    </row>
    <row r="320" spans="1:12" ht="15.75" customHeight="1">
      <c r="A320" s="403" t="s">
        <v>57</v>
      </c>
      <c r="B320" s="30" t="s">
        <v>379</v>
      </c>
      <c r="C320" s="220"/>
      <c r="D320" s="176">
        <f t="shared" ref="D320:L320" si="182">IF(C50&lt;&gt;"",-(D50-C50),"")</f>
        <v>-221374.6</v>
      </c>
      <c r="E320" s="176">
        <f t="shared" si="182"/>
        <v>169401.60000000001</v>
      </c>
      <c r="F320" s="176">
        <f t="shared" si="182"/>
        <v>-45190</v>
      </c>
      <c r="G320" s="176">
        <f t="shared" si="182"/>
        <v>52922.5</v>
      </c>
      <c r="H320" s="177">
        <f t="shared" si="182"/>
        <v>-167852.44138295777</v>
      </c>
      <c r="I320" s="177">
        <f t="shared" si="182"/>
        <v>-57350.39135601325</v>
      </c>
      <c r="J320" s="177">
        <f t="shared" si="182"/>
        <v>-42710.74472474301</v>
      </c>
      <c r="K320" s="177">
        <f t="shared" si="182"/>
        <v>55361.341072267736</v>
      </c>
      <c r="L320" s="177">
        <f t="shared" si="182"/>
        <v>-32524.953782361583</v>
      </c>
    </row>
    <row r="321" spans="1:12" s="171" customFormat="1" ht="15.75" customHeight="1">
      <c r="A321" s="403" t="s">
        <v>54</v>
      </c>
      <c r="B321" s="171" t="s">
        <v>380</v>
      </c>
      <c r="C321" s="219"/>
      <c r="D321" s="172">
        <f t="shared" ref="D321:L321" si="183">IF(C51&lt;&gt;"",-(D51-C51),"")</f>
        <v>-59937.8</v>
      </c>
      <c r="E321" s="172">
        <f t="shared" si="183"/>
        <v>3473.3000000000029</v>
      </c>
      <c r="F321" s="172">
        <f t="shared" si="183"/>
        <v>3707</v>
      </c>
      <c r="G321" s="172">
        <f t="shared" si="183"/>
        <v>52757.5</v>
      </c>
      <c r="H321" s="184">
        <f t="shared" si="183"/>
        <v>0</v>
      </c>
      <c r="I321" s="184">
        <f t="shared" si="183"/>
        <v>0</v>
      </c>
      <c r="J321" s="184">
        <f t="shared" si="183"/>
        <v>0</v>
      </c>
      <c r="K321" s="184">
        <f t="shared" si="183"/>
        <v>0</v>
      </c>
      <c r="L321" s="184">
        <f t="shared" si="183"/>
        <v>0</v>
      </c>
    </row>
    <row r="322" spans="1:12" ht="15.75" customHeight="1">
      <c r="A322" s="403"/>
      <c r="B322" s="175" t="s">
        <v>381</v>
      </c>
      <c r="C322" s="220"/>
      <c r="D322" s="176">
        <f t="shared" ref="D322:L322" si="184">IF(C52&lt;&gt;"",-(D52-C52),"")</f>
        <v>0</v>
      </c>
      <c r="E322" s="176">
        <f t="shared" si="184"/>
        <v>0</v>
      </c>
      <c r="F322" s="176">
        <f t="shared" si="184"/>
        <v>0</v>
      </c>
      <c r="G322" s="176">
        <f t="shared" si="184"/>
        <v>0</v>
      </c>
      <c r="H322" s="177">
        <f t="shared" si="184"/>
        <v>0</v>
      </c>
      <c r="I322" s="177">
        <f t="shared" si="184"/>
        <v>0</v>
      </c>
      <c r="J322" s="177">
        <f t="shared" si="184"/>
        <v>0</v>
      </c>
      <c r="K322" s="177">
        <f t="shared" si="184"/>
        <v>0</v>
      </c>
      <c r="L322" s="177">
        <f t="shared" si="184"/>
        <v>0</v>
      </c>
    </row>
    <row r="323" spans="1:12" ht="15.75" customHeight="1">
      <c r="A323" s="403"/>
      <c r="B323" s="175" t="s">
        <v>382</v>
      </c>
      <c r="C323" s="220"/>
      <c r="D323" s="176">
        <f t="shared" ref="D323:L323" si="185">IF(C53&lt;&gt;"",-(D53-C53),"")</f>
        <v>-59937.8</v>
      </c>
      <c r="E323" s="176">
        <f t="shared" si="185"/>
        <v>3473.3000000000029</v>
      </c>
      <c r="F323" s="176">
        <f t="shared" si="185"/>
        <v>3707</v>
      </c>
      <c r="G323" s="176">
        <f t="shared" si="185"/>
        <v>52757.5</v>
      </c>
      <c r="H323" s="177">
        <f t="shared" si="185"/>
        <v>0</v>
      </c>
      <c r="I323" s="177">
        <f t="shared" si="185"/>
        <v>0</v>
      </c>
      <c r="J323" s="177">
        <f t="shared" si="185"/>
        <v>0</v>
      </c>
      <c r="K323" s="177">
        <f t="shared" si="185"/>
        <v>0</v>
      </c>
      <c r="L323" s="177">
        <f t="shared" si="185"/>
        <v>0</v>
      </c>
    </row>
    <row r="324" spans="1:12" ht="15.75" customHeight="1">
      <c r="A324" s="403"/>
      <c r="B324" s="175" t="s">
        <v>383</v>
      </c>
      <c r="C324" s="220"/>
      <c r="D324" s="176">
        <f t="shared" ref="D324:L324" si="186">IF(C54&lt;&gt;"",-(D54-C54),"")</f>
        <v>0</v>
      </c>
      <c r="E324" s="176">
        <f t="shared" si="186"/>
        <v>0</v>
      </c>
      <c r="F324" s="176">
        <f t="shared" si="186"/>
        <v>0</v>
      </c>
      <c r="G324" s="176">
        <f t="shared" si="186"/>
        <v>0</v>
      </c>
      <c r="H324" s="177">
        <f t="shared" si="186"/>
        <v>0</v>
      </c>
      <c r="I324" s="177">
        <f t="shared" si="186"/>
        <v>0</v>
      </c>
      <c r="J324" s="177">
        <f t="shared" si="186"/>
        <v>0</v>
      </c>
      <c r="K324" s="177">
        <f t="shared" si="186"/>
        <v>0</v>
      </c>
      <c r="L324" s="177">
        <f t="shared" si="186"/>
        <v>0</v>
      </c>
    </row>
    <row r="325" spans="1:12" ht="15.75" customHeight="1">
      <c r="A325" s="403"/>
      <c r="B325" s="175" t="s">
        <v>384</v>
      </c>
      <c r="C325" s="220"/>
      <c r="D325" s="176">
        <f t="shared" ref="D325:L325" si="187">IF(C55&lt;&gt;"",-(D55-C55),"")</f>
        <v>0</v>
      </c>
      <c r="E325" s="176">
        <f t="shared" si="187"/>
        <v>0</v>
      </c>
      <c r="F325" s="176">
        <f t="shared" si="187"/>
        <v>0</v>
      </c>
      <c r="G325" s="176">
        <f t="shared" si="187"/>
        <v>0</v>
      </c>
      <c r="H325" s="177">
        <f t="shared" si="187"/>
        <v>0</v>
      </c>
      <c r="I325" s="177">
        <f t="shared" si="187"/>
        <v>0</v>
      </c>
      <c r="J325" s="177">
        <f t="shared" si="187"/>
        <v>0</v>
      </c>
      <c r="K325" s="177">
        <f t="shared" si="187"/>
        <v>0</v>
      </c>
      <c r="L325" s="177">
        <f t="shared" si="187"/>
        <v>0</v>
      </c>
    </row>
    <row r="326" spans="1:12" ht="15.75" customHeight="1">
      <c r="A326" s="403"/>
      <c r="B326" s="175" t="s">
        <v>385</v>
      </c>
      <c r="C326" s="220"/>
      <c r="D326" s="176">
        <f t="shared" ref="D326:L326" si="188">IF(C56&lt;&gt;"",-(D56-C56),"")</f>
        <v>0</v>
      </c>
      <c r="E326" s="176">
        <f t="shared" si="188"/>
        <v>0</v>
      </c>
      <c r="F326" s="176">
        <f t="shared" si="188"/>
        <v>0</v>
      </c>
      <c r="G326" s="176">
        <f t="shared" si="188"/>
        <v>0</v>
      </c>
      <c r="H326" s="177">
        <f t="shared" si="188"/>
        <v>0</v>
      </c>
      <c r="I326" s="177">
        <f t="shared" si="188"/>
        <v>0</v>
      </c>
      <c r="J326" s="177">
        <f t="shared" si="188"/>
        <v>0</v>
      </c>
      <c r="K326" s="177">
        <f t="shared" si="188"/>
        <v>0</v>
      </c>
      <c r="L326" s="177">
        <f t="shared" si="188"/>
        <v>0</v>
      </c>
    </row>
    <row r="327" spans="1:12" s="171" customFormat="1" ht="15.75" customHeight="1">
      <c r="A327" s="403"/>
      <c r="B327" s="171" t="s">
        <v>386</v>
      </c>
      <c r="C327" s="219"/>
      <c r="D327" s="172">
        <f t="shared" ref="D327:L327" si="189">IF(C57&lt;&gt;"",-(D57-C57),"")</f>
        <v>-568272.19999999995</v>
      </c>
      <c r="E327" s="172">
        <f t="shared" si="189"/>
        <v>12880.599999999977</v>
      </c>
      <c r="F327" s="172">
        <f t="shared" si="189"/>
        <v>-19850.099999999977</v>
      </c>
      <c r="G327" s="172">
        <f t="shared" si="189"/>
        <v>-13077.900000000023</v>
      </c>
      <c r="H327" s="184">
        <f t="shared" si="189"/>
        <v>-45636.632790479227</v>
      </c>
      <c r="I327" s="184">
        <f t="shared" si="189"/>
        <v>-65000.842543842271</v>
      </c>
      <c r="J327" s="184">
        <f t="shared" si="189"/>
        <v>-32736.988122998038</v>
      </c>
      <c r="K327" s="184">
        <f t="shared" si="189"/>
        <v>-31292.630817066296</v>
      </c>
      <c r="L327" s="184">
        <f t="shared" si="189"/>
        <v>-34182.417945617693</v>
      </c>
    </row>
    <row r="328" spans="1:12" ht="15.75" customHeight="1">
      <c r="A328" s="403" t="s">
        <v>54</v>
      </c>
      <c r="B328" s="175" t="s">
        <v>387</v>
      </c>
      <c r="C328" s="220"/>
      <c r="D328" s="176">
        <f t="shared" ref="D328:L328" si="190">IF(C58&lt;&gt;"",-(D58-C58),"")</f>
        <v>12933</v>
      </c>
      <c r="E328" s="176">
        <f t="shared" si="190"/>
        <v>-19261.399999999994</v>
      </c>
      <c r="F328" s="176">
        <f t="shared" si="190"/>
        <v>27309.300000000003</v>
      </c>
      <c r="G328" s="176">
        <f t="shared" si="190"/>
        <v>-11651.199999999997</v>
      </c>
      <c r="H328" s="177">
        <f t="shared" si="190"/>
        <v>-21567.631328160292</v>
      </c>
      <c r="I328" s="177">
        <f t="shared" si="190"/>
        <v>-25469.754704224586</v>
      </c>
      <c r="J328" s="177">
        <f t="shared" si="190"/>
        <v>-18968.173811073706</v>
      </c>
      <c r="K328" s="177">
        <f t="shared" si="190"/>
        <v>-18677.117270195507</v>
      </c>
      <c r="L328" s="177">
        <f t="shared" si="190"/>
        <v>-19259.44647783431</v>
      </c>
    </row>
    <row r="329" spans="1:12" ht="15.75" customHeight="1">
      <c r="A329" s="403" t="s">
        <v>54</v>
      </c>
      <c r="B329" s="175" t="s">
        <v>388</v>
      </c>
      <c r="C329" s="220"/>
      <c r="D329" s="176">
        <f t="shared" ref="D329:L329" si="191">IF(C59&lt;&gt;"",-(D59-C59),"")</f>
        <v>-28678.200000000012</v>
      </c>
      <c r="E329" s="176">
        <f t="shared" si="191"/>
        <v>-29250</v>
      </c>
      <c r="F329" s="176">
        <f t="shared" si="191"/>
        <v>-108551.09999999998</v>
      </c>
      <c r="G329" s="176">
        <f t="shared" si="191"/>
        <v>-62818.600000000035</v>
      </c>
      <c r="H329" s="177">
        <f t="shared" si="191"/>
        <v>-85460.940462318831</v>
      </c>
      <c r="I329" s="177">
        <f t="shared" si="191"/>
        <v>-100922.95983961772</v>
      </c>
      <c r="J329" s="177">
        <f t="shared" si="191"/>
        <v>-75160.686311924248</v>
      </c>
      <c r="K329" s="177">
        <f t="shared" si="191"/>
        <v>-74007.385546870762</v>
      </c>
      <c r="L329" s="177">
        <f t="shared" si="191"/>
        <v>-76314.843467783416</v>
      </c>
    </row>
    <row r="330" spans="1:12" ht="15.75" customHeight="1">
      <c r="A330" s="403" t="s">
        <v>54</v>
      </c>
      <c r="B330" s="175" t="s">
        <v>389</v>
      </c>
      <c r="C330" s="220"/>
      <c r="D330" s="176">
        <f t="shared" ref="D330:L330" si="192">IF(C60&lt;&gt;"",-(D60-C60),"")</f>
        <v>0</v>
      </c>
      <c r="E330" s="176">
        <f t="shared" si="192"/>
        <v>0</v>
      </c>
      <c r="F330" s="176">
        <f t="shared" si="192"/>
        <v>0</v>
      </c>
      <c r="G330" s="176">
        <f t="shared" si="192"/>
        <v>0</v>
      </c>
      <c r="H330" s="177">
        <f t="shared" si="192"/>
        <v>0</v>
      </c>
      <c r="I330" s="177">
        <f t="shared" si="192"/>
        <v>0</v>
      </c>
      <c r="J330" s="177">
        <f t="shared" si="192"/>
        <v>0</v>
      </c>
      <c r="K330" s="177">
        <f t="shared" si="192"/>
        <v>0</v>
      </c>
      <c r="L330" s="177">
        <f t="shared" si="192"/>
        <v>0</v>
      </c>
    </row>
    <row r="331" spans="1:12" ht="15.75" customHeight="1">
      <c r="A331" s="403" t="s">
        <v>54</v>
      </c>
      <c r="B331" s="175" t="s">
        <v>390</v>
      </c>
      <c r="C331" s="220"/>
      <c r="D331" s="176">
        <f t="shared" ref="D331:L331" si="193">IF(C61&lt;&gt;"",-(D61-C61),"")</f>
        <v>0</v>
      </c>
      <c r="E331" s="176">
        <f t="shared" si="193"/>
        <v>0</v>
      </c>
      <c r="F331" s="176">
        <f t="shared" si="193"/>
        <v>0</v>
      </c>
      <c r="G331" s="176">
        <f t="shared" si="193"/>
        <v>0</v>
      </c>
      <c r="H331" s="177">
        <f t="shared" si="193"/>
        <v>0</v>
      </c>
      <c r="I331" s="177">
        <f t="shared" si="193"/>
        <v>0</v>
      </c>
      <c r="J331" s="177">
        <f t="shared" si="193"/>
        <v>0</v>
      </c>
      <c r="K331" s="177">
        <f t="shared" si="193"/>
        <v>0</v>
      </c>
      <c r="L331" s="177">
        <f t="shared" si="193"/>
        <v>0</v>
      </c>
    </row>
    <row r="332" spans="1:12" ht="15.75" customHeight="1">
      <c r="A332" s="403" t="s">
        <v>58</v>
      </c>
      <c r="B332" s="175" t="s">
        <v>391</v>
      </c>
      <c r="C332" s="220"/>
      <c r="D332" s="176">
        <f t="shared" ref="D332:L332" si="194">IF(C62&lt;&gt;"",-(D62-C62),"")</f>
        <v>-552526.80000000005</v>
      </c>
      <c r="E332" s="176">
        <f t="shared" si="194"/>
        <v>61391.800000000047</v>
      </c>
      <c r="F332" s="176">
        <f t="shared" si="194"/>
        <v>61391.900000000023</v>
      </c>
      <c r="G332" s="176">
        <f t="shared" si="194"/>
        <v>61391.899999999965</v>
      </c>
      <c r="H332" s="177">
        <f t="shared" si="194"/>
        <v>61391.838999999978</v>
      </c>
      <c r="I332" s="177">
        <f t="shared" si="194"/>
        <v>61391.871999999974</v>
      </c>
      <c r="J332" s="177">
        <f t="shared" si="194"/>
        <v>61391.871999999974</v>
      </c>
      <c r="K332" s="177">
        <f t="shared" si="194"/>
        <v>61391.871999999974</v>
      </c>
      <c r="L332" s="177">
        <f t="shared" si="194"/>
        <v>61391.871999999974</v>
      </c>
    </row>
    <row r="333" spans="1:12" s="171" customFormat="1" ht="15.75" customHeight="1">
      <c r="A333" s="403"/>
      <c r="B333" s="171" t="s">
        <v>392</v>
      </c>
      <c r="C333" s="219"/>
      <c r="D333" s="172">
        <f t="shared" ref="D333:L333" si="195">IF(C63&lt;&gt;"",-(D63-C63),"")</f>
        <v>-5299867.3000000007</v>
      </c>
      <c r="E333" s="172">
        <f t="shared" si="195"/>
        <v>-13585564</v>
      </c>
      <c r="F333" s="172">
        <f t="shared" si="195"/>
        <v>-4322784.5</v>
      </c>
      <c r="G333" s="172">
        <f t="shared" si="195"/>
        <v>-16940524.799999997</v>
      </c>
      <c r="H333" s="222">
        <f t="shared" si="195"/>
        <v>-19534386.854606017</v>
      </c>
      <c r="I333" s="222">
        <f t="shared" si="195"/>
        <v>-13582549.715215951</v>
      </c>
      <c r="J333" s="222">
        <f t="shared" si="195"/>
        <v>-14211745.863675192</v>
      </c>
      <c r="K333" s="222">
        <f t="shared" si="195"/>
        <v>-12577051.241780922</v>
      </c>
      <c r="L333" s="222">
        <f t="shared" si="195"/>
        <v>-27002485.269211173</v>
      </c>
    </row>
    <row r="334" spans="1:12" s="171" customFormat="1" ht="15.75" customHeight="1">
      <c r="A334" s="403"/>
      <c r="B334" s="171" t="s">
        <v>393</v>
      </c>
      <c r="C334" s="219"/>
      <c r="D334" s="172">
        <f t="shared" ref="D334:L334" si="196">IF(C64&lt;&gt;"",(D64-C64),"")</f>
        <v>2225748.3000000007</v>
      </c>
      <c r="E334" s="172">
        <f t="shared" si="196"/>
        <v>10425007.199999999</v>
      </c>
      <c r="F334" s="172">
        <f t="shared" si="196"/>
        <v>984686.70000000298</v>
      </c>
      <c r="G334" s="172">
        <f t="shared" si="196"/>
        <v>12043968.699999996</v>
      </c>
      <c r="H334" s="184">
        <f t="shared" si="196"/>
        <v>6096651.2163822427</v>
      </c>
      <c r="I334" s="184">
        <f t="shared" si="196"/>
        <v>6764961.4022786468</v>
      </c>
      <c r="J334" s="184">
        <f t="shared" si="196"/>
        <v>4920124.1262228116</v>
      </c>
      <c r="K334" s="184">
        <f t="shared" si="196"/>
        <v>1092365.0416005775</v>
      </c>
      <c r="L334" s="184">
        <f t="shared" si="196"/>
        <v>13934175.568689726</v>
      </c>
    </row>
    <row r="335" spans="1:12" ht="15.75" customHeight="1">
      <c r="A335" s="403"/>
      <c r="B335" s="175" t="s">
        <v>394</v>
      </c>
      <c r="C335" s="220"/>
      <c r="D335" s="176">
        <f t="shared" ref="D335:L335" si="197">IF(C65&lt;&gt;"",(D65-C65),"")</f>
        <v>2215618.0999999996</v>
      </c>
      <c r="E335" s="176">
        <f t="shared" si="197"/>
        <v>10512933.699999999</v>
      </c>
      <c r="F335" s="176">
        <f t="shared" si="197"/>
        <v>980146.69999999925</v>
      </c>
      <c r="G335" s="176">
        <f t="shared" si="197"/>
        <v>13170645.399999999</v>
      </c>
      <c r="H335" s="177">
        <f t="shared" si="197"/>
        <v>6096651.2163822427</v>
      </c>
      <c r="I335" s="177">
        <f t="shared" si="197"/>
        <v>6764961.4022786468</v>
      </c>
      <c r="J335" s="177">
        <f t="shared" si="197"/>
        <v>4920124.1262228116</v>
      </c>
      <c r="K335" s="177">
        <f t="shared" si="197"/>
        <v>1092365.0416005775</v>
      </c>
      <c r="L335" s="177">
        <f t="shared" si="197"/>
        <v>13934175.568689726</v>
      </c>
    </row>
    <row r="336" spans="1:12" ht="15.75" customHeight="1">
      <c r="A336" s="403" t="s">
        <v>55</v>
      </c>
      <c r="B336" s="175" t="s">
        <v>395</v>
      </c>
      <c r="C336" s="220"/>
      <c r="D336" s="176">
        <f t="shared" ref="D336:L336" si="198">IF(C66&lt;&gt;"",(D66-C66),"")</f>
        <v>871384.5</v>
      </c>
      <c r="E336" s="176">
        <f t="shared" si="198"/>
        <v>3810771.3</v>
      </c>
      <c r="F336" s="176">
        <f t="shared" si="198"/>
        <v>-3327216.5999999996</v>
      </c>
      <c r="G336" s="176">
        <f t="shared" si="198"/>
        <v>3451605.9000000004</v>
      </c>
      <c r="H336" s="177">
        <f t="shared" si="198"/>
        <v>2955960.1176299527</v>
      </c>
      <c r="I336" s="177">
        <f t="shared" si="198"/>
        <v>3566401.8431846201</v>
      </c>
      <c r="J336" s="177">
        <f t="shared" si="198"/>
        <v>392555.11807822436</v>
      </c>
      <c r="K336" s="177">
        <f t="shared" si="198"/>
        <v>4678087.3936463296</v>
      </c>
      <c r="L336" s="177">
        <f t="shared" si="198"/>
        <v>44869.111601985991</v>
      </c>
    </row>
    <row r="337" spans="1:12" ht="15.75" customHeight="1">
      <c r="A337" s="403" t="s">
        <v>55</v>
      </c>
      <c r="B337" s="175" t="s">
        <v>396</v>
      </c>
      <c r="C337" s="220"/>
      <c r="D337" s="176">
        <f t="shared" ref="D337:L337" si="199">IF(C67&lt;&gt;"",(D67-C67),"")</f>
        <v>15586.099999999999</v>
      </c>
      <c r="E337" s="176">
        <f t="shared" si="199"/>
        <v>43132.500000000007</v>
      </c>
      <c r="F337" s="176">
        <f t="shared" si="199"/>
        <v>5713.2999999999884</v>
      </c>
      <c r="G337" s="176">
        <f t="shared" si="199"/>
        <v>11471.900000000009</v>
      </c>
      <c r="H337" s="177">
        <f t="shared" si="199"/>
        <v>24010.126270744586</v>
      </c>
      <c r="I337" s="177">
        <f t="shared" si="199"/>
        <v>28354.158007831953</v>
      </c>
      <c r="J337" s="177">
        <f t="shared" si="199"/>
        <v>21116.284927157045</v>
      </c>
      <c r="K337" s="177">
        <f t="shared" si="199"/>
        <v>20792.266763452266</v>
      </c>
      <c r="L337" s="177">
        <f t="shared" si="199"/>
        <v>21440.543692606501</v>
      </c>
    </row>
    <row r="338" spans="1:12" ht="15.75" customHeight="1">
      <c r="A338" s="403" t="s">
        <v>55</v>
      </c>
      <c r="B338" s="175" t="s">
        <v>397</v>
      </c>
      <c r="C338" s="220"/>
      <c r="D338" s="176">
        <f t="shared" ref="D338:L338" si="200">IF(C68&lt;&gt;"",(D68-C68),"")</f>
        <v>80278</v>
      </c>
      <c r="E338" s="176">
        <f t="shared" si="200"/>
        <v>156923.69999999998</v>
      </c>
      <c r="F338" s="176">
        <f t="shared" si="200"/>
        <v>260294.60000000003</v>
      </c>
      <c r="G338" s="176">
        <f t="shared" si="200"/>
        <v>61641.099999999977</v>
      </c>
      <c r="H338" s="177">
        <f t="shared" si="200"/>
        <v>190648.75562862074</v>
      </c>
      <c r="I338" s="177">
        <f t="shared" si="200"/>
        <v>205540.86782969953</v>
      </c>
      <c r="J338" s="177">
        <f t="shared" si="200"/>
        <v>174552.80874917866</v>
      </c>
      <c r="K338" s="177">
        <f t="shared" si="200"/>
        <v>153322.99256331776</v>
      </c>
      <c r="L338" s="177">
        <f t="shared" si="200"/>
        <v>158103.41212595999</v>
      </c>
    </row>
    <row r="339" spans="1:12" ht="15.75" customHeight="1">
      <c r="A339" s="403" t="s">
        <v>55</v>
      </c>
      <c r="B339" s="175" t="s">
        <v>398</v>
      </c>
      <c r="C339" s="220"/>
      <c r="D339" s="176">
        <f t="shared" ref="D339:L339" si="201">IF(C69&lt;&gt;"",(D69-C69),"")</f>
        <v>16049.899999999994</v>
      </c>
      <c r="E339" s="176">
        <f t="shared" si="201"/>
        <v>108467.29999999999</v>
      </c>
      <c r="F339" s="176">
        <f t="shared" si="201"/>
        <v>275330.00000000006</v>
      </c>
      <c r="G339" s="176">
        <f t="shared" si="201"/>
        <v>-1584.9000000000233</v>
      </c>
      <c r="H339" s="177">
        <f t="shared" si="201"/>
        <v>165788.75846887846</v>
      </c>
      <c r="I339" s="177">
        <f t="shared" si="201"/>
        <v>177951.86848135688</v>
      </c>
      <c r="J339" s="177">
        <f t="shared" si="201"/>
        <v>136152.37696859497</v>
      </c>
      <c r="K339" s="177">
        <f t="shared" si="201"/>
        <v>137235.30221953348</v>
      </c>
      <c r="L339" s="177">
        <f t="shared" si="201"/>
        <v>146803.21693237033</v>
      </c>
    </row>
    <row r="340" spans="1:12" ht="15.75" customHeight="1">
      <c r="A340" s="403" t="s">
        <v>55</v>
      </c>
      <c r="B340" s="175" t="s">
        <v>399</v>
      </c>
      <c r="C340" s="220"/>
      <c r="D340" s="176">
        <f t="shared" ref="D340:L340" si="202">IF(C70&lt;&gt;"",(D70-C70),"")</f>
        <v>587692.5</v>
      </c>
      <c r="E340" s="176">
        <f t="shared" si="202"/>
        <v>-321097.89999999991</v>
      </c>
      <c r="F340" s="176">
        <f t="shared" si="202"/>
        <v>1339038.3999999999</v>
      </c>
      <c r="G340" s="176">
        <f t="shared" si="202"/>
        <v>694351</v>
      </c>
      <c r="H340" s="177">
        <f t="shared" si="202"/>
        <v>755514.57755785109</v>
      </c>
      <c r="I340" s="177">
        <f t="shared" si="202"/>
        <v>1197258.1893302575</v>
      </c>
      <c r="J340" s="177">
        <f t="shared" si="202"/>
        <v>734132.04074407835</v>
      </c>
      <c r="K340" s="177">
        <f t="shared" si="202"/>
        <v>806145.45489121601</v>
      </c>
      <c r="L340" s="177">
        <f t="shared" si="202"/>
        <v>791018.75624398049</v>
      </c>
    </row>
    <row r="341" spans="1:12" ht="15.75" customHeight="1">
      <c r="A341" s="403" t="s">
        <v>55</v>
      </c>
      <c r="B341" s="175" t="s">
        <v>400</v>
      </c>
      <c r="C341" s="220"/>
      <c r="D341" s="176">
        <f t="shared" ref="D341:L341" si="203">IF(C71&lt;&gt;"",(D71-C71),"")</f>
        <v>0</v>
      </c>
      <c r="E341" s="176">
        <f t="shared" si="203"/>
        <v>0</v>
      </c>
      <c r="F341" s="176">
        <f t="shared" si="203"/>
        <v>0</v>
      </c>
      <c r="G341" s="176">
        <f t="shared" si="203"/>
        <v>0</v>
      </c>
      <c r="H341" s="177">
        <f t="shared" si="203"/>
        <v>0</v>
      </c>
      <c r="I341" s="177">
        <f t="shared" si="203"/>
        <v>0</v>
      </c>
      <c r="J341" s="177">
        <f t="shared" si="203"/>
        <v>0</v>
      </c>
      <c r="K341" s="177">
        <f t="shared" si="203"/>
        <v>0</v>
      </c>
      <c r="L341" s="177">
        <f t="shared" si="203"/>
        <v>0</v>
      </c>
    </row>
    <row r="342" spans="1:12" ht="15.75" customHeight="1">
      <c r="A342" s="403" t="s">
        <v>55</v>
      </c>
      <c r="B342" s="175" t="s">
        <v>401</v>
      </c>
      <c r="C342" s="220"/>
      <c r="D342" s="176">
        <f t="shared" ref="D342:L342" si="204">IF(C72&lt;&gt;"",(D72-C72),"")</f>
        <v>0</v>
      </c>
      <c r="E342" s="176">
        <f t="shared" si="204"/>
        <v>0</v>
      </c>
      <c r="F342" s="176">
        <f t="shared" si="204"/>
        <v>0</v>
      </c>
      <c r="G342" s="176">
        <f t="shared" si="204"/>
        <v>0</v>
      </c>
      <c r="H342" s="177">
        <f t="shared" si="204"/>
        <v>0</v>
      </c>
      <c r="I342" s="177">
        <f t="shared" si="204"/>
        <v>0</v>
      </c>
      <c r="J342" s="177">
        <f t="shared" si="204"/>
        <v>0</v>
      </c>
      <c r="K342" s="177">
        <f t="shared" si="204"/>
        <v>0</v>
      </c>
      <c r="L342" s="177">
        <f t="shared" si="204"/>
        <v>0</v>
      </c>
    </row>
    <row r="343" spans="1:12" ht="15.75" customHeight="1">
      <c r="A343" s="403" t="s">
        <v>55</v>
      </c>
      <c r="B343" s="175" t="s">
        <v>402</v>
      </c>
      <c r="C343" s="220"/>
      <c r="D343" s="176">
        <f t="shared" ref="D343:L343" si="205">IF(C73&lt;&gt;"",(D73-C73),"")</f>
        <v>0</v>
      </c>
      <c r="E343" s="176">
        <f t="shared" si="205"/>
        <v>333.6</v>
      </c>
      <c r="F343" s="176">
        <f t="shared" si="205"/>
        <v>-25.200000000000045</v>
      </c>
      <c r="G343" s="176">
        <f t="shared" si="205"/>
        <v>-308.39999999999998</v>
      </c>
      <c r="H343" s="177">
        <f t="shared" si="205"/>
        <v>0</v>
      </c>
      <c r="I343" s="177">
        <f t="shared" si="205"/>
        <v>0</v>
      </c>
      <c r="J343" s="177">
        <f t="shared" si="205"/>
        <v>0</v>
      </c>
      <c r="K343" s="177">
        <f t="shared" si="205"/>
        <v>0</v>
      </c>
      <c r="L343" s="177">
        <f t="shared" si="205"/>
        <v>0</v>
      </c>
    </row>
    <row r="344" spans="1:12" ht="15.75" customHeight="1">
      <c r="A344" s="403" t="s">
        <v>55</v>
      </c>
      <c r="B344" s="175" t="s">
        <v>403</v>
      </c>
      <c r="C344" s="220"/>
      <c r="D344" s="176">
        <f t="shared" ref="D344:L344" si="206">IF(C74&lt;&gt;"",(D74-C74),"")</f>
        <v>400904.20000000007</v>
      </c>
      <c r="E344" s="176">
        <f t="shared" si="206"/>
        <v>-490329.60000000009</v>
      </c>
      <c r="F344" s="176">
        <f t="shared" si="206"/>
        <v>-171839.29999999993</v>
      </c>
      <c r="G344" s="176">
        <f t="shared" si="206"/>
        <v>-69725.5</v>
      </c>
      <c r="H344" s="177">
        <f t="shared" si="206"/>
        <v>204717.73453011038</v>
      </c>
      <c r="I344" s="177">
        <f t="shared" si="206"/>
        <v>103294.91999432852</v>
      </c>
      <c r="J344" s="177">
        <f t="shared" si="206"/>
        <v>140926.99156131002</v>
      </c>
      <c r="K344" s="177">
        <f t="shared" si="206"/>
        <v>94534.229837403167</v>
      </c>
      <c r="L344" s="177">
        <f t="shared" si="206"/>
        <v>123166.62005853199</v>
      </c>
    </row>
    <row r="345" spans="1:12" ht="15.75" customHeight="1">
      <c r="A345" s="403" t="s">
        <v>59</v>
      </c>
      <c r="B345" s="175" t="s">
        <v>404</v>
      </c>
      <c r="C345" s="220"/>
      <c r="D345" s="176">
        <f t="shared" ref="D345:L345" si="207">IF(C75&lt;&gt;"",(D75-C75),"")</f>
        <v>232948.59999999963</v>
      </c>
      <c r="E345" s="176">
        <f t="shared" si="207"/>
        <v>7194561</v>
      </c>
      <c r="F345" s="176">
        <f t="shared" si="207"/>
        <v>2594164.7000000011</v>
      </c>
      <c r="G345" s="176">
        <f t="shared" si="207"/>
        <v>9022294</v>
      </c>
      <c r="H345" s="177">
        <f t="shared" si="207"/>
        <v>1774007.1825479828</v>
      </c>
      <c r="I345" s="177">
        <f t="shared" si="207"/>
        <v>1459546.7115837187</v>
      </c>
      <c r="J345" s="177">
        <f t="shared" si="207"/>
        <v>3317640.6685863286</v>
      </c>
      <c r="K345" s="177">
        <f t="shared" si="207"/>
        <v>-4835150.9214891493</v>
      </c>
      <c r="L345" s="177">
        <f t="shared" si="207"/>
        <v>12656004.107208699</v>
      </c>
    </row>
    <row r="346" spans="1:12" ht="15.75" customHeight="1">
      <c r="A346" s="403" t="s">
        <v>56</v>
      </c>
      <c r="B346" s="175" t="s">
        <v>405</v>
      </c>
      <c r="C346" s="220"/>
      <c r="D346" s="176">
        <f t="shared" ref="D346:L346" si="208">IF(C76&lt;&gt;"",(D76-C76),"")</f>
        <v>10744.099999999999</v>
      </c>
      <c r="E346" s="176">
        <f t="shared" si="208"/>
        <v>15121.900000000001</v>
      </c>
      <c r="F346" s="176">
        <f t="shared" si="208"/>
        <v>4686.8999999999942</v>
      </c>
      <c r="G346" s="176">
        <f t="shared" si="208"/>
        <v>900.20000000001164</v>
      </c>
      <c r="H346" s="177">
        <f t="shared" si="208"/>
        <v>26003.963748093316</v>
      </c>
      <c r="I346" s="177">
        <f t="shared" si="208"/>
        <v>26612.843866836833</v>
      </c>
      <c r="J346" s="177">
        <f t="shared" si="208"/>
        <v>3047.8366079440748</v>
      </c>
      <c r="K346" s="177">
        <f t="shared" si="208"/>
        <v>37398.323168471776</v>
      </c>
      <c r="L346" s="177">
        <f t="shared" si="208"/>
        <v>-7230.199174397043</v>
      </c>
    </row>
    <row r="347" spans="1:12" ht="15.75" customHeight="1">
      <c r="A347" s="403" t="s">
        <v>54</v>
      </c>
      <c r="B347" s="175" t="s">
        <v>406</v>
      </c>
      <c r="C347" s="220"/>
      <c r="D347" s="176">
        <f t="shared" ref="D347:L347" si="209">IF(C77&lt;&gt;"",(D77-C77),"")</f>
        <v>30.100000000000364</v>
      </c>
      <c r="E347" s="176">
        <f t="shared" si="209"/>
        <v>-4950</v>
      </c>
      <c r="F347" s="176">
        <f t="shared" si="209"/>
        <v>0</v>
      </c>
      <c r="G347" s="176">
        <f t="shared" si="209"/>
        <v>0</v>
      </c>
      <c r="H347" s="177">
        <f t="shared" si="209"/>
        <v>0</v>
      </c>
      <c r="I347" s="177">
        <f t="shared" si="209"/>
        <v>0</v>
      </c>
      <c r="J347" s="177">
        <f t="shared" si="209"/>
        <v>0</v>
      </c>
      <c r="K347" s="177">
        <f t="shared" si="209"/>
        <v>0</v>
      </c>
      <c r="L347" s="177">
        <f t="shared" si="209"/>
        <v>0</v>
      </c>
    </row>
    <row r="348" spans="1:12" s="171" customFormat="1" ht="15.75" customHeight="1">
      <c r="A348" s="403"/>
      <c r="B348" s="171" t="s">
        <v>409</v>
      </c>
      <c r="C348" s="219"/>
      <c r="D348" s="172">
        <f t="shared" ref="D348:L348" si="210">IF(C78&lt;&gt;"",(D78-C78),"")</f>
        <v>10130.199999999953</v>
      </c>
      <c r="E348" s="172">
        <f t="shared" si="210"/>
        <v>-87926.5</v>
      </c>
      <c r="F348" s="172">
        <f t="shared" si="210"/>
        <v>4540</v>
      </c>
      <c r="G348" s="172">
        <f t="shared" si="210"/>
        <v>-1126676.7</v>
      </c>
      <c r="H348" s="184">
        <f t="shared" si="210"/>
        <v>0</v>
      </c>
      <c r="I348" s="184">
        <f t="shared" si="210"/>
        <v>0</v>
      </c>
      <c r="J348" s="184">
        <f t="shared" si="210"/>
        <v>0</v>
      </c>
      <c r="K348" s="184">
        <f t="shared" si="210"/>
        <v>0</v>
      </c>
      <c r="L348" s="184">
        <f t="shared" si="210"/>
        <v>0</v>
      </c>
    </row>
    <row r="349" spans="1:12" ht="15.75" customHeight="1">
      <c r="A349" s="403" t="s">
        <v>54</v>
      </c>
      <c r="B349" s="175" t="s">
        <v>410</v>
      </c>
      <c r="C349" s="220"/>
      <c r="D349" s="176">
        <f t="shared" ref="D349:L349" si="211">IF(C79&lt;&gt;"",(D79-C79),"")</f>
        <v>0</v>
      </c>
      <c r="E349" s="176">
        <f t="shared" si="211"/>
        <v>0</v>
      </c>
      <c r="F349" s="176">
        <f t="shared" si="211"/>
        <v>0</v>
      </c>
      <c r="G349" s="176">
        <f t="shared" si="211"/>
        <v>0</v>
      </c>
      <c r="H349" s="177">
        <f t="shared" si="211"/>
        <v>0</v>
      </c>
      <c r="I349" s="177">
        <f t="shared" si="211"/>
        <v>0</v>
      </c>
      <c r="J349" s="177">
        <f t="shared" si="211"/>
        <v>0</v>
      </c>
      <c r="K349" s="177">
        <f t="shared" si="211"/>
        <v>0</v>
      </c>
      <c r="L349" s="177">
        <f t="shared" si="211"/>
        <v>0</v>
      </c>
    </row>
    <row r="350" spans="1:12" ht="15.75" customHeight="1">
      <c r="A350" s="403" t="s">
        <v>54</v>
      </c>
      <c r="B350" s="175" t="s">
        <v>411</v>
      </c>
      <c r="C350" s="220"/>
      <c r="D350" s="176">
        <f t="shared" ref="D350:L350" si="212">IF(C80&lt;&gt;"",(D80-C80),"")</f>
        <v>0</v>
      </c>
      <c r="E350" s="176">
        <f t="shared" si="212"/>
        <v>0</v>
      </c>
      <c r="F350" s="176">
        <f t="shared" si="212"/>
        <v>0</v>
      </c>
      <c r="G350" s="176">
        <f t="shared" si="212"/>
        <v>0</v>
      </c>
      <c r="H350" s="177">
        <f t="shared" si="212"/>
        <v>0</v>
      </c>
      <c r="I350" s="177">
        <f t="shared" si="212"/>
        <v>0</v>
      </c>
      <c r="J350" s="177">
        <f t="shared" si="212"/>
        <v>0</v>
      </c>
      <c r="K350" s="177">
        <f t="shared" si="212"/>
        <v>0</v>
      </c>
      <c r="L350" s="177">
        <f t="shared" si="212"/>
        <v>0</v>
      </c>
    </row>
    <row r="351" spans="1:12" ht="15.75" customHeight="1">
      <c r="A351" s="403" t="s">
        <v>54</v>
      </c>
      <c r="B351" s="175" t="s">
        <v>412</v>
      </c>
      <c r="C351" s="220"/>
      <c r="D351" s="176">
        <f t="shared" ref="D351:L351" si="213">IF(C81&lt;&gt;"",(D81-C81),"")</f>
        <v>0</v>
      </c>
      <c r="E351" s="176">
        <f t="shared" si="213"/>
        <v>0</v>
      </c>
      <c r="F351" s="176">
        <f t="shared" si="213"/>
        <v>0</v>
      </c>
      <c r="G351" s="176">
        <f t="shared" si="213"/>
        <v>0</v>
      </c>
      <c r="H351" s="177">
        <f t="shared" si="213"/>
        <v>0</v>
      </c>
      <c r="I351" s="177">
        <f t="shared" si="213"/>
        <v>0</v>
      </c>
      <c r="J351" s="177">
        <f t="shared" si="213"/>
        <v>0</v>
      </c>
      <c r="K351" s="177">
        <f t="shared" si="213"/>
        <v>0</v>
      </c>
      <c r="L351" s="177">
        <f t="shared" si="213"/>
        <v>0</v>
      </c>
    </row>
    <row r="352" spans="1:12" ht="15.75" customHeight="1">
      <c r="A352" s="403" t="s">
        <v>54</v>
      </c>
      <c r="B352" s="175" t="s">
        <v>413</v>
      </c>
      <c r="C352" s="220"/>
      <c r="D352" s="176">
        <f t="shared" ref="D352:L352" si="214">IF(C82&lt;&gt;"",(D82-C82),"")</f>
        <v>0</v>
      </c>
      <c r="E352" s="176">
        <f t="shared" si="214"/>
        <v>0</v>
      </c>
      <c r="F352" s="176">
        <f t="shared" si="214"/>
        <v>0</v>
      </c>
      <c r="G352" s="176">
        <f t="shared" si="214"/>
        <v>0</v>
      </c>
      <c r="H352" s="177">
        <f t="shared" si="214"/>
        <v>0</v>
      </c>
      <c r="I352" s="177">
        <f t="shared" si="214"/>
        <v>0</v>
      </c>
      <c r="J352" s="177">
        <f t="shared" si="214"/>
        <v>0</v>
      </c>
      <c r="K352" s="177">
        <f t="shared" si="214"/>
        <v>0</v>
      </c>
      <c r="L352" s="177">
        <f t="shared" si="214"/>
        <v>0</v>
      </c>
    </row>
    <row r="353" spans="1:12" ht="15.75" customHeight="1">
      <c r="A353" s="403" t="s">
        <v>54</v>
      </c>
      <c r="B353" s="175" t="s">
        <v>414</v>
      </c>
      <c r="C353" s="220"/>
      <c r="D353" s="176">
        <f t="shared" ref="D353:L353" si="215">IF(C83&lt;&gt;"",(D83-C83),"")</f>
        <v>0</v>
      </c>
      <c r="E353" s="176">
        <f t="shared" si="215"/>
        <v>0</v>
      </c>
      <c r="F353" s="176">
        <f t="shared" si="215"/>
        <v>0</v>
      </c>
      <c r="G353" s="176">
        <f t="shared" si="215"/>
        <v>0</v>
      </c>
      <c r="H353" s="177">
        <f t="shared" si="215"/>
        <v>0</v>
      </c>
      <c r="I353" s="177">
        <f t="shared" si="215"/>
        <v>0</v>
      </c>
      <c r="J353" s="177">
        <f t="shared" si="215"/>
        <v>0</v>
      </c>
      <c r="K353" s="177">
        <f t="shared" si="215"/>
        <v>0</v>
      </c>
      <c r="L353" s="177">
        <f t="shared" si="215"/>
        <v>0</v>
      </c>
    </row>
    <row r="354" spans="1:12" ht="15.75" customHeight="1">
      <c r="A354" s="403" t="s">
        <v>54</v>
      </c>
      <c r="B354" s="175" t="s">
        <v>415</v>
      </c>
      <c r="C354" s="220"/>
      <c r="D354" s="176">
        <f t="shared" ref="D354:L354" si="216">IF(C84&lt;&gt;"",(D84-C84),"")</f>
        <v>0</v>
      </c>
      <c r="E354" s="176">
        <f t="shared" si="216"/>
        <v>0</v>
      </c>
      <c r="F354" s="176">
        <f t="shared" si="216"/>
        <v>0</v>
      </c>
      <c r="G354" s="176">
        <f t="shared" si="216"/>
        <v>0</v>
      </c>
      <c r="H354" s="177">
        <f t="shared" si="216"/>
        <v>0</v>
      </c>
      <c r="I354" s="177">
        <f t="shared" si="216"/>
        <v>0</v>
      </c>
      <c r="J354" s="177">
        <f t="shared" si="216"/>
        <v>0</v>
      </c>
      <c r="K354" s="177">
        <f t="shared" si="216"/>
        <v>0</v>
      </c>
      <c r="L354" s="177">
        <f t="shared" si="216"/>
        <v>0</v>
      </c>
    </row>
    <row r="355" spans="1:12" ht="15.75" customHeight="1">
      <c r="A355" s="403" t="s">
        <v>54</v>
      </c>
      <c r="B355" s="175" t="s">
        <v>416</v>
      </c>
      <c r="C355" s="220"/>
      <c r="D355" s="176">
        <f t="shared" ref="D355:L355" si="217">IF(C85&lt;&gt;"",(D85-C85),"")</f>
        <v>0</v>
      </c>
      <c r="E355" s="176">
        <f t="shared" si="217"/>
        <v>0</v>
      </c>
      <c r="F355" s="176">
        <f t="shared" si="217"/>
        <v>0</v>
      </c>
      <c r="G355" s="176">
        <f t="shared" si="217"/>
        <v>0</v>
      </c>
      <c r="H355" s="177">
        <f t="shared" si="217"/>
        <v>0</v>
      </c>
      <c r="I355" s="177">
        <f t="shared" si="217"/>
        <v>0</v>
      </c>
      <c r="J355" s="177">
        <f t="shared" si="217"/>
        <v>0</v>
      </c>
      <c r="K355" s="177">
        <f t="shared" si="217"/>
        <v>0</v>
      </c>
      <c r="L355" s="177">
        <f t="shared" si="217"/>
        <v>0</v>
      </c>
    </row>
    <row r="356" spans="1:12" ht="15.75" customHeight="1">
      <c r="A356" s="403" t="s">
        <v>60</v>
      </c>
      <c r="B356" s="175" t="s">
        <v>417</v>
      </c>
      <c r="C356" s="220"/>
      <c r="D356" s="176">
        <f t="shared" ref="D356:L356" si="218">IF(C86&lt;&gt;"",(D86-C86),"")</f>
        <v>8234.1000000000931</v>
      </c>
      <c r="E356" s="176">
        <f t="shared" si="218"/>
        <v>-86030.40000000014</v>
      </c>
      <c r="F356" s="176">
        <f t="shared" si="218"/>
        <v>4540</v>
      </c>
      <c r="G356" s="176">
        <f t="shared" si="218"/>
        <v>-1126676.7</v>
      </c>
      <c r="H356" s="177">
        <f t="shared" si="218"/>
        <v>0</v>
      </c>
      <c r="I356" s="177">
        <f t="shared" si="218"/>
        <v>0</v>
      </c>
      <c r="J356" s="177">
        <f t="shared" si="218"/>
        <v>0</v>
      </c>
      <c r="K356" s="177">
        <f t="shared" si="218"/>
        <v>0</v>
      </c>
      <c r="L356" s="177">
        <f t="shared" si="218"/>
        <v>0</v>
      </c>
    </row>
    <row r="357" spans="1:12" ht="15.75" customHeight="1">
      <c r="A357" s="403" t="s">
        <v>54</v>
      </c>
      <c r="B357" s="175" t="s">
        <v>418</v>
      </c>
      <c r="C357" s="220"/>
      <c r="D357" s="176">
        <f t="shared" ref="D357:L357" si="219">IF(C87&lt;&gt;"",(D87-C87),"")</f>
        <v>0</v>
      </c>
      <c r="E357" s="176">
        <f t="shared" si="219"/>
        <v>0</v>
      </c>
      <c r="F357" s="176">
        <f t="shared" si="219"/>
        <v>0</v>
      </c>
      <c r="G357" s="176">
        <f t="shared" si="219"/>
        <v>0</v>
      </c>
      <c r="H357" s="177">
        <f t="shared" si="219"/>
        <v>0</v>
      </c>
      <c r="I357" s="177">
        <f t="shared" si="219"/>
        <v>0</v>
      </c>
      <c r="J357" s="177">
        <f t="shared" si="219"/>
        <v>0</v>
      </c>
      <c r="K357" s="177">
        <f t="shared" si="219"/>
        <v>0</v>
      </c>
      <c r="L357" s="177">
        <f t="shared" si="219"/>
        <v>0</v>
      </c>
    </row>
    <row r="358" spans="1:12" ht="15.75" customHeight="1">
      <c r="A358" s="403" t="s">
        <v>54</v>
      </c>
      <c r="B358" s="175" t="s">
        <v>419</v>
      </c>
      <c r="C358" s="220"/>
      <c r="D358" s="176">
        <f t="shared" ref="D358:L358" si="220">IF(C88&lt;&gt;"",(D88-C88),"")</f>
        <v>0</v>
      </c>
      <c r="E358" s="176">
        <f t="shared" si="220"/>
        <v>0</v>
      </c>
      <c r="F358" s="176">
        <f t="shared" si="220"/>
        <v>0</v>
      </c>
      <c r="G358" s="176">
        <f t="shared" si="220"/>
        <v>0</v>
      </c>
      <c r="H358" s="177">
        <f t="shared" si="220"/>
        <v>0</v>
      </c>
      <c r="I358" s="177">
        <f t="shared" si="220"/>
        <v>0</v>
      </c>
      <c r="J358" s="177">
        <f t="shared" si="220"/>
        <v>0</v>
      </c>
      <c r="K358" s="177">
        <f t="shared" si="220"/>
        <v>0</v>
      </c>
      <c r="L358" s="177">
        <f t="shared" si="220"/>
        <v>0</v>
      </c>
    </row>
    <row r="359" spans="1:12" ht="15.75" customHeight="1">
      <c r="A359" s="403" t="s">
        <v>54</v>
      </c>
      <c r="B359" s="175" t="s">
        <v>420</v>
      </c>
      <c r="C359" s="220"/>
      <c r="D359" s="176">
        <f t="shared" ref="D359:L359" si="221">IF(C89&lt;&gt;"",(D89-C89),"")</f>
        <v>1896</v>
      </c>
      <c r="E359" s="176">
        <f t="shared" si="221"/>
        <v>-1896</v>
      </c>
      <c r="F359" s="176">
        <f t="shared" si="221"/>
        <v>0</v>
      </c>
      <c r="G359" s="176">
        <f t="shared" si="221"/>
        <v>0</v>
      </c>
      <c r="H359" s="177">
        <f t="shared" si="221"/>
        <v>0</v>
      </c>
      <c r="I359" s="177">
        <f t="shared" si="221"/>
        <v>0</v>
      </c>
      <c r="J359" s="177">
        <f t="shared" si="221"/>
        <v>0</v>
      </c>
      <c r="K359" s="177">
        <f t="shared" si="221"/>
        <v>0</v>
      </c>
      <c r="L359" s="177">
        <f t="shared" si="221"/>
        <v>0</v>
      </c>
    </row>
    <row r="360" spans="1:12" ht="15.75" customHeight="1">
      <c r="A360" s="403" t="s">
        <v>56</v>
      </c>
      <c r="B360" s="175" t="s">
        <v>421</v>
      </c>
      <c r="C360" s="220"/>
      <c r="D360" s="176">
        <f t="shared" ref="D360:L360" si="222">IF(C90&lt;&gt;"",(D90-C90),"")</f>
        <v>0</v>
      </c>
      <c r="E360" s="176">
        <f t="shared" si="222"/>
        <v>0</v>
      </c>
      <c r="F360" s="176">
        <f t="shared" si="222"/>
        <v>0</v>
      </c>
      <c r="G360" s="176">
        <f t="shared" si="222"/>
        <v>0</v>
      </c>
      <c r="H360" s="177">
        <f t="shared" si="222"/>
        <v>0</v>
      </c>
      <c r="I360" s="177">
        <f t="shared" si="222"/>
        <v>0</v>
      </c>
      <c r="J360" s="177">
        <f t="shared" si="222"/>
        <v>0</v>
      </c>
      <c r="K360" s="177">
        <f t="shared" si="222"/>
        <v>0</v>
      </c>
      <c r="L360" s="177">
        <f t="shared" si="222"/>
        <v>0</v>
      </c>
    </row>
    <row r="361" spans="1:12" ht="15.75" customHeight="1">
      <c r="A361" s="403" t="s">
        <v>54</v>
      </c>
      <c r="B361" s="175" t="s">
        <v>422</v>
      </c>
      <c r="C361" s="220"/>
      <c r="D361" s="176">
        <f t="shared" ref="D361:L361" si="223">IF(C91&lt;&gt;"",(D91-C91),"")</f>
        <v>0</v>
      </c>
      <c r="E361" s="176">
        <f t="shared" si="223"/>
        <v>0</v>
      </c>
      <c r="F361" s="176">
        <f t="shared" si="223"/>
        <v>0</v>
      </c>
      <c r="G361" s="176">
        <f t="shared" si="223"/>
        <v>0</v>
      </c>
      <c r="H361" s="177">
        <f t="shared" si="223"/>
        <v>0</v>
      </c>
      <c r="I361" s="177">
        <f t="shared" si="223"/>
        <v>0</v>
      </c>
      <c r="J361" s="177">
        <f t="shared" si="223"/>
        <v>0</v>
      </c>
      <c r="K361" s="177">
        <f t="shared" si="223"/>
        <v>0</v>
      </c>
      <c r="L361" s="177">
        <f t="shared" si="223"/>
        <v>0</v>
      </c>
    </row>
    <row r="362" spans="1:12" s="171" customFormat="1" ht="15.75" customHeight="1">
      <c r="A362" s="403"/>
      <c r="B362" s="171" t="s">
        <v>423</v>
      </c>
      <c r="C362" s="219"/>
      <c r="D362" s="172">
        <f t="shared" ref="D362:L362" si="224">IF(C92&lt;&gt;"",(D92-C92),"")</f>
        <v>3074119.0000000009</v>
      </c>
      <c r="E362" s="172">
        <f t="shared" si="224"/>
        <v>3160556.8999999985</v>
      </c>
      <c r="F362" s="172">
        <f t="shared" si="224"/>
        <v>3338097.6000000015</v>
      </c>
      <c r="G362" s="172">
        <f t="shared" si="224"/>
        <v>4896556.1999999993</v>
      </c>
      <c r="H362" s="184">
        <f t="shared" si="224"/>
        <v>13437735.718223751</v>
      </c>
      <c r="I362" s="184">
        <f t="shared" si="224"/>
        <v>6817588.3129372969</v>
      </c>
      <c r="J362" s="184">
        <f t="shared" si="224"/>
        <v>9291621.7374523878</v>
      </c>
      <c r="K362" s="184">
        <f t="shared" si="224"/>
        <v>11484686.200180359</v>
      </c>
      <c r="L362" s="184">
        <f t="shared" si="224"/>
        <v>13068309.700521424</v>
      </c>
    </row>
    <row r="363" spans="1:12" ht="15.75" customHeight="1">
      <c r="A363" s="403"/>
      <c r="B363" s="175" t="s">
        <v>424</v>
      </c>
      <c r="C363" s="220"/>
      <c r="D363" s="176">
        <f t="shared" ref="D363:L363" si="225">IF(C93&lt;&gt;"",(D93-C93),"")</f>
        <v>3074119.0000000009</v>
      </c>
      <c r="E363" s="176">
        <f t="shared" si="225"/>
        <v>3160556.8999999985</v>
      </c>
      <c r="F363" s="176">
        <f t="shared" si="225"/>
        <v>3338097.6000000015</v>
      </c>
      <c r="G363" s="176">
        <f t="shared" si="225"/>
        <v>4896556.1999999993</v>
      </c>
      <c r="H363" s="177">
        <f t="shared" si="225"/>
        <v>13437735.718223751</v>
      </c>
      <c r="I363" s="177">
        <f t="shared" si="225"/>
        <v>6817588.3129372969</v>
      </c>
      <c r="J363" s="177">
        <f t="shared" si="225"/>
        <v>9291621.7374523878</v>
      </c>
      <c r="K363" s="177">
        <f t="shared" si="225"/>
        <v>11484686.200180359</v>
      </c>
      <c r="L363" s="177">
        <f t="shared" si="225"/>
        <v>13068309.700521424</v>
      </c>
    </row>
    <row r="364" spans="1:12" ht="15.75" customHeight="1">
      <c r="A364" s="403" t="s">
        <v>61</v>
      </c>
      <c r="B364" s="175" t="s">
        <v>425</v>
      </c>
      <c r="C364" s="220"/>
      <c r="D364" s="176">
        <f t="shared" ref="D364:L364" si="226">IF(C94&lt;&gt;"",(D94-C94),"")</f>
        <v>1265077.3999999999</v>
      </c>
      <c r="E364" s="176">
        <f t="shared" si="226"/>
        <v>500</v>
      </c>
      <c r="F364" s="176">
        <f t="shared" si="226"/>
        <v>96638.100000000559</v>
      </c>
      <c r="G364" s="176">
        <f t="shared" si="226"/>
        <v>2598555.0999999996</v>
      </c>
      <c r="H364" s="177">
        <f t="shared" si="226"/>
        <v>7515139.8149039969</v>
      </c>
      <c r="I364" s="177">
        <f t="shared" si="226"/>
        <v>0</v>
      </c>
      <c r="J364" s="177">
        <f t="shared" si="226"/>
        <v>0</v>
      </c>
      <c r="K364" s="177">
        <f t="shared" si="226"/>
        <v>0</v>
      </c>
      <c r="L364" s="177">
        <f t="shared" si="226"/>
        <v>0</v>
      </c>
    </row>
    <row r="365" spans="1:12" ht="15.75" customHeight="1">
      <c r="A365" s="403" t="s">
        <v>62</v>
      </c>
      <c r="B365" s="175" t="s">
        <v>426</v>
      </c>
      <c r="C365" s="220"/>
      <c r="D365" s="176">
        <f t="shared" ref="D365:L365" si="227">IF(C95&lt;&gt;"",(D95-C95),"")</f>
        <v>1265077.3999999999</v>
      </c>
      <c r="E365" s="176">
        <f t="shared" si="227"/>
        <v>500</v>
      </c>
      <c r="F365" s="176">
        <f t="shared" si="227"/>
        <v>96638.100000000559</v>
      </c>
      <c r="G365" s="176">
        <f t="shared" si="227"/>
        <v>2598555.0999999996</v>
      </c>
      <c r="H365" s="177">
        <f t="shared" si="227"/>
        <v>7515139.8149039969</v>
      </c>
      <c r="I365" s="177">
        <f t="shared" si="227"/>
        <v>0</v>
      </c>
      <c r="J365" s="177">
        <f t="shared" si="227"/>
        <v>0</v>
      </c>
      <c r="K365" s="177">
        <f t="shared" si="227"/>
        <v>0</v>
      </c>
      <c r="L365" s="177">
        <f t="shared" si="227"/>
        <v>0</v>
      </c>
    </row>
    <row r="366" spans="1:12" ht="15.75" customHeight="1">
      <c r="B366" s="175" t="s">
        <v>427</v>
      </c>
      <c r="C366" s="220"/>
      <c r="D366" s="176">
        <f t="shared" ref="D366:L366" si="228">IF(C96&lt;&gt;"",(D96-C96),"")</f>
        <v>0</v>
      </c>
      <c r="E366" s="176">
        <f t="shared" si="228"/>
        <v>0</v>
      </c>
      <c r="F366" s="176">
        <f t="shared" si="228"/>
        <v>0</v>
      </c>
      <c r="G366" s="176">
        <f t="shared" si="228"/>
        <v>0</v>
      </c>
      <c r="H366" s="177">
        <f t="shared" si="228"/>
        <v>0</v>
      </c>
      <c r="I366" s="177">
        <f t="shared" si="228"/>
        <v>0</v>
      </c>
      <c r="J366" s="177">
        <f t="shared" si="228"/>
        <v>0</v>
      </c>
      <c r="K366" s="177">
        <f t="shared" si="228"/>
        <v>0</v>
      </c>
      <c r="L366" s="177">
        <f t="shared" si="228"/>
        <v>0</v>
      </c>
    </row>
    <row r="367" spans="1:12" ht="15.75" customHeight="1">
      <c r="A367" s="403" t="s">
        <v>62</v>
      </c>
      <c r="B367" s="175" t="s">
        <v>428</v>
      </c>
      <c r="C367" s="220"/>
      <c r="D367" s="176">
        <f t="shared" ref="D367:L367" si="229">IF(C97&lt;&gt;"",(D97-C97),"")</f>
        <v>514734.3</v>
      </c>
      <c r="E367" s="176">
        <f t="shared" si="229"/>
        <v>3755</v>
      </c>
      <c r="F367" s="176">
        <f t="shared" si="229"/>
        <v>2903.4000000000233</v>
      </c>
      <c r="G367" s="176">
        <f t="shared" si="229"/>
        <v>0</v>
      </c>
      <c r="H367" s="177">
        <f t="shared" si="229"/>
        <v>1.3999999966472387E-2</v>
      </c>
      <c r="I367" s="177">
        <f t="shared" si="229"/>
        <v>0</v>
      </c>
      <c r="J367" s="177">
        <f t="shared" si="229"/>
        <v>0</v>
      </c>
      <c r="K367" s="177">
        <f t="shared" si="229"/>
        <v>0</v>
      </c>
      <c r="L367" s="177">
        <f t="shared" si="229"/>
        <v>0</v>
      </c>
    </row>
    <row r="368" spans="1:12" ht="15.75" customHeight="1">
      <c r="A368" s="403"/>
      <c r="B368" s="175" t="s">
        <v>429</v>
      </c>
      <c r="C368" s="220"/>
      <c r="D368" s="176">
        <f t="shared" ref="D368:L368" si="230">IF(C98&lt;&gt;"",(D98-C98),"")</f>
        <v>0</v>
      </c>
      <c r="E368" s="176">
        <f t="shared" si="230"/>
        <v>0</v>
      </c>
      <c r="F368" s="176">
        <f t="shared" si="230"/>
        <v>0</v>
      </c>
      <c r="G368" s="176">
        <f t="shared" si="230"/>
        <v>0</v>
      </c>
      <c r="H368" s="177">
        <f t="shared" si="230"/>
        <v>0</v>
      </c>
      <c r="I368" s="177">
        <f t="shared" si="230"/>
        <v>0</v>
      </c>
      <c r="J368" s="177">
        <f t="shared" si="230"/>
        <v>0</v>
      </c>
      <c r="K368" s="177">
        <f t="shared" si="230"/>
        <v>0</v>
      </c>
      <c r="L368" s="177">
        <f t="shared" si="230"/>
        <v>0</v>
      </c>
    </row>
    <row r="369" spans="1:12" ht="15.75" customHeight="1">
      <c r="A369" s="403"/>
      <c r="B369" s="175" t="s">
        <v>430</v>
      </c>
      <c r="C369" s="220"/>
      <c r="D369" s="176">
        <f t="shared" ref="D369:L369" si="231">IF(C99&lt;&gt;"",(D99-C99),"")</f>
        <v>0</v>
      </c>
      <c r="E369" s="176">
        <f t="shared" si="231"/>
        <v>0</v>
      </c>
      <c r="F369" s="176">
        <f t="shared" si="231"/>
        <v>-1130.5</v>
      </c>
      <c r="G369" s="176">
        <f t="shared" si="231"/>
        <v>0</v>
      </c>
      <c r="H369" s="177">
        <f t="shared" si="231"/>
        <v>0</v>
      </c>
      <c r="I369" s="177">
        <f t="shared" si="231"/>
        <v>0</v>
      </c>
      <c r="J369" s="177">
        <f t="shared" si="231"/>
        <v>0</v>
      </c>
      <c r="K369" s="177">
        <f t="shared" si="231"/>
        <v>0</v>
      </c>
      <c r="L369" s="177">
        <f t="shared" si="231"/>
        <v>0</v>
      </c>
    </row>
    <row r="370" spans="1:12" ht="15.75" customHeight="1">
      <c r="A370" s="403"/>
      <c r="B370" s="175" t="s">
        <v>431</v>
      </c>
      <c r="C370" s="220"/>
      <c r="D370" s="176">
        <f t="shared" ref="D370:L370" si="232">IF(C100&lt;&gt;"",(D100-C100),"")</f>
        <v>-729.69999999999993</v>
      </c>
      <c r="E370" s="176">
        <f t="shared" si="232"/>
        <v>-4850</v>
      </c>
      <c r="F370" s="176">
        <f t="shared" si="232"/>
        <v>-382</v>
      </c>
      <c r="G370" s="176">
        <f t="shared" si="232"/>
        <v>3720.8999999999996</v>
      </c>
      <c r="H370" s="177">
        <f t="shared" si="232"/>
        <v>-9.0949470177292824E-13</v>
      </c>
      <c r="I370" s="177">
        <f t="shared" si="232"/>
        <v>0</v>
      </c>
      <c r="J370" s="177">
        <f t="shared" si="232"/>
        <v>0</v>
      </c>
      <c r="K370" s="177">
        <f t="shared" si="232"/>
        <v>0</v>
      </c>
      <c r="L370" s="177">
        <f t="shared" si="232"/>
        <v>0</v>
      </c>
    </row>
    <row r="371" spans="1:12" ht="15.75" customHeight="1">
      <c r="A371" s="403"/>
      <c r="B371" s="175" t="s">
        <v>432</v>
      </c>
      <c r="C371" s="220"/>
      <c r="D371" s="176">
        <f t="shared" ref="D371:L371" si="233">IF(C101&lt;&gt;"",(D101-C101),"")</f>
        <v>0</v>
      </c>
      <c r="E371" s="176">
        <f t="shared" si="233"/>
        <v>0</v>
      </c>
      <c r="F371" s="176">
        <f t="shared" si="233"/>
        <v>0</v>
      </c>
      <c r="G371" s="176">
        <f t="shared" si="233"/>
        <v>0</v>
      </c>
      <c r="H371" s="177">
        <f t="shared" si="233"/>
        <v>0</v>
      </c>
      <c r="I371" s="221" t="str">
        <f t="shared" si="233"/>
        <v/>
      </c>
      <c r="J371" s="221" t="str">
        <f t="shared" si="233"/>
        <v/>
      </c>
      <c r="K371" s="221" t="str">
        <f t="shared" si="233"/>
        <v/>
      </c>
      <c r="L371" s="221" t="str">
        <f t="shared" si="233"/>
        <v/>
      </c>
    </row>
    <row r="372" spans="1:12" ht="15.75" customHeight="1">
      <c r="A372" s="403"/>
      <c r="B372" s="30" t="s">
        <v>433</v>
      </c>
      <c r="C372" s="220"/>
      <c r="D372" s="176">
        <f t="shared" ref="D372:L372" si="234">IF(C102&lt;&gt;"",(D102-C102),"")</f>
        <v>532.70000000000005</v>
      </c>
      <c r="E372" s="176">
        <f t="shared" si="234"/>
        <v>-475</v>
      </c>
      <c r="F372" s="176">
        <f t="shared" si="234"/>
        <v>-1415.3999999999999</v>
      </c>
      <c r="G372" s="176">
        <f t="shared" si="234"/>
        <v>6832.2</v>
      </c>
      <c r="H372" s="177">
        <f t="shared" si="234"/>
        <v>2.5000000000545697E-2</v>
      </c>
      <c r="I372" s="177">
        <f t="shared" si="234"/>
        <v>0</v>
      </c>
      <c r="J372" s="177">
        <f t="shared" si="234"/>
        <v>0</v>
      </c>
      <c r="K372" s="177">
        <f t="shared" si="234"/>
        <v>0</v>
      </c>
      <c r="L372" s="177">
        <f t="shared" si="234"/>
        <v>0</v>
      </c>
    </row>
    <row r="373" spans="1:12" ht="15.75" customHeight="1">
      <c r="A373" s="403"/>
      <c r="B373" s="175" t="s">
        <v>434</v>
      </c>
      <c r="C373" s="220"/>
      <c r="D373" s="176">
        <f t="shared" ref="D373:L373" si="235">IF(C103&lt;&gt;"",(D103-C103),"")</f>
        <v>0</v>
      </c>
      <c r="E373" s="176">
        <f t="shared" si="235"/>
        <v>0</v>
      </c>
      <c r="F373" s="176">
        <f t="shared" si="235"/>
        <v>0</v>
      </c>
      <c r="G373" s="176">
        <f t="shared" si="235"/>
        <v>0</v>
      </c>
      <c r="H373" s="177">
        <f t="shared" si="235"/>
        <v>0</v>
      </c>
      <c r="I373" s="177">
        <f t="shared" si="235"/>
        <v>0</v>
      </c>
      <c r="J373" s="177">
        <f t="shared" si="235"/>
        <v>0</v>
      </c>
      <c r="K373" s="177">
        <f t="shared" si="235"/>
        <v>0</v>
      </c>
      <c r="L373" s="177">
        <f t="shared" si="235"/>
        <v>0</v>
      </c>
    </row>
    <row r="374" spans="1:12" ht="15.75" customHeight="1">
      <c r="A374" s="403" t="s">
        <v>62</v>
      </c>
      <c r="B374" s="175" t="s">
        <v>435</v>
      </c>
      <c r="C374" s="220"/>
      <c r="D374" s="176">
        <f t="shared" ref="D374:L374" si="236">IF(C104&lt;&gt;"",(D104-C104),"")</f>
        <v>0</v>
      </c>
      <c r="E374" s="176">
        <f t="shared" si="236"/>
        <v>0</v>
      </c>
      <c r="F374" s="176">
        <f t="shared" si="236"/>
        <v>0</v>
      </c>
      <c r="G374" s="176">
        <f t="shared" si="236"/>
        <v>0</v>
      </c>
      <c r="H374" s="177">
        <f t="shared" si="236"/>
        <v>0</v>
      </c>
      <c r="I374" s="177">
        <f t="shared" si="236"/>
        <v>0</v>
      </c>
      <c r="J374" s="177">
        <f t="shared" si="236"/>
        <v>0</v>
      </c>
      <c r="K374" s="177">
        <f t="shared" si="236"/>
        <v>0</v>
      </c>
      <c r="L374" s="177">
        <f t="shared" si="236"/>
        <v>0</v>
      </c>
    </row>
    <row r="375" spans="1:12" ht="15.75" customHeight="1">
      <c r="A375" s="403"/>
      <c r="B375" s="175" t="s">
        <v>436</v>
      </c>
      <c r="C375" s="220"/>
      <c r="D375" s="176">
        <f t="shared" ref="D375:L375" si="237">IF(C105&lt;&gt;"",(D105-C105),"")</f>
        <v>0</v>
      </c>
      <c r="E375" s="176">
        <f t="shared" si="237"/>
        <v>0</v>
      </c>
      <c r="F375" s="176">
        <f t="shared" si="237"/>
        <v>0</v>
      </c>
      <c r="G375" s="176">
        <f t="shared" si="237"/>
        <v>0</v>
      </c>
      <c r="H375" s="177">
        <f t="shared" si="237"/>
        <v>0</v>
      </c>
      <c r="I375" s="177">
        <f t="shared" si="237"/>
        <v>0</v>
      </c>
      <c r="J375" s="177">
        <f t="shared" si="237"/>
        <v>0</v>
      </c>
      <c r="K375" s="177">
        <f t="shared" si="237"/>
        <v>0</v>
      </c>
      <c r="L375" s="177">
        <f t="shared" si="237"/>
        <v>0</v>
      </c>
    </row>
    <row r="376" spans="1:12" ht="15.75" customHeight="1">
      <c r="A376" s="403" t="s">
        <v>62</v>
      </c>
      <c r="B376" s="175" t="s">
        <v>437</v>
      </c>
      <c r="C376" s="220"/>
      <c r="D376" s="176">
        <f t="shared" ref="D376:L376" si="238">IF(C106&lt;&gt;"",(D106-C106),"")</f>
        <v>1291031.1999999997</v>
      </c>
      <c r="E376" s="176">
        <f t="shared" si="238"/>
        <v>3160090.3000000003</v>
      </c>
      <c r="F376" s="176">
        <f t="shared" si="238"/>
        <v>3239989.3999999994</v>
      </c>
      <c r="G376" s="176">
        <f t="shared" si="238"/>
        <v>2284890.5999999996</v>
      </c>
      <c r="H376" s="177">
        <f t="shared" si="238"/>
        <v>5919521.9396130256</v>
      </c>
      <c r="I376" s="177">
        <f t="shared" si="238"/>
        <v>6813735.9672140367</v>
      </c>
      <c r="J376" s="177">
        <f t="shared" si="238"/>
        <v>9287267.5341824628</v>
      </c>
      <c r="K376" s="177">
        <f t="shared" si="238"/>
        <v>11479784.032063708</v>
      </c>
      <c r="L376" s="177">
        <f t="shared" si="238"/>
        <v>13062873.729498148</v>
      </c>
    </row>
    <row r="377" spans="1:12" ht="15.75" customHeight="1">
      <c r="A377" s="403"/>
      <c r="B377" s="175" t="s">
        <v>438</v>
      </c>
      <c r="C377" s="220"/>
      <c r="D377" s="176">
        <f t="shared" ref="D377:L377" si="239">IF(C107&lt;&gt;"",(D107-C107),"")</f>
        <v>645397.6</v>
      </c>
      <c r="E377" s="176">
        <f t="shared" si="239"/>
        <v>2177133.9000000004</v>
      </c>
      <c r="F377" s="176">
        <f t="shared" si="239"/>
        <v>3155360.6999999997</v>
      </c>
      <c r="G377" s="176">
        <f t="shared" si="239"/>
        <v>1304919.6000000006</v>
      </c>
      <c r="H377" s="177">
        <f t="shared" si="239"/>
        <v>-7775704.9000000004</v>
      </c>
      <c r="I377" s="221" t="str">
        <f t="shared" si="239"/>
        <v/>
      </c>
      <c r="J377" s="221" t="str">
        <f t="shared" si="239"/>
        <v/>
      </c>
      <c r="K377" s="221" t="str">
        <f t="shared" si="239"/>
        <v/>
      </c>
      <c r="L377" s="221" t="str">
        <f t="shared" si="239"/>
        <v/>
      </c>
    </row>
    <row r="378" spans="1:12" ht="15.75" customHeight="1">
      <c r="A378" s="403"/>
      <c r="B378" s="175" t="s">
        <v>439</v>
      </c>
      <c r="C378" s="220"/>
      <c r="D378" s="176">
        <f t="shared" ref="D378:L378" si="240">IF(C108&lt;&gt;"",(D108-C108),"")</f>
        <v>645633.60000000009</v>
      </c>
      <c r="E378" s="176">
        <f t="shared" si="240"/>
        <v>982956.29999999981</v>
      </c>
      <c r="F378" s="176">
        <f t="shared" si="240"/>
        <v>84628.799999999814</v>
      </c>
      <c r="G378" s="176">
        <f t="shared" si="240"/>
        <v>979971</v>
      </c>
      <c r="H378" s="177">
        <f t="shared" si="240"/>
        <v>-4898869.3</v>
      </c>
      <c r="I378" s="221" t="str">
        <f t="shared" si="240"/>
        <v/>
      </c>
      <c r="J378" s="221" t="str">
        <f t="shared" si="240"/>
        <v/>
      </c>
      <c r="K378" s="221" t="str">
        <f t="shared" si="240"/>
        <v/>
      </c>
      <c r="L378" s="221" t="str">
        <f t="shared" si="240"/>
        <v/>
      </c>
    </row>
    <row r="379" spans="1:12" ht="15.75" customHeight="1">
      <c r="A379" s="403"/>
      <c r="B379" s="175" t="s">
        <v>440</v>
      </c>
      <c r="C379" s="220"/>
      <c r="D379" s="176">
        <f t="shared" ref="D379:L379" si="241">IF(C109&lt;&gt;"",(D109-C109),"")</f>
        <v>0</v>
      </c>
      <c r="E379" s="176">
        <f t="shared" si="241"/>
        <v>0</v>
      </c>
      <c r="F379" s="176">
        <f t="shared" si="241"/>
        <v>0</v>
      </c>
      <c r="G379" s="176">
        <f t="shared" si="241"/>
        <v>0</v>
      </c>
      <c r="H379" s="177">
        <f t="shared" si="241"/>
        <v>0</v>
      </c>
      <c r="I379" s="221" t="str">
        <f t="shared" si="241"/>
        <v/>
      </c>
      <c r="J379" s="221" t="str">
        <f t="shared" si="241"/>
        <v/>
      </c>
      <c r="K379" s="221" t="str">
        <f t="shared" si="241"/>
        <v/>
      </c>
      <c r="L379" s="221" t="str">
        <f t="shared" si="241"/>
        <v/>
      </c>
    </row>
    <row r="380" spans="1:12" ht="15.75" customHeight="1">
      <c r="A380" s="403"/>
      <c r="B380" s="175" t="s">
        <v>441</v>
      </c>
      <c r="C380" s="220"/>
      <c r="D380" s="176">
        <f t="shared" ref="D380:L380" si="242">IF(C110&lt;&gt;"",(D110-C110),"")</f>
        <v>3473.0999999999995</v>
      </c>
      <c r="E380" s="176">
        <f t="shared" si="242"/>
        <v>1536.7000000000007</v>
      </c>
      <c r="F380" s="176">
        <f t="shared" si="242"/>
        <v>1494.5</v>
      </c>
      <c r="G380" s="176">
        <f t="shared" si="242"/>
        <v>2557.3999999999996</v>
      </c>
      <c r="H380" s="177">
        <f t="shared" si="242"/>
        <v>3073.9247067261476</v>
      </c>
      <c r="I380" s="177">
        <f t="shared" si="242"/>
        <v>3852.3457232671262</v>
      </c>
      <c r="J380" s="177">
        <f t="shared" si="242"/>
        <v>4354.2032699199008</v>
      </c>
      <c r="K380" s="177">
        <f t="shared" si="242"/>
        <v>4902.1681166506824</v>
      </c>
      <c r="L380" s="177">
        <f t="shared" si="242"/>
        <v>5435.9710232765901</v>
      </c>
    </row>
    <row r="381" spans="1:12" ht="15.75" customHeight="1">
      <c r="A381" s="403"/>
      <c r="B381" s="175" t="s">
        <v>442</v>
      </c>
      <c r="C381" s="220"/>
      <c r="D381" s="176">
        <f t="shared" ref="D381:L381" si="243">IF(C111&lt;&gt;"",(D111-C111),"")</f>
        <v>0</v>
      </c>
      <c r="E381" s="176">
        <f t="shared" si="243"/>
        <v>0</v>
      </c>
      <c r="F381" s="176">
        <f t="shared" si="243"/>
        <v>0</v>
      </c>
      <c r="G381" s="176">
        <f t="shared" si="243"/>
        <v>0</v>
      </c>
      <c r="H381" s="177">
        <f t="shared" si="243"/>
        <v>0</v>
      </c>
      <c r="I381" s="221" t="str">
        <f t="shared" si="243"/>
        <v/>
      </c>
      <c r="J381" s="221" t="str">
        <f t="shared" si="243"/>
        <v/>
      </c>
      <c r="K381" s="221" t="str">
        <f t="shared" si="243"/>
        <v/>
      </c>
      <c r="L381" s="221" t="str">
        <f t="shared" si="243"/>
        <v/>
      </c>
    </row>
    <row r="382" spans="1:12" ht="15.75" customHeight="1">
      <c r="A382" s="403"/>
      <c r="B382" s="175" t="s">
        <v>443</v>
      </c>
      <c r="C382" s="220"/>
      <c r="D382" s="176">
        <f t="shared" ref="D382:L382" si="244">IF(C112&lt;&gt;"",(D112-C112),"")</f>
        <v>0</v>
      </c>
      <c r="E382" s="176">
        <f t="shared" si="244"/>
        <v>0</v>
      </c>
      <c r="F382" s="176">
        <f t="shared" si="244"/>
        <v>0</v>
      </c>
      <c r="G382" s="176">
        <f t="shared" si="244"/>
        <v>0</v>
      </c>
      <c r="H382" s="177">
        <f t="shared" si="244"/>
        <v>0</v>
      </c>
      <c r="I382" s="221" t="str">
        <f t="shared" si="244"/>
        <v/>
      </c>
      <c r="J382" s="221" t="str">
        <f t="shared" si="244"/>
        <v/>
      </c>
      <c r="K382" s="221" t="str">
        <f t="shared" si="244"/>
        <v/>
      </c>
      <c r="L382" s="221" t="str">
        <f t="shared" si="244"/>
        <v/>
      </c>
    </row>
    <row r="383" spans="1:12" ht="15.75" customHeight="1">
      <c r="A383" s="403"/>
      <c r="B383" s="175" t="s">
        <v>444</v>
      </c>
      <c r="C383" s="220"/>
      <c r="D383" s="176">
        <f t="shared" ref="D383:L383" si="245">IF(C113&lt;&gt;"",(D113-C113),"")</f>
        <v>0</v>
      </c>
      <c r="E383" s="176">
        <f t="shared" si="245"/>
        <v>0</v>
      </c>
      <c r="F383" s="176">
        <f t="shared" si="245"/>
        <v>0</v>
      </c>
      <c r="G383" s="176">
        <f t="shared" si="245"/>
        <v>0</v>
      </c>
      <c r="H383" s="177">
        <f t="shared" si="245"/>
        <v>0</v>
      </c>
      <c r="I383" s="221" t="str">
        <f t="shared" si="245"/>
        <v/>
      </c>
      <c r="J383" s="221" t="str">
        <f t="shared" si="245"/>
        <v/>
      </c>
      <c r="K383" s="221" t="str">
        <f t="shared" si="245"/>
        <v/>
      </c>
      <c r="L383" s="221" t="str">
        <f t="shared" si="245"/>
        <v/>
      </c>
    </row>
    <row r="384" spans="1:12" s="171" customFormat="1" ht="15.75" customHeight="1">
      <c r="A384" s="403"/>
      <c r="B384" s="171" t="s">
        <v>445</v>
      </c>
      <c r="C384" s="219"/>
      <c r="D384" s="172">
        <f t="shared" ref="D384:L384" si="246">IF(C114&lt;&gt;"",(D114-C114),"")</f>
        <v>5299867.3000000007</v>
      </c>
      <c r="E384" s="172">
        <f t="shared" si="246"/>
        <v>13585564</v>
      </c>
      <c r="F384" s="172">
        <f t="shared" si="246"/>
        <v>4322784.5</v>
      </c>
      <c r="G384" s="172">
        <f t="shared" si="246"/>
        <v>16940524.799999997</v>
      </c>
      <c r="H384" s="184">
        <f t="shared" si="246"/>
        <v>19534386.934606001</v>
      </c>
      <c r="I384" s="184">
        <f t="shared" si="246"/>
        <v>13582549.715215936</v>
      </c>
      <c r="J384" s="184">
        <f t="shared" si="246"/>
        <v>14211745.863675192</v>
      </c>
      <c r="K384" s="184">
        <f t="shared" si="246"/>
        <v>12577051.241780937</v>
      </c>
      <c r="L384" s="184">
        <f t="shared" si="246"/>
        <v>27002485.269211173</v>
      </c>
    </row>
    <row r="385" spans="1:1" ht="15.75" customHeight="1">
      <c r="A385" s="403"/>
    </row>
    <row r="386" spans="1:1" ht="15.75" customHeight="1">
      <c r="A386" s="403"/>
    </row>
    <row r="387" spans="1:1" ht="15.75" customHeight="1">
      <c r="A387" s="403"/>
    </row>
    <row r="388" spans="1:1" ht="15.75" customHeight="1"/>
    <row r="389" spans="1:1" ht="15.75" customHeight="1"/>
    <row r="390" spans="1:1" ht="15.75" customHeight="1"/>
    <row r="391" spans="1:1" ht="15.75" customHeight="1"/>
    <row r="392" spans="1:1" ht="15.75" customHeight="1"/>
    <row r="393" spans="1:1" ht="15.75" customHeight="1"/>
    <row r="394" spans="1:1" ht="15.75" customHeight="1"/>
    <row r="395" spans="1:1" ht="15.75" customHeight="1"/>
    <row r="396" spans="1:1" ht="15.75" customHeight="1"/>
    <row r="397" spans="1:1" ht="15.75" customHeight="1"/>
    <row r="398" spans="1:1" ht="15.75" customHeight="1"/>
    <row r="399" spans="1:1" ht="15.75" customHeight="1"/>
    <row r="400" spans="1:1"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6600"/>
    <outlinePr summaryBelow="0" summaryRight="0"/>
  </sheetPr>
  <dimension ref="A1:L1001"/>
  <sheetViews>
    <sheetView workbookViewId="0">
      <pane xSplit="1" ySplit="1" topLeftCell="D2" activePane="bottomRight" state="frozen"/>
      <selection pane="topRight" activeCell="B1" sqref="B1"/>
      <selection pane="bottomLeft" activeCell="A2" sqref="A2"/>
      <selection pane="bottomRight" activeCell="A28" sqref="A28:A31"/>
    </sheetView>
  </sheetViews>
  <sheetFormatPr defaultColWidth="11.25" defaultRowHeight="15" customHeight="1"/>
  <cols>
    <col min="1" max="1" width="60.25" style="21" customWidth="1"/>
    <col min="2" max="6" width="11.25" style="21" customWidth="1"/>
    <col min="7" max="11" width="11.25" style="21"/>
    <col min="12" max="12" width="11.25" style="400"/>
    <col min="13" max="16384" width="11.25" style="21"/>
  </cols>
  <sheetData>
    <row r="1" spans="1:12" ht="21" customHeight="1" thickBot="1">
      <c r="A1" s="336" t="s">
        <v>895</v>
      </c>
      <c r="B1" s="379">
        <v>2017</v>
      </c>
      <c r="C1" s="379">
        <v>2018</v>
      </c>
      <c r="D1" s="379">
        <v>2019</v>
      </c>
      <c r="E1" s="379">
        <v>2020</v>
      </c>
      <c r="F1" s="379">
        <v>2021</v>
      </c>
      <c r="G1" s="380" t="s">
        <v>4</v>
      </c>
      <c r="H1" s="380" t="s">
        <v>5</v>
      </c>
      <c r="I1" s="380" t="s">
        <v>6</v>
      </c>
      <c r="J1" s="380" t="s">
        <v>7</v>
      </c>
      <c r="K1" s="380" t="s">
        <v>8</v>
      </c>
      <c r="L1" s="398"/>
    </row>
    <row r="2" spans="1:12" ht="15" customHeight="1" thickBot="1">
      <c r="A2" s="384" t="s">
        <v>469</v>
      </c>
      <c r="B2" s="188"/>
      <c r="C2" s="188"/>
      <c r="D2" s="188"/>
      <c r="E2" s="188"/>
      <c r="F2" s="188"/>
      <c r="G2" s="392"/>
      <c r="H2" s="392"/>
      <c r="I2" s="392"/>
      <c r="J2" s="392"/>
      <c r="K2" s="392"/>
      <c r="L2" s="398"/>
    </row>
    <row r="3" spans="1:12" ht="12.75">
      <c r="A3" s="180" t="s">
        <v>470</v>
      </c>
      <c r="B3" s="387">
        <f>IS!B18</f>
        <v>2206897.1</v>
      </c>
      <c r="C3" s="387">
        <f>IS!C18</f>
        <v>2880309.1</v>
      </c>
      <c r="D3" s="387">
        <f>IS!D18</f>
        <v>3836240.1</v>
      </c>
      <c r="E3" s="387">
        <f>IS!E18</f>
        <v>3919872.7</v>
      </c>
      <c r="F3" s="387">
        <f>IS!F18</f>
        <v>4901426.7</v>
      </c>
      <c r="G3" s="393">
        <f>IS!G18</f>
        <v>6654885.5640649535</v>
      </c>
      <c r="H3" s="393">
        <f>IS!H18</f>
        <v>8282167.7944277041</v>
      </c>
      <c r="I3" s="393">
        <f>IS!I18</f>
        <v>10756201.218942776</v>
      </c>
      <c r="J3" s="393">
        <f>IS!J18</f>
        <v>12949265.681670766</v>
      </c>
      <c r="K3" s="393">
        <f>IS!K18</f>
        <v>14532889.182011819</v>
      </c>
      <c r="L3" s="381" t="s">
        <v>63</v>
      </c>
    </row>
    <row r="4" spans="1:12" ht="12.75">
      <c r="A4" s="382" t="s">
        <v>736</v>
      </c>
      <c r="B4" s="388"/>
      <c r="C4" s="388"/>
      <c r="D4" s="388"/>
      <c r="E4" s="388"/>
      <c r="F4" s="388"/>
      <c r="G4" s="394"/>
      <c r="H4" s="394"/>
      <c r="I4" s="394"/>
      <c r="J4" s="394"/>
      <c r="K4" s="394"/>
      <c r="L4" s="399"/>
    </row>
    <row r="5" spans="1:12" ht="12.75">
      <c r="A5" s="30" t="s">
        <v>472</v>
      </c>
      <c r="B5" s="389">
        <f>DATA!C197</f>
        <v>689713.7</v>
      </c>
      <c r="C5" s="389">
        <f>DATA!D197</f>
        <v>1222868.7</v>
      </c>
      <c r="D5" s="389">
        <f>DATA!E197</f>
        <v>1442826.9</v>
      </c>
      <c r="E5" s="389">
        <f>DATA!F197</f>
        <v>2195583.1</v>
      </c>
      <c r="F5" s="389">
        <f>DATA!G197</f>
        <v>2920713.6</v>
      </c>
      <c r="G5" s="395">
        <f>SUMIF(BS!$A$274:$A$384,$L5,BS!H$274:H$384)</f>
        <v>3323046.8112906856</v>
      </c>
      <c r="H5" s="395">
        <f>SUMIF(BS!$A$274:$A$384,$L5,BS!I$274:I$384)</f>
        <v>4045858.9496361418</v>
      </c>
      <c r="I5" s="395">
        <f>SUMIF(BS!$A$274:$A$384,$L5,BS!J$274:J$384)</f>
        <v>4995898.7098780833</v>
      </c>
      <c r="J5" s="395">
        <f>SUMIF(BS!$A$274:$A$384,$L5,BS!K$274:K$384)</f>
        <v>6130872.9726745877</v>
      </c>
      <c r="K5" s="395">
        <f>SUMIF(BS!$A$274:$A$384,$L5,BS!L$274:L$384)</f>
        <v>7442515.6193199735</v>
      </c>
      <c r="L5" s="381" t="s">
        <v>58</v>
      </c>
    </row>
    <row r="6" spans="1:12" ht="12.75">
      <c r="A6" s="30" t="s">
        <v>473</v>
      </c>
      <c r="B6" s="389">
        <f>DATA!C198</f>
        <v>125969</v>
      </c>
      <c r="C6" s="389">
        <f>DATA!D198</f>
        <v>126083.6</v>
      </c>
      <c r="D6" s="389">
        <f>DATA!E198</f>
        <v>90495.8</v>
      </c>
      <c r="E6" s="389">
        <f>DATA!F198</f>
        <v>58366.7</v>
      </c>
      <c r="F6" s="389">
        <f>DATA!G198</f>
        <v>179550.7</v>
      </c>
      <c r="G6" s="395">
        <f>SUMIF(BS!$A$274:$A$384,$L6,BS!H$274:H$384)</f>
        <v>166506.8411267375</v>
      </c>
      <c r="H6" s="395">
        <f>SUMIF(BS!$A$274:$A$384,$L6,BS!I$274:I$384)</f>
        <v>222561.82800757777</v>
      </c>
      <c r="I6" s="395">
        <f>SUMIF(BS!$A$274:$A$384,$L6,BS!J$274:J$384)</f>
        <v>80489.600273002026</v>
      </c>
      <c r="J6" s="395">
        <f>SUMIF(BS!$A$274:$A$384,$L6,BS!K$274:K$384)</f>
        <v>220368.2560640763</v>
      </c>
      <c r="K6" s="395">
        <f>SUMIF(BS!$A$274:$A$384,$L6,BS!L$274:L$384)</f>
        <v>84381.910855867784</v>
      </c>
      <c r="L6" s="381" t="s">
        <v>56</v>
      </c>
    </row>
    <row r="7" spans="1:12" ht="12.75">
      <c r="A7" s="30" t="s">
        <v>737</v>
      </c>
      <c r="B7" s="389">
        <f>SUM(DATA!C208:C212)</f>
        <v>-245715.99999999983</v>
      </c>
      <c r="C7" s="389">
        <f>SUM(DATA!D208:D212)</f>
        <v>-1968501.2000000004</v>
      </c>
      <c r="D7" s="389">
        <f>SUM(DATA!E208:E212)</f>
        <v>-6454639.6000000006</v>
      </c>
      <c r="E7" s="389">
        <f>SUM(DATA!F208:F212)</f>
        <v>5150738.3</v>
      </c>
      <c r="F7" s="389">
        <f>SUM(DATA!G208:G212)</f>
        <v>-6997177</v>
      </c>
      <c r="G7" s="395">
        <f>SUMIF(BS!$A$274:$A$384,$L7,BS!H$274:H$384)</f>
        <v>-807144.87222465966</v>
      </c>
      <c r="H7" s="395">
        <f>SUMIF(BS!$A$274:$A$384,$L7,BS!I$274:I$384)</f>
        <v>-3946974.1807429581</v>
      </c>
      <c r="I7" s="395">
        <f>SUMIF(BS!$A$274:$A$384,$L7,BS!J$274:J$384)</f>
        <v>-2166076.7880033678</v>
      </c>
      <c r="J7" s="395">
        <f>SUMIF(BS!$A$274:$A$384,$L7,BS!K$274:K$384)</f>
        <v>-2602099.8434774629</v>
      </c>
      <c r="K7" s="395">
        <f>SUMIF(BS!$A$274:$A$384,$L7,BS!L$274:L$384)</f>
        <v>-2962129.2507369127</v>
      </c>
      <c r="L7" s="381" t="s">
        <v>55</v>
      </c>
    </row>
    <row r="8" spans="1:12" ht="12.75">
      <c r="A8" s="30" t="s">
        <v>478</v>
      </c>
      <c r="B8" s="389">
        <f>B10-SUM(B3:B7)</f>
        <v>-113199.79999999981</v>
      </c>
      <c r="C8" s="389">
        <f>C10-SUM(C3:C7)</f>
        <v>374.30000000074506</v>
      </c>
      <c r="D8" s="389">
        <f>D10-SUM(D3:D7)</f>
        <v>-201003.9999999993</v>
      </c>
      <c r="E8" s="389">
        <f>E10-SUM(E3:E7)</f>
        <v>-532131.60000000149</v>
      </c>
      <c r="F8" s="389">
        <f>F10-SUM(F3:F7)</f>
        <v>-833123.60000000091</v>
      </c>
      <c r="G8" s="395">
        <f>SUMIF(BS!$A$274:$A$384,$L8,BS!H$274:H$384)</f>
        <v>-407194.79439816275</v>
      </c>
      <c r="H8" s="395">
        <f>SUMIF(BS!$A$274:$A$384,$L8,BS!I$274:I$384)</f>
        <v>-488661.05050629383</v>
      </c>
      <c r="I8" s="395">
        <f>SUMIF(BS!$A$274:$A$384,$L8,BS!J$274:J$384)</f>
        <v>-354861.88697139214</v>
      </c>
      <c r="J8" s="395">
        <f>SUMIF(BS!$A$274:$A$384,$L8,BS!K$274:K$384)</f>
        <v>-347292.13844107266</v>
      </c>
      <c r="K8" s="395">
        <f>SUMIF(BS!$A$274:$A$384,$L8,BS!L$274:L$384)</f>
        <v>-361970.29231959715</v>
      </c>
      <c r="L8" s="381" t="s">
        <v>54</v>
      </c>
    </row>
    <row r="9" spans="1:12" ht="12.75">
      <c r="A9" s="30"/>
      <c r="B9" s="388"/>
      <c r="C9" s="388"/>
      <c r="D9" s="388"/>
      <c r="E9" s="388"/>
      <c r="F9" s="388"/>
      <c r="G9" s="394"/>
      <c r="H9" s="394"/>
      <c r="I9" s="394"/>
      <c r="J9" s="394"/>
      <c r="K9" s="396"/>
      <c r="L9" s="381"/>
    </row>
    <row r="10" spans="1:12" s="26" customFormat="1" ht="13.5" thickBot="1">
      <c r="A10" s="180" t="s">
        <v>738</v>
      </c>
      <c r="B10" s="387">
        <f>DATA!C194</f>
        <v>2663664</v>
      </c>
      <c r="C10" s="387">
        <f>DATA!D194</f>
        <v>2261134.5</v>
      </c>
      <c r="D10" s="387">
        <f>DATA!E194</f>
        <v>-1286080.8</v>
      </c>
      <c r="E10" s="387">
        <f>DATA!F194</f>
        <v>10792429.199999999</v>
      </c>
      <c r="F10" s="387">
        <f>DATA!G194</f>
        <v>171390.4</v>
      </c>
      <c r="G10" s="393">
        <f>SUM(G3:G8)</f>
        <v>8930099.5498595536</v>
      </c>
      <c r="H10" s="393">
        <f>SUM(H3:H8)</f>
        <v>8114953.3408221714</v>
      </c>
      <c r="I10" s="393">
        <f>SUM(I3:I8)</f>
        <v>13311650.854119102</v>
      </c>
      <c r="J10" s="393">
        <f>SUM(J3:J8)</f>
        <v>16351114.928490896</v>
      </c>
      <c r="K10" s="393">
        <f>SUM(K3:K8)</f>
        <v>18735687.169131152</v>
      </c>
      <c r="L10" s="381"/>
    </row>
    <row r="11" spans="1:12" ht="13.5" thickBot="1">
      <c r="A11" s="384" t="s">
        <v>492</v>
      </c>
      <c r="B11" s="388"/>
      <c r="C11" s="388"/>
      <c r="D11" s="388"/>
      <c r="E11" s="388"/>
      <c r="F11" s="388"/>
      <c r="G11" s="394"/>
      <c r="H11" s="394"/>
      <c r="I11" s="394"/>
      <c r="J11" s="394"/>
      <c r="K11" s="396"/>
      <c r="L11" s="381"/>
    </row>
    <row r="12" spans="1:12" ht="12.75">
      <c r="A12" s="30" t="s">
        <v>739</v>
      </c>
      <c r="B12" s="389">
        <f>DATA!C219</f>
        <v>-2065069.6</v>
      </c>
      <c r="C12" s="389">
        <f>DATA!D219</f>
        <v>-1495931.9</v>
      </c>
      <c r="D12" s="389">
        <f>DATA!E219</f>
        <v>-3066921.2</v>
      </c>
      <c r="E12" s="389">
        <f>DATA!F219</f>
        <v>-3911358.2</v>
      </c>
      <c r="F12" s="389">
        <f>DATA!G219</f>
        <v>-4976876.5999999996</v>
      </c>
      <c r="G12" s="395">
        <f>SUMIF(BS!$A$274:$A$384,$L12,BS!H$274:H$384)</f>
        <v>-6437268.2929568999</v>
      </c>
      <c r="H12" s="395">
        <f>SUMIF(BS!$A$274:$A$384,$L12,BS!I$274:I$384)</f>
        <v>-7928378.4512132462</v>
      </c>
      <c r="I12" s="395">
        <f>SUMIF(BS!$A$274:$A$384,$L12,BS!J$274:J$384)</f>
        <v>-9038857.814056566</v>
      </c>
      <c r="J12" s="395">
        <f>SUMIF(BS!$A$274:$A$384,$L12,BS!K$274:K$384)</f>
        <v>-10034880.74943966</v>
      </c>
      <c r="K12" s="395">
        <f>SUMIF(BS!$A$274:$A$384,$L12,BS!L$274:L$384)</f>
        <v>-11151570.829300737</v>
      </c>
      <c r="L12" s="381" t="s">
        <v>57</v>
      </c>
    </row>
    <row r="13" spans="1:12" ht="12.75">
      <c r="A13" s="30" t="s">
        <v>740</v>
      </c>
      <c r="B13" s="389">
        <f>DATA!C220</f>
        <v>180</v>
      </c>
      <c r="C13" s="389">
        <f>DATA!D220</f>
        <v>1340</v>
      </c>
      <c r="D13" s="389">
        <f>DATA!E220</f>
        <v>1290.8</v>
      </c>
      <c r="E13" s="389">
        <f>DATA!F220</f>
        <v>2018.1</v>
      </c>
      <c r="F13" s="389">
        <f>DATA!G220</f>
        <v>1107</v>
      </c>
      <c r="G13" s="395"/>
      <c r="H13" s="395"/>
      <c r="I13" s="395"/>
      <c r="J13" s="395"/>
      <c r="K13" s="395"/>
      <c r="L13" s="381"/>
    </row>
    <row r="14" spans="1:12" ht="12.75">
      <c r="A14" s="30" t="s">
        <v>741</v>
      </c>
      <c r="B14" s="389">
        <f>DATA!C221</f>
        <v>-210280</v>
      </c>
      <c r="C14" s="389">
        <f>DATA!D221</f>
        <v>-85922.5</v>
      </c>
      <c r="D14" s="389">
        <f>DATA!E221</f>
        <v>-8997469.9000000004</v>
      </c>
      <c r="E14" s="389">
        <f>DATA!F221</f>
        <v>-11512469</v>
      </c>
      <c r="F14" s="389">
        <f>DATA!G221</f>
        <v>-19225219.199999999</v>
      </c>
      <c r="G14" s="395"/>
      <c r="H14" s="395"/>
      <c r="I14" s="395"/>
      <c r="J14" s="395"/>
      <c r="K14" s="395"/>
      <c r="L14" s="381"/>
    </row>
    <row r="15" spans="1:12" ht="12.75">
      <c r="A15" s="30" t="s">
        <v>742</v>
      </c>
      <c r="B15" s="389">
        <f>DATA!C222</f>
        <v>125580</v>
      </c>
      <c r="C15" s="389">
        <f>DATA!D222</f>
        <v>0</v>
      </c>
      <c r="D15" s="389">
        <f>DATA!E222</f>
        <v>5911392.2999999998</v>
      </c>
      <c r="E15" s="389">
        <f>DATA!F222</f>
        <v>6512150.0999999996</v>
      </c>
      <c r="F15" s="389">
        <f>DATA!G222</f>
        <v>12163994</v>
      </c>
      <c r="G15" s="395"/>
      <c r="H15" s="395"/>
      <c r="I15" s="395"/>
      <c r="J15" s="395"/>
      <c r="K15" s="395"/>
      <c r="L15" s="381"/>
    </row>
    <row r="16" spans="1:12" ht="12.75">
      <c r="A16" s="30" t="s">
        <v>743</v>
      </c>
      <c r="B16" s="389">
        <f>DATA!C223</f>
        <v>0</v>
      </c>
      <c r="C16" s="389">
        <f>DATA!D223</f>
        <v>-828166.5</v>
      </c>
      <c r="D16" s="389">
        <f>DATA!E223</f>
        <v>0</v>
      </c>
      <c r="E16" s="389">
        <f>DATA!F223</f>
        <v>0</v>
      </c>
      <c r="F16" s="389">
        <f>DATA!G223</f>
        <v>-16385</v>
      </c>
      <c r="G16" s="395"/>
      <c r="H16" s="395"/>
      <c r="I16" s="395"/>
      <c r="J16" s="395"/>
      <c r="K16" s="395"/>
      <c r="L16" s="381"/>
    </row>
    <row r="17" spans="1:12" ht="12.75">
      <c r="A17" s="30" t="s">
        <v>744</v>
      </c>
      <c r="B17" s="389">
        <f>DATA!C224</f>
        <v>0</v>
      </c>
      <c r="C17" s="389">
        <f>DATA!D224</f>
        <v>0</v>
      </c>
      <c r="D17" s="389">
        <f>DATA!E224</f>
        <v>0</v>
      </c>
      <c r="E17" s="389">
        <f>DATA!F224</f>
        <v>0</v>
      </c>
      <c r="F17" s="389">
        <f>DATA!G224</f>
        <v>0</v>
      </c>
      <c r="G17" s="395"/>
      <c r="H17" s="395"/>
      <c r="I17" s="395"/>
      <c r="J17" s="395"/>
      <c r="K17" s="395"/>
      <c r="L17" s="381"/>
    </row>
    <row r="18" spans="1:12" ht="12.75">
      <c r="A18" s="30" t="s">
        <v>745</v>
      </c>
      <c r="B18" s="389">
        <f>DATA!C225</f>
        <v>29374.6</v>
      </c>
      <c r="C18" s="389">
        <f>DATA!D225</f>
        <v>64286.8</v>
      </c>
      <c r="D18" s="389">
        <f>DATA!E225</f>
        <v>278946.3</v>
      </c>
      <c r="E18" s="389">
        <f>DATA!F225</f>
        <v>335398</v>
      </c>
      <c r="F18" s="389">
        <f>DATA!G225</f>
        <v>798510.2</v>
      </c>
      <c r="G18" s="395"/>
      <c r="H18" s="395"/>
      <c r="I18" s="395"/>
      <c r="J18" s="395"/>
      <c r="K18" s="395"/>
      <c r="L18" s="381" t="s">
        <v>64</v>
      </c>
    </row>
    <row r="19" spans="1:12" ht="12.75">
      <c r="A19" s="30" t="s">
        <v>746</v>
      </c>
      <c r="B19" s="389">
        <f>DATA!C226</f>
        <v>0</v>
      </c>
      <c r="C19" s="389">
        <f>DATA!D226</f>
        <v>0</v>
      </c>
      <c r="D19" s="389">
        <f>DATA!E226</f>
        <v>0</v>
      </c>
      <c r="E19" s="389">
        <f>DATA!F226</f>
        <v>0</v>
      </c>
      <c r="F19" s="389">
        <f>DATA!G226</f>
        <v>0</v>
      </c>
      <c r="G19" s="395"/>
      <c r="H19" s="395"/>
      <c r="I19" s="395"/>
      <c r="J19" s="395"/>
      <c r="K19" s="395"/>
      <c r="L19" s="381"/>
    </row>
    <row r="20" spans="1:12" s="26" customFormat="1" ht="12.75">
      <c r="A20" s="180" t="s">
        <v>747</v>
      </c>
      <c r="B20" s="387">
        <f t="shared" ref="B20:K20" si="0">SUM(B12:B19)</f>
        <v>-2120215</v>
      </c>
      <c r="C20" s="387">
        <f t="shared" si="0"/>
        <v>-2344394.1</v>
      </c>
      <c r="D20" s="387">
        <f t="shared" si="0"/>
        <v>-5872761.7000000011</v>
      </c>
      <c r="E20" s="387">
        <f t="shared" si="0"/>
        <v>-8574261</v>
      </c>
      <c r="F20" s="387">
        <f t="shared" si="0"/>
        <v>-11254869.599999998</v>
      </c>
      <c r="G20" s="393">
        <f t="shared" si="0"/>
        <v>-6437268.2929568999</v>
      </c>
      <c r="H20" s="393">
        <f t="shared" si="0"/>
        <v>-7928378.4512132462</v>
      </c>
      <c r="I20" s="393">
        <f t="shared" si="0"/>
        <v>-9038857.814056566</v>
      </c>
      <c r="J20" s="393">
        <f t="shared" si="0"/>
        <v>-10034880.74943966</v>
      </c>
      <c r="K20" s="393">
        <f t="shared" si="0"/>
        <v>-11151570.829300737</v>
      </c>
      <c r="L20" s="381"/>
    </row>
    <row r="21" spans="1:12" s="26" customFormat="1" ht="13.5" thickBot="1">
      <c r="A21" s="385"/>
      <c r="B21" s="390"/>
      <c r="C21" s="390"/>
      <c r="D21" s="390"/>
      <c r="E21" s="390"/>
      <c r="F21" s="390"/>
      <c r="G21" s="397"/>
      <c r="H21" s="397"/>
      <c r="I21" s="397"/>
      <c r="J21" s="397"/>
      <c r="K21" s="397"/>
      <c r="L21" s="386"/>
    </row>
    <row r="22" spans="1:12" s="26" customFormat="1" ht="15.75" customHeight="1" thickBot="1">
      <c r="A22" s="384" t="s">
        <v>501</v>
      </c>
      <c r="B22" s="391"/>
      <c r="C22" s="391"/>
      <c r="D22" s="391"/>
      <c r="E22" s="391"/>
      <c r="F22" s="391"/>
      <c r="G22" s="393"/>
      <c r="H22" s="393"/>
      <c r="I22" s="393"/>
      <c r="J22" s="393"/>
      <c r="K22" s="393"/>
      <c r="L22" s="381"/>
    </row>
    <row r="23" spans="1:12" ht="15.75" customHeight="1">
      <c r="A23" s="30" t="s">
        <v>748</v>
      </c>
      <c r="B23" s="389">
        <f>DATA!C229</f>
        <v>92466.5</v>
      </c>
      <c r="C23" s="389">
        <f>DATA!D229</f>
        <v>703840.2</v>
      </c>
      <c r="D23" s="389">
        <f>DATA!E229</f>
        <v>90454.8</v>
      </c>
      <c r="E23" s="389">
        <f>DATA!F229</f>
        <v>105200.4</v>
      </c>
      <c r="F23" s="389">
        <f>DATA!G229</f>
        <v>228253</v>
      </c>
      <c r="G23" s="395">
        <f>SUMIF(BS!$A$274:$A$384,$L23,BS!H$274:H$384)</f>
        <v>7515139.8149039969</v>
      </c>
      <c r="H23" s="395">
        <f>SUMIF(BS!$A$274:$A$384,$L23,BS!I$274:I$384)</f>
        <v>0</v>
      </c>
      <c r="I23" s="395">
        <f>SUMIF(BS!$A$274:$A$384,$L23,BS!J$274:J$384)</f>
        <v>0</v>
      </c>
      <c r="J23" s="395">
        <f>SUMIF(BS!$A$274:$A$384,$L23,BS!K$274:K$384)</f>
        <v>0</v>
      </c>
      <c r="K23" s="395">
        <f>SUMIF(BS!$A$274:$A$384,$L23,BS!L$274:L$384)</f>
        <v>0</v>
      </c>
      <c r="L23" s="381" t="s">
        <v>61</v>
      </c>
    </row>
    <row r="24" spans="1:12" ht="15.75" customHeight="1">
      <c r="A24" s="30" t="s">
        <v>749</v>
      </c>
      <c r="B24" s="388">
        <f>DATA!C230</f>
        <v>0</v>
      </c>
      <c r="C24" s="388">
        <f>DATA!D230</f>
        <v>-729.7</v>
      </c>
      <c r="D24" s="388">
        <f>DATA!E230</f>
        <v>-4850.1000000000004</v>
      </c>
      <c r="E24" s="388">
        <f>DATA!F230</f>
        <v>-6040.9</v>
      </c>
      <c r="F24" s="388">
        <f>DATA!G230</f>
        <v>-2320</v>
      </c>
      <c r="G24" s="395"/>
      <c r="H24" s="395"/>
      <c r="I24" s="395"/>
      <c r="J24" s="395"/>
      <c r="K24" s="395">
        <f>SUMIF(BS!$A$274:$A$384,$L24,BS!L$274:L$384)</f>
        <v>0</v>
      </c>
      <c r="L24" s="381"/>
    </row>
    <row r="25" spans="1:12" ht="15.75" customHeight="1">
      <c r="A25" s="30" t="s">
        <v>750</v>
      </c>
      <c r="B25" s="388">
        <f>DATA!C231</f>
        <v>29465789.300000001</v>
      </c>
      <c r="C25" s="388">
        <f>DATA!D231</f>
        <v>31893805.199999999</v>
      </c>
      <c r="D25" s="388">
        <f>DATA!E231</f>
        <v>45905952.299999997</v>
      </c>
      <c r="E25" s="388">
        <f>DATA!F231</f>
        <v>51168161.399999999</v>
      </c>
      <c r="F25" s="388">
        <f>DATA!G231</f>
        <v>63936208.200000003</v>
      </c>
      <c r="G25" s="395">
        <f>'FI&amp;FE'!G7</f>
        <v>72142958.756951839</v>
      </c>
      <c r="H25" s="395">
        <f>'FI&amp;FE'!H7</f>
        <v>87572802.695023522</v>
      </c>
      <c r="I25" s="395">
        <f>'FI&amp;FE'!I7</f>
        <v>101188040.39188302</v>
      </c>
      <c r="J25" s="395">
        <f>'FI&amp;FE'!J7</f>
        <v>102662769.97532551</v>
      </c>
      <c r="K25" s="395">
        <f>'FI&amp;FE'!K7</f>
        <v>131962825.59626038</v>
      </c>
      <c r="L25" s="381"/>
    </row>
    <row r="26" spans="1:12" ht="15.75" customHeight="1">
      <c r="A26" s="30" t="s">
        <v>751</v>
      </c>
      <c r="B26" s="388">
        <f>DATA!C232</f>
        <v>-27456000.300000001</v>
      </c>
      <c r="C26" s="388">
        <f>DATA!D232</f>
        <v>-31690848.699999999</v>
      </c>
      <c r="D26" s="388">
        <f>DATA!E232</f>
        <v>-38801961.799999997</v>
      </c>
      <c r="E26" s="388">
        <f>DATA!F232</f>
        <v>-48573996.700000003</v>
      </c>
      <c r="F26" s="388">
        <f>DATA!G232</f>
        <v>-56045131</v>
      </c>
      <c r="G26" s="395">
        <f>'FI&amp;FE'!G8</f>
        <v>-70368951.574403837</v>
      </c>
      <c r="H26" s="395">
        <f>'FI&amp;FE'!H8</f>
        <v>-86113255.983439803</v>
      </c>
      <c r="I26" s="395">
        <f>'FI&amp;FE'!I8</f>
        <v>-97870399.723296687</v>
      </c>
      <c r="J26" s="395">
        <f>'FI&amp;FE'!J8</f>
        <v>-107497920.89681466</v>
      </c>
      <c r="K26" s="395">
        <f>'FI&amp;FE'!K8</f>
        <v>-119306821.48905168</v>
      </c>
      <c r="L26" s="399"/>
    </row>
    <row r="27" spans="1:12" ht="15.75" customHeight="1">
      <c r="A27" s="30" t="s">
        <v>752</v>
      </c>
      <c r="B27" s="388">
        <f>DATA!C234</f>
        <v>-231718.9</v>
      </c>
      <c r="C27" s="388">
        <f>DATA!D234</f>
        <v>-485862.40000000002</v>
      </c>
      <c r="D27" s="388">
        <f>DATA!E234</f>
        <v>-665093.5</v>
      </c>
      <c r="E27" s="388">
        <f>DATA!F234</f>
        <v>-678908.8</v>
      </c>
      <c r="F27" s="388">
        <f>DATA!G234</f>
        <v>-239519.4</v>
      </c>
      <c r="G27" s="395">
        <f>EQUITY!G49</f>
        <v>-732289.74074519996</v>
      </c>
      <c r="H27" s="395">
        <f>EQUITY!H49</f>
        <v>-1464579.4814903997</v>
      </c>
      <c r="I27" s="395">
        <f>EQUITY!I49</f>
        <v>-1464579.4814903997</v>
      </c>
      <c r="J27" s="395">
        <f>EQUITY!J49</f>
        <v>-1464579.4814903997</v>
      </c>
      <c r="K27" s="395">
        <f>EQUITY!K49</f>
        <v>-1464579.4814903997</v>
      </c>
      <c r="L27" s="381" t="s">
        <v>65</v>
      </c>
    </row>
    <row r="28" spans="1:12" s="26" customFormat="1" ht="15.75" customHeight="1">
      <c r="A28" s="180" t="s">
        <v>753</v>
      </c>
      <c r="B28" s="387">
        <f t="shared" ref="B28:K28" si="1">SUM(B23:B27)</f>
        <v>1870536.6</v>
      </c>
      <c r="C28" s="387">
        <f t="shared" si="1"/>
        <v>420204.6</v>
      </c>
      <c r="D28" s="387">
        <f t="shared" si="1"/>
        <v>6524501.700000003</v>
      </c>
      <c r="E28" s="387">
        <f t="shared" si="1"/>
        <v>2014415.3999999955</v>
      </c>
      <c r="F28" s="387">
        <f t="shared" si="1"/>
        <v>7877490.8000000026</v>
      </c>
      <c r="G28" s="393">
        <f t="shared" si="1"/>
        <v>8556857.2567068059</v>
      </c>
      <c r="H28" s="393">
        <f t="shared" si="1"/>
        <v>-5032.769906681031</v>
      </c>
      <c r="I28" s="393">
        <f t="shared" si="1"/>
        <v>1853061.1870959289</v>
      </c>
      <c r="J28" s="393">
        <f t="shared" si="1"/>
        <v>-6299730.402979549</v>
      </c>
      <c r="K28" s="393">
        <f t="shared" si="1"/>
        <v>11191424.625718299</v>
      </c>
      <c r="L28" s="399"/>
    </row>
    <row r="29" spans="1:12" s="26" customFormat="1" ht="15.75" customHeight="1">
      <c r="A29" s="180" t="s">
        <v>754</v>
      </c>
      <c r="B29" s="387">
        <f>DATA!C237</f>
        <v>2413985.5</v>
      </c>
      <c r="C29" s="387">
        <f>DATA!D237</f>
        <v>338459.8</v>
      </c>
      <c r="D29" s="387">
        <f>DATA!E237</f>
        <v>-634340.6</v>
      </c>
      <c r="E29" s="387">
        <f>DATA!F237</f>
        <v>4232583.7</v>
      </c>
      <c r="F29" s="387">
        <f>DATA!G237</f>
        <v>-3205988.3</v>
      </c>
      <c r="G29" s="393">
        <f>G28+G20+G10</f>
        <v>11049688.51360946</v>
      </c>
      <c r="H29" s="393">
        <f>H28+H20+H10</f>
        <v>181542.11970224418</v>
      </c>
      <c r="I29" s="393">
        <f>I28+I20+I10</f>
        <v>6125854.2271584645</v>
      </c>
      <c r="J29" s="393">
        <f>J28+J20+J10</f>
        <v>16503.776071686298</v>
      </c>
      <c r="K29" s="393">
        <f>K28+K20+K10</f>
        <v>18775540.965548716</v>
      </c>
      <c r="L29" s="399"/>
    </row>
    <row r="30" spans="1:12" s="26" customFormat="1" ht="15.75" customHeight="1">
      <c r="A30" s="180" t="s">
        <v>755</v>
      </c>
      <c r="B30" s="387">
        <f>DATA!C239</f>
        <v>996983.5</v>
      </c>
      <c r="C30" s="387">
        <f>DATA!D239</f>
        <v>3410983.4</v>
      </c>
      <c r="D30" s="387">
        <f>DATA!E239</f>
        <v>3749550.3</v>
      </c>
      <c r="E30" s="387">
        <f>DATA!F239</f>
        <v>3115236.8</v>
      </c>
      <c r="F30" s="387">
        <f>DATA!G239</f>
        <v>7347857.4000000004</v>
      </c>
      <c r="G30" s="393">
        <f>F31</f>
        <v>4142015.8</v>
      </c>
      <c r="H30" s="393">
        <f>G31</f>
        <v>15191704.313609459</v>
      </c>
      <c r="I30" s="393">
        <f>H31</f>
        <v>15373246.433311703</v>
      </c>
      <c r="J30" s="393">
        <f>I31</f>
        <v>21499100.660470165</v>
      </c>
      <c r="K30" s="393">
        <f>J31</f>
        <v>21515604.436541852</v>
      </c>
      <c r="L30" s="399"/>
    </row>
    <row r="31" spans="1:12" s="26" customFormat="1" ht="15.75" customHeight="1">
      <c r="A31" s="180" t="s">
        <v>756</v>
      </c>
      <c r="B31" s="387">
        <f>DATA!C241</f>
        <v>3410983.4</v>
      </c>
      <c r="C31" s="387">
        <f>DATA!D241</f>
        <v>3749550.3</v>
      </c>
      <c r="D31" s="387">
        <f>DATA!E241</f>
        <v>3115236.8</v>
      </c>
      <c r="E31" s="387">
        <f>DATA!F241</f>
        <v>7347857.4000000004</v>
      </c>
      <c r="F31" s="387">
        <f>DATA!G241</f>
        <v>4142015.8</v>
      </c>
      <c r="G31" s="393">
        <f>G29+G30</f>
        <v>15191704.313609459</v>
      </c>
      <c r="H31" s="393">
        <f>H29+H30</f>
        <v>15373246.433311703</v>
      </c>
      <c r="I31" s="393">
        <f>I29+I30</f>
        <v>21499100.660470165</v>
      </c>
      <c r="J31" s="393">
        <f>J29+J30</f>
        <v>21515604.436541852</v>
      </c>
      <c r="K31" s="393">
        <f>K29+K30</f>
        <v>40291145.402090564</v>
      </c>
      <c r="L31" s="399"/>
    </row>
    <row r="32" spans="1:12" ht="15.75" customHeight="1">
      <c r="A32" s="30"/>
      <c r="B32" s="383"/>
      <c r="C32" s="383"/>
      <c r="D32" s="383"/>
      <c r="E32" s="383"/>
      <c r="F32" s="383"/>
      <c r="G32" s="383"/>
      <c r="H32" s="383"/>
      <c r="I32" s="383"/>
      <c r="J32" s="383"/>
      <c r="K32" s="383"/>
      <c r="L32" s="399"/>
    </row>
    <row r="33" spans="1:12" ht="15.75" customHeight="1">
      <c r="A33" s="30"/>
      <c r="B33" s="383"/>
      <c r="C33" s="383"/>
      <c r="D33" s="383"/>
      <c r="E33" s="383"/>
      <c r="F33" s="383"/>
      <c r="G33" s="383"/>
      <c r="H33" s="383"/>
      <c r="I33" s="383"/>
      <c r="J33" s="383"/>
      <c r="K33" s="383"/>
      <c r="L33" s="399"/>
    </row>
    <row r="34" spans="1:12" ht="15.75" customHeight="1">
      <c r="A34" s="30"/>
      <c r="B34" s="383"/>
      <c r="C34" s="383"/>
      <c r="D34" s="383"/>
      <c r="E34" s="383"/>
      <c r="F34" s="383"/>
      <c r="G34" s="383"/>
      <c r="H34" s="383"/>
      <c r="I34" s="383"/>
      <c r="J34" s="383"/>
      <c r="K34" s="383"/>
      <c r="L34" s="399"/>
    </row>
    <row r="35" spans="1:12" ht="15.75" customHeight="1">
      <c r="A35" s="30"/>
      <c r="B35" s="383"/>
      <c r="C35" s="383"/>
      <c r="D35" s="383"/>
      <c r="E35" s="383"/>
      <c r="F35" s="383"/>
      <c r="G35" s="383"/>
      <c r="H35" s="383"/>
      <c r="I35" s="383"/>
      <c r="J35" s="383"/>
      <c r="K35" s="383"/>
      <c r="L35" s="399"/>
    </row>
    <row r="36" spans="1:12" ht="15.75" customHeight="1"/>
    <row r="37" spans="1:12" ht="15.75" customHeight="1"/>
    <row r="38" spans="1:12" ht="15.75" customHeight="1"/>
    <row r="39" spans="1:12" ht="15.75" customHeight="1"/>
    <row r="40" spans="1:12" ht="15.75" customHeight="1"/>
    <row r="41" spans="1:12" ht="15.75" customHeight="1"/>
    <row r="42" spans="1:12" ht="15.75" customHeight="1"/>
    <row r="43" spans="1:12" ht="15.75" customHeight="1"/>
    <row r="44" spans="1:12" ht="15.75" customHeight="1"/>
    <row r="45" spans="1:12" ht="15.75" customHeight="1"/>
    <row r="46" spans="1:12" ht="15.75" customHeight="1"/>
    <row r="47" spans="1:12" ht="15.75" customHeight="1"/>
    <row r="48" spans="1:1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2060"/>
  </sheetPr>
  <dimension ref="A1:Z1000"/>
  <sheetViews>
    <sheetView workbookViewId="0">
      <pane xSplit="1" ySplit="1" topLeftCell="B2" activePane="bottomRight" state="frozen"/>
      <selection pane="topRight" activeCell="B1" sqref="B1"/>
      <selection pane="bottomLeft" activeCell="A2" sqref="A2"/>
      <selection pane="bottomRight" activeCell="E12" sqref="E12"/>
    </sheetView>
  </sheetViews>
  <sheetFormatPr defaultColWidth="11.25" defaultRowHeight="15" customHeight="1"/>
  <cols>
    <col min="1" max="1" width="27.5" style="415" customWidth="1"/>
    <col min="2" max="2" width="14.875" style="415" customWidth="1"/>
    <col min="3" max="4" width="14.5" style="415" customWidth="1"/>
    <col min="5" max="5" width="14.625" style="415" customWidth="1"/>
    <col min="6" max="6" width="13.875" style="415" customWidth="1"/>
    <col min="7" max="7" width="15.5" style="415" customWidth="1"/>
    <col min="8" max="8" width="14.25" style="415" customWidth="1"/>
    <col min="9" max="9" width="14.375" style="415" customWidth="1"/>
    <col min="10" max="11" width="14.5" style="415" customWidth="1"/>
    <col min="12" max="26" width="8.5" style="415" customWidth="1"/>
    <col min="27" max="16384" width="11.25" style="415"/>
  </cols>
  <sheetData>
    <row r="1" spans="1:26" s="413" customFormat="1" ht="13.5" customHeight="1" thickBot="1">
      <c r="A1" s="550"/>
      <c r="B1" s="166" t="s">
        <v>15</v>
      </c>
      <c r="C1" s="166" t="s">
        <v>16</v>
      </c>
      <c r="D1" s="166" t="s">
        <v>17</v>
      </c>
      <c r="E1" s="166" t="s">
        <v>18</v>
      </c>
      <c r="F1" s="166" t="s">
        <v>19</v>
      </c>
      <c r="G1" s="111" t="s">
        <v>4</v>
      </c>
      <c r="H1" s="111" t="s">
        <v>5</v>
      </c>
      <c r="I1" s="111" t="s">
        <v>6</v>
      </c>
      <c r="J1" s="111" t="s">
        <v>7</v>
      </c>
      <c r="K1" s="111" t="s">
        <v>8</v>
      </c>
      <c r="L1" s="412"/>
      <c r="M1" s="412"/>
      <c r="N1" s="412"/>
      <c r="O1" s="412"/>
      <c r="P1" s="412"/>
      <c r="Q1" s="412"/>
      <c r="R1" s="412"/>
      <c r="S1" s="412"/>
      <c r="T1" s="412"/>
      <c r="U1" s="412"/>
      <c r="V1" s="412"/>
      <c r="W1" s="412"/>
      <c r="X1" s="412"/>
      <c r="Y1" s="412"/>
      <c r="Z1" s="412"/>
    </row>
    <row r="2" spans="1:26" ht="21" customHeight="1" thickBot="1">
      <c r="A2" s="432" t="s">
        <v>767</v>
      </c>
      <c r="B2" s="433">
        <f>IS!B7</f>
        <v>233202.3</v>
      </c>
      <c r="C2" s="433">
        <f>IS!C7</f>
        <v>436416.6</v>
      </c>
      <c r="D2" s="433">
        <f>IS!D7</f>
        <v>568136.69999999995</v>
      </c>
      <c r="E2" s="433">
        <f>IS!E7</f>
        <v>594003.80000000005</v>
      </c>
      <c r="F2" s="433">
        <f>IS!F7</f>
        <v>674427.7</v>
      </c>
      <c r="G2" s="434">
        <f>G11*AVERAGE(F10:G10)</f>
        <v>893706.72619458963</v>
      </c>
      <c r="H2" s="434">
        <f>H11*AVERAGE(G10:H10)</f>
        <v>950293.91934189457</v>
      </c>
      <c r="I2" s="434">
        <f>I11*AVERAGE(H10:I10)</f>
        <v>1092974.3955517199</v>
      </c>
      <c r="J2" s="434">
        <f>J11*AVERAGE(I10:J10)</f>
        <v>1064900.4558730179</v>
      </c>
      <c r="K2" s="435">
        <f>K11*AVERAGE(J10:K10)</f>
        <v>1209586.2398088295</v>
      </c>
      <c r="L2" s="414"/>
      <c r="M2" s="414"/>
      <c r="N2" s="414"/>
      <c r="O2" s="414"/>
      <c r="P2" s="414"/>
      <c r="Q2" s="414"/>
      <c r="R2" s="414"/>
      <c r="S2" s="414"/>
      <c r="T2" s="414"/>
      <c r="U2" s="414"/>
      <c r="V2" s="414"/>
      <c r="W2" s="414"/>
      <c r="X2" s="414"/>
      <c r="Y2" s="414"/>
      <c r="Z2" s="414"/>
    </row>
    <row r="3" spans="1:26" ht="13.5" customHeight="1" thickBot="1">
      <c r="A3" s="414"/>
      <c r="B3" s="414"/>
      <c r="C3" s="414"/>
      <c r="D3" s="414"/>
      <c r="E3" s="414"/>
      <c r="F3" s="414"/>
      <c r="G3" s="414"/>
      <c r="H3" s="414"/>
      <c r="I3" s="414"/>
      <c r="J3" s="414"/>
      <c r="K3" s="414"/>
      <c r="L3" s="414"/>
      <c r="M3" s="414"/>
      <c r="N3" s="414"/>
      <c r="O3" s="414"/>
      <c r="P3" s="414"/>
      <c r="Q3" s="414"/>
      <c r="R3" s="414"/>
      <c r="S3" s="414"/>
      <c r="T3" s="414"/>
      <c r="U3" s="414"/>
      <c r="V3" s="414"/>
      <c r="W3" s="414"/>
      <c r="X3" s="414"/>
      <c r="Y3" s="414"/>
      <c r="Z3" s="414"/>
    </row>
    <row r="4" spans="1:26" ht="20.25" customHeight="1" thickBot="1">
      <c r="A4" s="426" t="s">
        <v>768</v>
      </c>
      <c r="B4" s="419"/>
      <c r="C4" s="419"/>
      <c r="D4" s="419"/>
      <c r="E4" s="419"/>
      <c r="F4" s="419"/>
      <c r="G4" s="419"/>
      <c r="H4" s="419"/>
      <c r="I4" s="419"/>
      <c r="J4" s="419"/>
      <c r="K4" s="420"/>
      <c r="L4" s="414"/>
      <c r="M4" s="414"/>
      <c r="N4" s="414"/>
      <c r="O4" s="414"/>
      <c r="P4" s="414"/>
      <c r="Q4" s="414"/>
      <c r="R4" s="414"/>
      <c r="S4" s="414"/>
      <c r="T4" s="414"/>
      <c r="U4" s="414"/>
      <c r="V4" s="414"/>
      <c r="W4" s="414"/>
      <c r="X4" s="414"/>
      <c r="Y4" s="414"/>
      <c r="Z4" s="414"/>
    </row>
    <row r="5" spans="1:26" ht="13.5" customHeight="1">
      <c r="A5" s="421"/>
      <c r="B5" s="414"/>
      <c r="C5" s="414"/>
      <c r="D5" s="414"/>
      <c r="E5" s="414"/>
      <c r="F5" s="414"/>
      <c r="G5" s="414"/>
      <c r="H5" s="414"/>
      <c r="I5" s="414"/>
      <c r="J5" s="414"/>
      <c r="K5" s="422"/>
      <c r="L5" s="414"/>
      <c r="M5" s="414"/>
      <c r="N5" s="414"/>
      <c r="O5" s="414"/>
      <c r="P5" s="414"/>
      <c r="Q5" s="414"/>
      <c r="R5" s="414"/>
      <c r="S5" s="414"/>
      <c r="T5" s="414"/>
      <c r="U5" s="414"/>
      <c r="V5" s="414"/>
      <c r="W5" s="414"/>
      <c r="X5" s="414"/>
      <c r="Y5" s="414"/>
      <c r="Z5" s="414"/>
    </row>
    <row r="6" spans="1:26" s="413" customFormat="1" ht="13.5" customHeight="1">
      <c r="A6" s="431" t="s">
        <v>757</v>
      </c>
      <c r="B6" s="436">
        <v>4788991.7</v>
      </c>
      <c r="C6" s="436">
        <f t="shared" ref="C6:K6" si="0">B10</f>
        <v>5603506</v>
      </c>
      <c r="D6" s="436">
        <f t="shared" si="0"/>
        <v>5836454.6000000006</v>
      </c>
      <c r="E6" s="436">
        <f t="shared" si="0"/>
        <v>13031015.599999998</v>
      </c>
      <c r="F6" s="436">
        <f t="shared" si="0"/>
        <v>15625180.29999999</v>
      </c>
      <c r="G6" s="439">
        <f t="shared" si="0"/>
        <v>24647474.29999999</v>
      </c>
      <c r="H6" s="439">
        <f t="shared" si="0"/>
        <v>26421481.482547984</v>
      </c>
      <c r="I6" s="439">
        <f t="shared" si="0"/>
        <v>27881028.194131702</v>
      </c>
      <c r="J6" s="439">
        <f t="shared" si="0"/>
        <v>31198668.862718031</v>
      </c>
      <c r="K6" s="440">
        <f t="shared" si="0"/>
        <v>26363517.941228881</v>
      </c>
      <c r="L6" s="412"/>
      <c r="M6" s="412"/>
      <c r="N6" s="412"/>
      <c r="O6" s="412"/>
      <c r="P6" s="412"/>
      <c r="Q6" s="412"/>
      <c r="R6" s="412"/>
      <c r="S6" s="412"/>
      <c r="T6" s="412"/>
      <c r="U6" s="412"/>
      <c r="V6" s="412"/>
      <c r="W6" s="412"/>
      <c r="X6" s="412"/>
      <c r="Y6" s="412"/>
      <c r="Z6" s="412"/>
    </row>
    <row r="7" spans="1:26" ht="13.5" customHeight="1">
      <c r="A7" s="421" t="s">
        <v>758</v>
      </c>
      <c r="B7" s="437">
        <v>28195514.5</v>
      </c>
      <c r="C7" s="437">
        <v>31656568.5</v>
      </c>
      <c r="D7" s="437">
        <v>45690847.399999999</v>
      </c>
      <c r="E7" s="437">
        <v>51168161.299999997</v>
      </c>
      <c r="F7" s="437">
        <v>65067424.899999999</v>
      </c>
      <c r="G7" s="441">
        <f>G14*G13</f>
        <v>72142958.756951839</v>
      </c>
      <c r="H7" s="441">
        <f>H14*H13</f>
        <v>87572802.695023522</v>
      </c>
      <c r="I7" s="441">
        <f>I14*I13</f>
        <v>101188040.39188302</v>
      </c>
      <c r="J7" s="441">
        <f>J14*J13</f>
        <v>102662769.97532551</v>
      </c>
      <c r="K7" s="442">
        <f>K14*K13</f>
        <v>131962825.59626038</v>
      </c>
      <c r="L7" s="414"/>
      <c r="M7" s="414"/>
      <c r="N7" s="414"/>
      <c r="O7" s="414"/>
      <c r="P7" s="414"/>
      <c r="Q7" s="414"/>
      <c r="R7" s="414"/>
      <c r="S7" s="414"/>
      <c r="T7" s="414"/>
      <c r="U7" s="414"/>
      <c r="V7" s="414"/>
      <c r="W7" s="414"/>
      <c r="X7" s="414"/>
      <c r="Y7" s="414"/>
      <c r="Z7" s="414"/>
    </row>
    <row r="8" spans="1:26" ht="13.5" customHeight="1">
      <c r="A8" s="421" t="s">
        <v>759</v>
      </c>
      <c r="B8" s="437">
        <v>-27456000.199999999</v>
      </c>
      <c r="C8" s="437">
        <v>-31688848.699999999</v>
      </c>
      <c r="D8" s="437">
        <v>-38632142.100000001</v>
      </c>
      <c r="E8" s="437">
        <v>-48573996.600000001</v>
      </c>
      <c r="F8" s="437">
        <v>-56045130.899999999</v>
      </c>
      <c r="G8" s="441">
        <f>G17*IS!G3</f>
        <v>-70368951.574403837</v>
      </c>
      <c r="H8" s="441">
        <f>H17*IS!H3</f>
        <v>-86113255.983439803</v>
      </c>
      <c r="I8" s="441">
        <f>I17*IS!I3</f>
        <v>-97870399.723296687</v>
      </c>
      <c r="J8" s="441">
        <f>J17*IS!J3</f>
        <v>-107497920.89681466</v>
      </c>
      <c r="K8" s="442">
        <f>K17*IS!K3</f>
        <v>-119306821.48905168</v>
      </c>
      <c r="L8" s="414"/>
      <c r="M8" s="414"/>
      <c r="N8" s="414"/>
      <c r="O8" s="414"/>
      <c r="P8" s="414"/>
      <c r="Q8" s="414"/>
      <c r="R8" s="414"/>
      <c r="S8" s="414"/>
      <c r="T8" s="414"/>
      <c r="U8" s="414"/>
      <c r="V8" s="414"/>
      <c r="W8" s="414"/>
      <c r="X8" s="414"/>
      <c r="Y8" s="414"/>
      <c r="Z8" s="414"/>
    </row>
    <row r="9" spans="1:26" ht="13.5" customHeight="1">
      <c r="A9" s="421" t="s">
        <v>760</v>
      </c>
      <c r="B9" s="437">
        <v>75000</v>
      </c>
      <c r="C9" s="437">
        <v>265228.79999999999</v>
      </c>
      <c r="D9" s="437">
        <v>135855.70000000001</v>
      </c>
      <c r="E9" s="437">
        <v>0</v>
      </c>
      <c r="F9" s="437">
        <v>0</v>
      </c>
      <c r="G9" s="441">
        <v>0</v>
      </c>
      <c r="H9" s="441">
        <v>0</v>
      </c>
      <c r="I9" s="441">
        <v>0</v>
      </c>
      <c r="J9" s="441">
        <v>0</v>
      </c>
      <c r="K9" s="442">
        <v>0</v>
      </c>
      <c r="L9" s="414"/>
      <c r="M9" s="414"/>
      <c r="N9" s="414"/>
      <c r="O9" s="414"/>
      <c r="P9" s="414"/>
      <c r="Q9" s="414"/>
      <c r="R9" s="414"/>
      <c r="S9" s="414"/>
      <c r="T9" s="414"/>
      <c r="U9" s="414"/>
      <c r="V9" s="414"/>
      <c r="W9" s="414"/>
      <c r="X9" s="414"/>
      <c r="Y9" s="414"/>
      <c r="Z9" s="414"/>
    </row>
    <row r="10" spans="1:26" s="413" customFormat="1" ht="13.5" customHeight="1">
      <c r="A10" s="431" t="s">
        <v>761</v>
      </c>
      <c r="B10" s="436">
        <f t="shared" ref="B10:K10" si="1">SUM(B6:B9)</f>
        <v>5603506</v>
      </c>
      <c r="C10" s="436">
        <f t="shared" si="1"/>
        <v>5836454.6000000006</v>
      </c>
      <c r="D10" s="436">
        <f t="shared" si="1"/>
        <v>13031015.599999998</v>
      </c>
      <c r="E10" s="436">
        <f t="shared" si="1"/>
        <v>15625180.29999999</v>
      </c>
      <c r="F10" s="436">
        <f t="shared" si="1"/>
        <v>24647474.29999999</v>
      </c>
      <c r="G10" s="439">
        <f t="shared" si="1"/>
        <v>26421481.482547984</v>
      </c>
      <c r="H10" s="439">
        <f t="shared" si="1"/>
        <v>27881028.194131702</v>
      </c>
      <c r="I10" s="439">
        <f t="shared" si="1"/>
        <v>31198668.862718031</v>
      </c>
      <c r="J10" s="439">
        <f t="shared" si="1"/>
        <v>26363517.941228881</v>
      </c>
      <c r="K10" s="440">
        <f t="shared" si="1"/>
        <v>39019522.04843758</v>
      </c>
      <c r="L10" s="412"/>
      <c r="M10" s="412"/>
      <c r="N10" s="412"/>
      <c r="O10" s="412"/>
      <c r="P10" s="412"/>
      <c r="Q10" s="412"/>
      <c r="R10" s="412"/>
      <c r="S10" s="412"/>
      <c r="T10" s="412"/>
      <c r="U10" s="412"/>
      <c r="V10" s="412"/>
      <c r="W10" s="412"/>
      <c r="X10" s="412"/>
      <c r="Y10" s="412"/>
      <c r="Z10" s="412"/>
    </row>
    <row r="11" spans="1:26" s="425" customFormat="1" ht="13.5" customHeight="1" thickBot="1">
      <c r="A11" s="423" t="s">
        <v>564</v>
      </c>
      <c r="B11" s="438"/>
      <c r="C11" s="438"/>
      <c r="D11" s="438"/>
      <c r="E11" s="438"/>
      <c r="F11" s="438">
        <f>F2/AVERAGE(E10:F10)</f>
        <v>3.3493083915059341E-2</v>
      </c>
      <c r="G11" s="443">
        <v>3.5000000000000003E-2</v>
      </c>
      <c r="H11" s="443">
        <v>3.5000000000000003E-2</v>
      </c>
      <c r="I11" s="443">
        <v>3.6999999999999998E-2</v>
      </c>
      <c r="J11" s="443">
        <v>3.6999999999999998E-2</v>
      </c>
      <c r="K11" s="444">
        <v>3.6999999999999998E-2</v>
      </c>
      <c r="L11" s="424"/>
      <c r="M11" s="424"/>
      <c r="N11" s="424"/>
      <c r="O11" s="424"/>
      <c r="P11" s="424"/>
      <c r="Q11" s="424"/>
      <c r="R11" s="424"/>
      <c r="S11" s="424"/>
      <c r="T11" s="424"/>
      <c r="U11" s="424"/>
      <c r="V11" s="424"/>
      <c r="W11" s="424"/>
      <c r="X11" s="424"/>
      <c r="Y11" s="424"/>
      <c r="Z11" s="424"/>
    </row>
    <row r="12" spans="1:26" ht="13.5" customHeight="1" thickBot="1">
      <c r="A12" s="414"/>
      <c r="B12" s="414"/>
      <c r="C12" s="414"/>
      <c r="D12" s="414"/>
      <c r="E12" s="414"/>
      <c r="F12" s="414"/>
      <c r="G12" s="414"/>
      <c r="H12" s="414"/>
      <c r="I12" s="414"/>
      <c r="J12" s="414"/>
      <c r="K12" s="414"/>
      <c r="L12" s="414"/>
      <c r="M12" s="414"/>
      <c r="N12" s="414"/>
      <c r="O12" s="414"/>
      <c r="P12" s="414"/>
      <c r="Q12" s="414"/>
      <c r="R12" s="414"/>
      <c r="S12" s="414"/>
      <c r="T12" s="414"/>
      <c r="U12" s="414"/>
      <c r="V12" s="414"/>
      <c r="W12" s="414"/>
      <c r="X12" s="414"/>
      <c r="Y12" s="414"/>
      <c r="Z12" s="414"/>
    </row>
    <row r="13" spans="1:26" ht="13.5" customHeight="1">
      <c r="A13" s="427" t="s">
        <v>762</v>
      </c>
      <c r="B13" s="445"/>
      <c r="C13" s="445">
        <f>IS!C3+BS!D4-BS!C4</f>
        <v>71275081.700000003</v>
      </c>
      <c r="D13" s="445">
        <f>IS!D3+BS!E4-BS!D4</f>
        <v>85772522.200000003</v>
      </c>
      <c r="E13" s="445">
        <f>IS!E3+BS!F4-BS!E4</f>
        <v>89511841.200000003</v>
      </c>
      <c r="F13" s="445">
        <f>IS!F3+BS!G4-BS!F4</f>
        <v>101505281.59999999</v>
      </c>
      <c r="G13" s="451">
        <f>IS!G3+BS!H4-BS!G4</f>
        <v>118267145.50319974</v>
      </c>
      <c r="H13" s="451">
        <f>IS!H3+BS!I4-BS!H4</f>
        <v>145954671.15837255</v>
      </c>
      <c r="I13" s="451">
        <f>IS!I3+BS!J4-BS!I4</f>
        <v>165882033.42931643</v>
      </c>
      <c r="J13" s="451">
        <f>IS!J3+NWC!A41-BS!J4</f>
        <v>171104616.62554252</v>
      </c>
      <c r="K13" s="452">
        <f>IS!K3+BS!L4-NWC!A41</f>
        <v>219938042.66043398</v>
      </c>
      <c r="L13" s="414"/>
      <c r="M13" s="414"/>
      <c r="N13" s="414"/>
      <c r="O13" s="414"/>
      <c r="P13" s="414"/>
      <c r="Q13" s="414"/>
      <c r="R13" s="414"/>
      <c r="S13" s="414"/>
      <c r="T13" s="414"/>
      <c r="U13" s="414"/>
      <c r="V13" s="414"/>
      <c r="W13" s="414"/>
      <c r="X13" s="414"/>
      <c r="Y13" s="414"/>
      <c r="Z13" s="414"/>
    </row>
    <row r="14" spans="1:26" ht="13.5" customHeight="1">
      <c r="A14" s="428" t="s">
        <v>764</v>
      </c>
      <c r="B14" s="446"/>
      <c r="C14" s="447">
        <f>C7/C13</f>
        <v>0.44414636567158083</v>
      </c>
      <c r="D14" s="447">
        <f>D7/D13</f>
        <v>0.53269795766831252</v>
      </c>
      <c r="E14" s="447">
        <f>E7/E13</f>
        <v>0.57163566980677849</v>
      </c>
      <c r="F14" s="447">
        <f>F7/F13</f>
        <v>0.64102501736224926</v>
      </c>
      <c r="G14" s="453">
        <v>0.61</v>
      </c>
      <c r="H14" s="453">
        <v>0.6</v>
      </c>
      <c r="I14" s="453">
        <v>0.61</v>
      </c>
      <c r="J14" s="453">
        <v>0.6</v>
      </c>
      <c r="K14" s="454">
        <v>0.6</v>
      </c>
      <c r="L14" s="414"/>
      <c r="M14" s="414"/>
      <c r="N14" s="414"/>
      <c r="O14" s="414"/>
      <c r="P14" s="414"/>
      <c r="Q14" s="414"/>
      <c r="R14" s="414"/>
      <c r="S14" s="414"/>
      <c r="T14" s="414"/>
      <c r="U14" s="414"/>
      <c r="V14" s="414"/>
      <c r="W14" s="414"/>
      <c r="X14" s="414"/>
      <c r="Y14" s="414"/>
      <c r="Z14" s="414"/>
    </row>
    <row r="15" spans="1:26" ht="13.5" customHeight="1">
      <c r="A15" s="429" t="s">
        <v>763</v>
      </c>
      <c r="B15" s="448"/>
      <c r="C15" s="449">
        <f t="shared" ref="C15:K15" si="2">C8/C13</f>
        <v>-0.44459926167997643</v>
      </c>
      <c r="D15" s="449">
        <f t="shared" si="2"/>
        <v>-0.45040230961052469</v>
      </c>
      <c r="E15" s="449">
        <f t="shared" si="2"/>
        <v>-0.54265442369204664</v>
      </c>
      <c r="F15" s="449">
        <f t="shared" si="2"/>
        <v>-0.55214004647419257</v>
      </c>
      <c r="G15" s="455">
        <f t="shared" si="2"/>
        <v>-0.59499999999999997</v>
      </c>
      <c r="H15" s="455">
        <f t="shared" si="2"/>
        <v>-0.59</v>
      </c>
      <c r="I15" s="455">
        <f t="shared" si="2"/>
        <v>-0.59</v>
      </c>
      <c r="J15" s="455">
        <f t="shared" si="2"/>
        <v>-0.62825844805853914</v>
      </c>
      <c r="K15" s="456">
        <f t="shared" si="2"/>
        <v>-0.54245650295820569</v>
      </c>
      <c r="L15" s="417"/>
      <c r="M15" s="417"/>
      <c r="N15" s="417"/>
      <c r="O15" s="417"/>
      <c r="P15" s="417"/>
      <c r="Q15" s="417"/>
      <c r="R15" s="417"/>
      <c r="S15" s="417"/>
      <c r="T15" s="417"/>
      <c r="U15" s="417"/>
      <c r="V15" s="417"/>
      <c r="W15" s="417"/>
      <c r="X15" s="417"/>
      <c r="Y15" s="417"/>
      <c r="Z15" s="417"/>
    </row>
    <row r="16" spans="1:26" ht="13.5" customHeight="1">
      <c r="A16" s="428" t="s">
        <v>765</v>
      </c>
      <c r="B16" s="446"/>
      <c r="C16" s="450">
        <f t="shared" ref="C16:K16" si="3">C14+C15</f>
        <v>-4.5289600839559796E-4</v>
      </c>
      <c r="D16" s="450">
        <f t="shared" si="3"/>
        <v>8.2295648057787829E-2</v>
      </c>
      <c r="E16" s="450">
        <f t="shared" si="3"/>
        <v>2.8981246114731851E-2</v>
      </c>
      <c r="F16" s="450">
        <f t="shared" si="3"/>
        <v>8.8884970888056691E-2</v>
      </c>
      <c r="G16" s="457">
        <f t="shared" si="3"/>
        <v>1.5000000000000013E-2</v>
      </c>
      <c r="H16" s="457">
        <f t="shared" si="3"/>
        <v>1.0000000000000009E-2</v>
      </c>
      <c r="I16" s="457">
        <f t="shared" si="3"/>
        <v>2.0000000000000018E-2</v>
      </c>
      <c r="J16" s="457">
        <f t="shared" si="3"/>
        <v>-2.8258448058539165E-2</v>
      </c>
      <c r="K16" s="458">
        <f t="shared" si="3"/>
        <v>5.7543497041794289E-2</v>
      </c>
      <c r="L16" s="414"/>
      <c r="M16" s="414"/>
      <c r="N16" s="414"/>
      <c r="O16" s="414"/>
      <c r="P16" s="414"/>
      <c r="Q16" s="414"/>
      <c r="R16" s="414"/>
      <c r="S16" s="414"/>
      <c r="T16" s="414"/>
      <c r="U16" s="414"/>
      <c r="V16" s="414"/>
      <c r="W16" s="414"/>
      <c r="X16" s="414"/>
      <c r="Y16" s="414"/>
      <c r="Z16" s="414"/>
    </row>
    <row r="17" spans="1:26" s="425" customFormat="1" ht="13.5" customHeight="1" thickBot="1">
      <c r="A17" s="430" t="s">
        <v>766</v>
      </c>
      <c r="B17" s="438">
        <f>B8/IS!B3</f>
        <v>-0.49740910566530072</v>
      </c>
      <c r="C17" s="438">
        <f>C8/IS!C3</f>
        <v>-0.44491713283713985</v>
      </c>
      <c r="D17" s="438">
        <f>D8/IS!D3</f>
        <v>-0.46721251881325598</v>
      </c>
      <c r="E17" s="438">
        <f>E8/IS!E3</f>
        <v>-0.57421825759693379</v>
      </c>
      <c r="F17" s="438">
        <f>F8/IS!F3</f>
        <v>-0.58793137368003046</v>
      </c>
      <c r="G17" s="443">
        <f>-59.5%</f>
        <v>-0.59499999999999997</v>
      </c>
      <c r="H17" s="443">
        <f>-59%</f>
        <v>-0.59</v>
      </c>
      <c r="I17" s="443">
        <f>-59%</f>
        <v>-0.59</v>
      </c>
      <c r="J17" s="443">
        <f>-58%</f>
        <v>-0.57999999999999996</v>
      </c>
      <c r="K17" s="444">
        <f>-58%</f>
        <v>-0.57999999999999996</v>
      </c>
      <c r="L17" s="424"/>
      <c r="M17" s="424"/>
      <c r="N17" s="424"/>
      <c r="O17" s="424"/>
      <c r="P17" s="424"/>
      <c r="Q17" s="424"/>
      <c r="R17" s="424"/>
      <c r="S17" s="424"/>
      <c r="T17" s="424"/>
      <c r="U17" s="424"/>
      <c r="V17" s="424"/>
      <c r="W17" s="424"/>
      <c r="X17" s="424"/>
      <c r="Y17" s="424"/>
      <c r="Z17" s="424"/>
    </row>
    <row r="18" spans="1:26" ht="13.5" customHeight="1">
      <c r="A18" s="416"/>
      <c r="B18" s="414"/>
      <c r="C18" s="414"/>
      <c r="D18" s="414"/>
      <c r="E18" s="414"/>
      <c r="F18" s="414"/>
      <c r="G18" s="414"/>
      <c r="H18" s="414"/>
      <c r="I18" s="414"/>
      <c r="J18" s="414"/>
      <c r="K18" s="414"/>
      <c r="L18" s="414"/>
      <c r="M18" s="414"/>
      <c r="N18" s="414"/>
      <c r="O18" s="414"/>
      <c r="P18" s="414"/>
      <c r="Q18" s="414"/>
      <c r="R18" s="414"/>
      <c r="S18" s="414"/>
      <c r="T18" s="414"/>
      <c r="U18" s="414"/>
      <c r="V18" s="414"/>
      <c r="W18" s="414"/>
      <c r="X18" s="414"/>
      <c r="Y18" s="414"/>
      <c r="Z18" s="414"/>
    </row>
    <row r="19" spans="1:26" ht="13.5" customHeight="1">
      <c r="A19" s="416"/>
      <c r="B19" s="418"/>
      <c r="C19" s="414"/>
      <c r="D19" s="414"/>
      <c r="E19" s="414"/>
      <c r="F19" s="414"/>
      <c r="G19" s="414"/>
      <c r="H19" s="414"/>
      <c r="I19" s="414"/>
      <c r="J19" s="414"/>
      <c r="K19" s="414"/>
      <c r="L19" s="414"/>
      <c r="M19" s="414"/>
      <c r="N19" s="414"/>
      <c r="O19" s="414"/>
      <c r="P19" s="414"/>
      <c r="Q19" s="414"/>
      <c r="R19" s="414"/>
      <c r="S19" s="414"/>
      <c r="T19" s="414"/>
      <c r="U19" s="414"/>
      <c r="V19" s="414"/>
      <c r="W19" s="414"/>
      <c r="X19" s="414"/>
      <c r="Y19" s="414"/>
      <c r="Z19" s="414"/>
    </row>
    <row r="20" spans="1:26" ht="13.5" customHeight="1">
      <c r="A20" s="414"/>
      <c r="B20" s="414"/>
      <c r="C20" s="414"/>
      <c r="D20" s="414"/>
      <c r="E20" s="414"/>
      <c r="F20" s="414"/>
      <c r="G20" s="414"/>
      <c r="H20" s="414"/>
      <c r="I20" s="414"/>
      <c r="J20" s="414"/>
      <c r="K20" s="414"/>
      <c r="L20" s="414"/>
      <c r="M20" s="414"/>
      <c r="N20" s="414"/>
      <c r="O20" s="414"/>
      <c r="P20" s="414"/>
      <c r="Q20" s="414"/>
      <c r="R20" s="414"/>
      <c r="S20" s="414"/>
      <c r="T20" s="414"/>
      <c r="U20" s="414"/>
      <c r="V20" s="414"/>
      <c r="W20" s="414"/>
      <c r="X20" s="414"/>
      <c r="Y20" s="414"/>
      <c r="Z20" s="414"/>
    </row>
    <row r="21" spans="1:26" ht="13.5" customHeight="1">
      <c r="A21" s="414"/>
      <c r="B21" s="414"/>
      <c r="C21" s="414"/>
      <c r="D21" s="414"/>
      <c r="E21" s="414"/>
      <c r="F21" s="414"/>
      <c r="G21" s="414"/>
      <c r="H21" s="414"/>
      <c r="I21" s="414"/>
      <c r="J21" s="414"/>
      <c r="K21" s="414"/>
      <c r="L21" s="414"/>
      <c r="M21" s="414"/>
      <c r="N21" s="414"/>
      <c r="O21" s="414"/>
      <c r="P21" s="414"/>
      <c r="Q21" s="414"/>
      <c r="R21" s="414"/>
      <c r="S21" s="414"/>
      <c r="T21" s="414"/>
      <c r="U21" s="414"/>
      <c r="V21" s="414"/>
      <c r="W21" s="414"/>
      <c r="X21" s="414"/>
      <c r="Y21" s="414"/>
      <c r="Z21" s="414"/>
    </row>
    <row r="22" spans="1:26" ht="13.5" customHeight="1">
      <c r="A22" s="414"/>
      <c r="B22" s="414"/>
      <c r="C22" s="414"/>
      <c r="D22" s="414"/>
      <c r="E22" s="414"/>
      <c r="F22" s="414"/>
      <c r="G22" s="414"/>
      <c r="H22" s="414"/>
      <c r="I22" s="414"/>
      <c r="J22" s="414"/>
      <c r="K22" s="414"/>
      <c r="L22" s="414"/>
      <c r="M22" s="414"/>
      <c r="N22" s="414"/>
      <c r="O22" s="414"/>
      <c r="P22" s="414"/>
      <c r="Q22" s="414"/>
      <c r="R22" s="414"/>
      <c r="S22" s="414"/>
      <c r="T22" s="414"/>
      <c r="U22" s="414"/>
      <c r="V22" s="414"/>
      <c r="W22" s="414"/>
      <c r="X22" s="414"/>
      <c r="Y22" s="414"/>
      <c r="Z22" s="414"/>
    </row>
    <row r="23" spans="1:26" ht="13.5" customHeight="1">
      <c r="A23" s="414"/>
      <c r="B23" s="414"/>
      <c r="C23" s="414"/>
      <c r="D23" s="414"/>
      <c r="E23" s="414"/>
      <c r="F23" s="414"/>
      <c r="G23" s="414"/>
      <c r="H23" s="414"/>
      <c r="I23" s="414"/>
      <c r="J23" s="414"/>
      <c r="K23" s="414"/>
      <c r="L23" s="414"/>
      <c r="M23" s="414"/>
      <c r="N23" s="414"/>
      <c r="O23" s="414"/>
      <c r="P23" s="414"/>
      <c r="Q23" s="414"/>
      <c r="R23" s="414"/>
      <c r="S23" s="414"/>
      <c r="T23" s="414"/>
      <c r="U23" s="414"/>
      <c r="V23" s="414"/>
      <c r="W23" s="414"/>
      <c r="X23" s="414"/>
      <c r="Y23" s="414"/>
      <c r="Z23" s="414"/>
    </row>
    <row r="24" spans="1:26" ht="13.5" customHeight="1">
      <c r="A24" s="414"/>
      <c r="B24" s="414"/>
      <c r="C24" s="414"/>
      <c r="D24" s="414"/>
      <c r="E24" s="414"/>
      <c r="F24" s="414"/>
      <c r="G24" s="414"/>
      <c r="H24" s="414"/>
      <c r="I24" s="414"/>
      <c r="J24" s="414"/>
      <c r="K24" s="414"/>
      <c r="L24" s="414"/>
      <c r="M24" s="414"/>
      <c r="N24" s="414"/>
      <c r="O24" s="414"/>
      <c r="P24" s="414"/>
      <c r="Q24" s="414"/>
      <c r="R24" s="414"/>
      <c r="S24" s="414"/>
      <c r="T24" s="414"/>
      <c r="U24" s="414"/>
      <c r="V24" s="414"/>
      <c r="W24" s="414"/>
      <c r="X24" s="414"/>
      <c r="Y24" s="414"/>
      <c r="Z24" s="414"/>
    </row>
    <row r="25" spans="1:26" ht="13.5" customHeight="1">
      <c r="A25" s="414"/>
      <c r="B25" s="414"/>
      <c r="C25" s="414"/>
      <c r="D25" s="414"/>
      <c r="E25" s="414"/>
      <c r="F25" s="414"/>
      <c r="G25" s="414"/>
      <c r="H25" s="414"/>
      <c r="I25" s="414"/>
      <c r="J25" s="414"/>
      <c r="K25" s="414"/>
      <c r="L25" s="414"/>
      <c r="M25" s="414"/>
      <c r="N25" s="414"/>
      <c r="O25" s="414"/>
      <c r="P25" s="414"/>
      <c r="Q25" s="414"/>
      <c r="R25" s="414"/>
      <c r="S25" s="414"/>
      <c r="T25" s="414"/>
      <c r="U25" s="414"/>
      <c r="V25" s="414"/>
      <c r="W25" s="414"/>
      <c r="X25" s="414"/>
      <c r="Y25" s="414"/>
      <c r="Z25" s="414"/>
    </row>
    <row r="26" spans="1:26" ht="13.5" customHeight="1">
      <c r="A26" s="414"/>
      <c r="B26" s="414"/>
      <c r="C26" s="414"/>
      <c r="D26" s="414"/>
      <c r="E26" s="414"/>
      <c r="F26" s="414"/>
      <c r="G26" s="414"/>
      <c r="H26" s="414"/>
      <c r="I26" s="414"/>
      <c r="J26" s="414"/>
      <c r="K26" s="414"/>
      <c r="L26" s="414"/>
      <c r="M26" s="414"/>
      <c r="N26" s="414"/>
      <c r="O26" s="414"/>
      <c r="P26" s="414"/>
      <c r="Q26" s="414"/>
      <c r="R26" s="414"/>
      <c r="S26" s="414"/>
      <c r="T26" s="414"/>
      <c r="U26" s="414"/>
      <c r="V26" s="414"/>
      <c r="W26" s="414"/>
      <c r="X26" s="414"/>
      <c r="Y26" s="414"/>
      <c r="Z26" s="414"/>
    </row>
    <row r="27" spans="1:26" ht="13.5" customHeight="1">
      <c r="A27" s="414"/>
      <c r="B27" s="414"/>
      <c r="C27" s="414"/>
      <c r="D27" s="414"/>
      <c r="E27" s="414"/>
      <c r="F27" s="414"/>
      <c r="G27" s="414"/>
      <c r="H27" s="414"/>
      <c r="I27" s="414"/>
      <c r="J27" s="414"/>
      <c r="K27" s="414"/>
      <c r="L27" s="414"/>
      <c r="M27" s="414"/>
      <c r="N27" s="414"/>
      <c r="O27" s="414"/>
      <c r="P27" s="414"/>
      <c r="Q27" s="414"/>
      <c r="R27" s="414"/>
      <c r="S27" s="414"/>
      <c r="T27" s="414"/>
      <c r="U27" s="414"/>
      <c r="V27" s="414"/>
      <c r="W27" s="414"/>
      <c r="X27" s="414"/>
      <c r="Y27" s="414"/>
      <c r="Z27" s="414"/>
    </row>
    <row r="28" spans="1:26" ht="13.5" customHeight="1">
      <c r="A28" s="414"/>
      <c r="B28" s="414"/>
      <c r="C28" s="414"/>
      <c r="D28" s="414"/>
      <c r="E28" s="414"/>
      <c r="F28" s="414"/>
      <c r="G28" s="414"/>
      <c r="H28" s="414"/>
      <c r="I28" s="414"/>
      <c r="J28" s="414"/>
      <c r="K28" s="414"/>
      <c r="L28" s="414"/>
      <c r="M28" s="414"/>
      <c r="N28" s="414"/>
      <c r="O28" s="414"/>
      <c r="P28" s="414"/>
      <c r="Q28" s="414"/>
      <c r="R28" s="414"/>
      <c r="S28" s="414"/>
      <c r="T28" s="414"/>
      <c r="U28" s="414"/>
      <c r="V28" s="414"/>
      <c r="W28" s="414"/>
      <c r="X28" s="414"/>
      <c r="Y28" s="414"/>
      <c r="Z28" s="414"/>
    </row>
    <row r="29" spans="1:26" ht="13.5" customHeight="1">
      <c r="A29" s="414"/>
      <c r="B29" s="414"/>
      <c r="C29" s="414"/>
      <c r="D29" s="414"/>
      <c r="E29" s="414"/>
      <c r="F29" s="414"/>
      <c r="G29" s="414"/>
      <c r="H29" s="414"/>
      <c r="I29" s="414"/>
      <c r="J29" s="414"/>
      <c r="K29" s="414"/>
      <c r="L29" s="414"/>
      <c r="M29" s="414"/>
      <c r="N29" s="414"/>
      <c r="O29" s="414"/>
      <c r="P29" s="414"/>
      <c r="Q29" s="414"/>
      <c r="R29" s="414"/>
      <c r="S29" s="414"/>
      <c r="T29" s="414"/>
      <c r="U29" s="414"/>
      <c r="V29" s="414"/>
      <c r="W29" s="414"/>
      <c r="X29" s="414"/>
      <c r="Y29" s="414"/>
      <c r="Z29" s="414"/>
    </row>
    <row r="30" spans="1:26" ht="13.5" customHeight="1">
      <c r="A30" s="414"/>
      <c r="B30" s="414"/>
      <c r="C30" s="414"/>
      <c r="D30" s="414"/>
      <c r="E30" s="414"/>
      <c r="F30" s="414"/>
      <c r="G30" s="414"/>
      <c r="H30" s="414"/>
      <c r="I30" s="414"/>
      <c r="J30" s="414"/>
      <c r="K30" s="414"/>
      <c r="L30" s="414"/>
      <c r="M30" s="414"/>
      <c r="N30" s="414"/>
      <c r="O30" s="414"/>
      <c r="P30" s="414"/>
      <c r="Q30" s="414"/>
      <c r="R30" s="414"/>
      <c r="S30" s="414"/>
      <c r="T30" s="414"/>
      <c r="U30" s="414"/>
      <c r="V30" s="414"/>
      <c r="W30" s="414"/>
      <c r="X30" s="414"/>
      <c r="Y30" s="414"/>
      <c r="Z30" s="414"/>
    </row>
    <row r="31" spans="1:26" ht="13.5" customHeight="1">
      <c r="A31" s="414"/>
      <c r="B31" s="414"/>
      <c r="C31" s="414"/>
      <c r="D31" s="414"/>
      <c r="E31" s="414"/>
      <c r="F31" s="414"/>
      <c r="G31" s="414"/>
      <c r="H31" s="414"/>
      <c r="I31" s="414"/>
      <c r="J31" s="414"/>
      <c r="K31" s="414"/>
      <c r="L31" s="414"/>
      <c r="M31" s="414"/>
      <c r="N31" s="414"/>
      <c r="O31" s="414"/>
      <c r="P31" s="414"/>
      <c r="Q31" s="414"/>
      <c r="R31" s="414"/>
      <c r="S31" s="414"/>
      <c r="T31" s="414"/>
      <c r="U31" s="414"/>
      <c r="V31" s="414"/>
      <c r="W31" s="414"/>
      <c r="X31" s="414"/>
      <c r="Y31" s="414"/>
      <c r="Z31" s="414"/>
    </row>
    <row r="32" spans="1:26" ht="13.5" customHeight="1">
      <c r="A32" s="414"/>
      <c r="B32" s="414"/>
      <c r="C32" s="414"/>
      <c r="D32" s="414"/>
      <c r="E32" s="414"/>
      <c r="F32" s="414"/>
      <c r="G32" s="414"/>
      <c r="H32" s="414"/>
      <c r="I32" s="414"/>
      <c r="J32" s="414"/>
      <c r="K32" s="414"/>
      <c r="L32" s="414"/>
      <c r="M32" s="414"/>
      <c r="N32" s="414"/>
      <c r="O32" s="414"/>
      <c r="P32" s="414"/>
      <c r="Q32" s="414"/>
      <c r="R32" s="414"/>
      <c r="S32" s="414"/>
      <c r="T32" s="414"/>
      <c r="U32" s="414"/>
      <c r="V32" s="414"/>
      <c r="W32" s="414"/>
      <c r="X32" s="414"/>
      <c r="Y32" s="414"/>
      <c r="Z32" s="414"/>
    </row>
    <row r="33" spans="1:26" ht="13.5" customHeight="1">
      <c r="A33" s="414"/>
      <c r="B33" s="414"/>
      <c r="C33" s="414"/>
      <c r="D33" s="414"/>
      <c r="E33" s="414"/>
      <c r="F33" s="414"/>
      <c r="G33" s="414"/>
      <c r="H33" s="414"/>
      <c r="I33" s="414"/>
      <c r="J33" s="414"/>
      <c r="K33" s="414"/>
      <c r="L33" s="414"/>
      <c r="M33" s="414"/>
      <c r="N33" s="414"/>
      <c r="O33" s="414"/>
      <c r="P33" s="414"/>
      <c r="Q33" s="414"/>
      <c r="R33" s="414"/>
      <c r="S33" s="414"/>
      <c r="T33" s="414"/>
      <c r="U33" s="414"/>
      <c r="V33" s="414"/>
      <c r="W33" s="414"/>
      <c r="X33" s="414"/>
      <c r="Y33" s="414"/>
      <c r="Z33" s="414"/>
    </row>
    <row r="34" spans="1:26" ht="13.5" customHeight="1">
      <c r="A34" s="414"/>
      <c r="B34" s="414"/>
      <c r="C34" s="414"/>
      <c r="D34" s="414"/>
      <c r="E34" s="414"/>
      <c r="F34" s="414"/>
      <c r="G34" s="414"/>
      <c r="H34" s="414"/>
      <c r="I34" s="414"/>
      <c r="J34" s="414"/>
      <c r="K34" s="414"/>
      <c r="L34" s="414"/>
      <c r="M34" s="414"/>
      <c r="N34" s="414"/>
      <c r="O34" s="414"/>
      <c r="P34" s="414"/>
      <c r="Q34" s="414"/>
      <c r="R34" s="414"/>
      <c r="S34" s="414"/>
      <c r="T34" s="414"/>
      <c r="U34" s="414"/>
      <c r="V34" s="414"/>
      <c r="W34" s="414"/>
      <c r="X34" s="414"/>
      <c r="Y34" s="414"/>
      <c r="Z34" s="414"/>
    </row>
    <row r="35" spans="1:26" ht="13.5" customHeight="1">
      <c r="A35" s="414"/>
      <c r="B35" s="414"/>
      <c r="C35" s="414"/>
      <c r="D35" s="414"/>
      <c r="E35" s="414"/>
      <c r="F35" s="414"/>
      <c r="G35" s="414"/>
      <c r="H35" s="414"/>
      <c r="I35" s="414"/>
      <c r="J35" s="414"/>
      <c r="K35" s="414"/>
      <c r="L35" s="414"/>
      <c r="M35" s="414"/>
      <c r="N35" s="414"/>
      <c r="O35" s="414"/>
      <c r="P35" s="414"/>
      <c r="Q35" s="414"/>
      <c r="R35" s="414"/>
      <c r="S35" s="414"/>
      <c r="T35" s="414"/>
      <c r="U35" s="414"/>
      <c r="V35" s="414"/>
      <c r="W35" s="414"/>
      <c r="X35" s="414"/>
      <c r="Y35" s="414"/>
      <c r="Z35" s="414"/>
    </row>
    <row r="36" spans="1:26" ht="13.5" customHeight="1">
      <c r="A36" s="414"/>
      <c r="B36" s="414"/>
      <c r="C36" s="414"/>
      <c r="D36" s="414"/>
      <c r="E36" s="414"/>
      <c r="F36" s="414"/>
      <c r="G36" s="414"/>
      <c r="H36" s="414"/>
      <c r="I36" s="414"/>
      <c r="J36" s="414"/>
      <c r="K36" s="414"/>
      <c r="L36" s="414"/>
      <c r="M36" s="414"/>
      <c r="N36" s="414"/>
      <c r="O36" s="414"/>
      <c r="P36" s="414"/>
      <c r="Q36" s="414"/>
      <c r="R36" s="414"/>
      <c r="S36" s="414"/>
      <c r="T36" s="414"/>
      <c r="U36" s="414"/>
      <c r="V36" s="414"/>
      <c r="W36" s="414"/>
      <c r="X36" s="414"/>
      <c r="Y36" s="414"/>
      <c r="Z36" s="414"/>
    </row>
    <row r="37" spans="1:26" ht="13.5" customHeight="1">
      <c r="A37" s="414"/>
      <c r="B37" s="414"/>
      <c r="C37" s="414"/>
      <c r="D37" s="414"/>
      <c r="E37" s="414"/>
      <c r="F37" s="414"/>
      <c r="G37" s="414"/>
      <c r="H37" s="414"/>
      <c r="I37" s="414"/>
      <c r="J37" s="414"/>
      <c r="K37" s="414"/>
      <c r="L37" s="414"/>
      <c r="M37" s="414"/>
      <c r="N37" s="414"/>
      <c r="O37" s="414"/>
      <c r="P37" s="414"/>
      <c r="Q37" s="414"/>
      <c r="R37" s="414"/>
      <c r="S37" s="414"/>
      <c r="T37" s="414"/>
      <c r="U37" s="414"/>
      <c r="V37" s="414"/>
      <c r="W37" s="414"/>
      <c r="X37" s="414"/>
      <c r="Y37" s="414"/>
      <c r="Z37" s="414"/>
    </row>
    <row r="38" spans="1:26" ht="13.5" customHeight="1">
      <c r="A38" s="414"/>
      <c r="B38" s="414"/>
      <c r="C38" s="414"/>
      <c r="D38" s="414"/>
      <c r="E38" s="414"/>
      <c r="F38" s="414"/>
      <c r="G38" s="414"/>
      <c r="H38" s="414"/>
      <c r="I38" s="414"/>
      <c r="J38" s="414"/>
      <c r="K38" s="414"/>
      <c r="L38" s="414"/>
      <c r="M38" s="414"/>
      <c r="N38" s="414"/>
      <c r="O38" s="414"/>
      <c r="P38" s="414"/>
      <c r="Q38" s="414"/>
      <c r="R38" s="414"/>
      <c r="S38" s="414"/>
      <c r="T38" s="414"/>
      <c r="U38" s="414"/>
      <c r="V38" s="414"/>
      <c r="W38" s="414"/>
      <c r="X38" s="414"/>
      <c r="Y38" s="414"/>
      <c r="Z38" s="414"/>
    </row>
    <row r="39" spans="1:26" ht="13.5" customHeight="1">
      <c r="A39" s="414"/>
      <c r="B39" s="414"/>
      <c r="C39" s="414"/>
      <c r="D39" s="414"/>
      <c r="E39" s="414"/>
      <c r="F39" s="414"/>
      <c r="G39" s="414"/>
      <c r="H39" s="414"/>
      <c r="I39" s="414"/>
      <c r="J39" s="414"/>
      <c r="K39" s="414"/>
      <c r="L39" s="414"/>
      <c r="M39" s="414"/>
      <c r="N39" s="414"/>
      <c r="O39" s="414"/>
      <c r="P39" s="414"/>
      <c r="Q39" s="414"/>
      <c r="R39" s="414"/>
      <c r="S39" s="414"/>
      <c r="T39" s="414"/>
      <c r="U39" s="414"/>
      <c r="V39" s="414"/>
      <c r="W39" s="414"/>
      <c r="X39" s="414"/>
      <c r="Y39" s="414"/>
      <c r="Z39" s="414"/>
    </row>
    <row r="40" spans="1:26" ht="13.5" customHeight="1">
      <c r="A40" s="414"/>
      <c r="B40" s="414"/>
      <c r="C40" s="414"/>
      <c r="D40" s="414"/>
      <c r="E40" s="414"/>
      <c r="F40" s="414"/>
      <c r="G40" s="414"/>
      <c r="H40" s="414"/>
      <c r="I40" s="414"/>
      <c r="J40" s="414"/>
      <c r="K40" s="414"/>
      <c r="L40" s="414"/>
      <c r="M40" s="414"/>
      <c r="N40" s="414"/>
      <c r="O40" s="414"/>
      <c r="P40" s="414"/>
      <c r="Q40" s="414"/>
      <c r="R40" s="414"/>
      <c r="S40" s="414"/>
      <c r="T40" s="414"/>
      <c r="U40" s="414"/>
      <c r="V40" s="414"/>
      <c r="W40" s="414"/>
      <c r="X40" s="414"/>
      <c r="Y40" s="414"/>
      <c r="Z40" s="414"/>
    </row>
    <row r="41" spans="1:26" ht="13.5" customHeight="1">
      <c r="A41" s="414"/>
      <c r="B41" s="414"/>
      <c r="C41" s="414"/>
      <c r="D41" s="414"/>
      <c r="E41" s="414"/>
      <c r="F41" s="414"/>
      <c r="G41" s="414"/>
      <c r="H41" s="414"/>
      <c r="I41" s="414"/>
      <c r="J41" s="414"/>
      <c r="K41" s="414"/>
      <c r="L41" s="414"/>
      <c r="M41" s="414"/>
      <c r="N41" s="414"/>
      <c r="O41" s="414"/>
      <c r="P41" s="414"/>
      <c r="Q41" s="414"/>
      <c r="R41" s="414"/>
      <c r="S41" s="414"/>
      <c r="T41" s="414"/>
      <c r="U41" s="414"/>
      <c r="V41" s="414"/>
      <c r="W41" s="414"/>
      <c r="X41" s="414"/>
      <c r="Y41" s="414"/>
      <c r="Z41" s="414"/>
    </row>
    <row r="42" spans="1:26" ht="13.5" customHeight="1">
      <c r="A42" s="414"/>
      <c r="B42" s="414"/>
      <c r="C42" s="414"/>
      <c r="D42" s="414"/>
      <c r="E42" s="414"/>
      <c r="F42" s="414"/>
      <c r="G42" s="414"/>
      <c r="H42" s="414"/>
      <c r="I42" s="414"/>
      <c r="J42" s="414"/>
      <c r="K42" s="414"/>
      <c r="L42" s="414"/>
      <c r="M42" s="414"/>
      <c r="N42" s="414"/>
      <c r="O42" s="414"/>
      <c r="P42" s="414"/>
      <c r="Q42" s="414"/>
      <c r="R42" s="414"/>
      <c r="S42" s="414"/>
      <c r="T42" s="414"/>
      <c r="U42" s="414"/>
      <c r="V42" s="414"/>
      <c r="W42" s="414"/>
      <c r="X42" s="414"/>
      <c r="Y42" s="414"/>
      <c r="Z42" s="414"/>
    </row>
    <row r="43" spans="1:26" ht="13.5" customHeight="1">
      <c r="A43" s="414"/>
      <c r="B43" s="414"/>
      <c r="C43" s="414"/>
      <c r="D43" s="414"/>
      <c r="E43" s="414"/>
      <c r="F43" s="414"/>
      <c r="G43" s="414"/>
      <c r="H43" s="414"/>
      <c r="I43" s="414"/>
      <c r="J43" s="414"/>
      <c r="K43" s="414"/>
      <c r="L43" s="414"/>
      <c r="M43" s="414"/>
      <c r="N43" s="414"/>
      <c r="O43" s="414"/>
      <c r="P43" s="414"/>
      <c r="Q43" s="414"/>
      <c r="R43" s="414"/>
      <c r="S43" s="414"/>
      <c r="T43" s="414"/>
      <c r="U43" s="414"/>
      <c r="V43" s="414"/>
      <c r="W43" s="414"/>
      <c r="X43" s="414"/>
      <c r="Y43" s="414"/>
      <c r="Z43" s="414"/>
    </row>
    <row r="44" spans="1:26" ht="13.5" customHeight="1">
      <c r="A44" s="414"/>
      <c r="B44" s="414"/>
      <c r="C44" s="414"/>
      <c r="D44" s="414"/>
      <c r="E44" s="414"/>
      <c r="F44" s="414"/>
      <c r="G44" s="414"/>
      <c r="H44" s="414"/>
      <c r="I44" s="414"/>
      <c r="J44" s="414"/>
      <c r="K44" s="414"/>
      <c r="L44" s="414"/>
      <c r="M44" s="414"/>
      <c r="N44" s="414"/>
      <c r="O44" s="414"/>
      <c r="P44" s="414"/>
      <c r="Q44" s="414"/>
      <c r="R44" s="414"/>
      <c r="S44" s="414"/>
      <c r="T44" s="414"/>
      <c r="U44" s="414"/>
      <c r="V44" s="414"/>
      <c r="W44" s="414"/>
      <c r="X44" s="414"/>
      <c r="Y44" s="414"/>
      <c r="Z44" s="414"/>
    </row>
    <row r="45" spans="1:26" ht="13.5" customHeight="1">
      <c r="A45" s="414"/>
      <c r="B45" s="414"/>
      <c r="C45" s="414"/>
      <c r="D45" s="414"/>
      <c r="E45" s="414"/>
      <c r="F45" s="414"/>
      <c r="G45" s="414"/>
      <c r="H45" s="414"/>
      <c r="I45" s="414"/>
      <c r="J45" s="414"/>
      <c r="K45" s="414"/>
      <c r="L45" s="414"/>
      <c r="M45" s="414"/>
      <c r="N45" s="414"/>
      <c r="O45" s="414"/>
      <c r="P45" s="414"/>
      <c r="Q45" s="414"/>
      <c r="R45" s="414"/>
      <c r="S45" s="414"/>
      <c r="T45" s="414"/>
      <c r="U45" s="414"/>
      <c r="V45" s="414"/>
      <c r="W45" s="414"/>
      <c r="X45" s="414"/>
      <c r="Y45" s="414"/>
      <c r="Z45" s="414"/>
    </row>
    <row r="46" spans="1:26" ht="13.5" customHeight="1">
      <c r="A46" s="414"/>
      <c r="B46" s="414"/>
      <c r="C46" s="414"/>
      <c r="D46" s="414"/>
      <c r="E46" s="414"/>
      <c r="F46" s="414"/>
      <c r="G46" s="414"/>
      <c r="H46" s="414"/>
      <c r="I46" s="414"/>
      <c r="J46" s="414"/>
      <c r="K46" s="414"/>
      <c r="L46" s="414"/>
      <c r="M46" s="414"/>
      <c r="N46" s="414"/>
      <c r="O46" s="414"/>
      <c r="P46" s="414"/>
      <c r="Q46" s="414"/>
      <c r="R46" s="414"/>
      <c r="S46" s="414"/>
      <c r="T46" s="414"/>
      <c r="U46" s="414"/>
      <c r="V46" s="414"/>
      <c r="W46" s="414"/>
      <c r="X46" s="414"/>
      <c r="Y46" s="414"/>
      <c r="Z46" s="414"/>
    </row>
    <row r="47" spans="1:26" ht="13.5" customHeight="1">
      <c r="A47" s="414"/>
      <c r="B47" s="414"/>
      <c r="C47" s="414"/>
      <c r="D47" s="414"/>
      <c r="E47" s="414"/>
      <c r="F47" s="414"/>
      <c r="G47" s="414"/>
      <c r="H47" s="414"/>
      <c r="I47" s="414"/>
      <c r="J47" s="414"/>
      <c r="K47" s="414"/>
      <c r="L47" s="414"/>
      <c r="M47" s="414"/>
      <c r="N47" s="414"/>
      <c r="O47" s="414"/>
      <c r="P47" s="414"/>
      <c r="Q47" s="414"/>
      <c r="R47" s="414"/>
      <c r="S47" s="414"/>
      <c r="T47" s="414"/>
      <c r="U47" s="414"/>
      <c r="V47" s="414"/>
      <c r="W47" s="414"/>
      <c r="X47" s="414"/>
      <c r="Y47" s="414"/>
      <c r="Z47" s="414"/>
    </row>
    <row r="48" spans="1:26" ht="13.5" customHeight="1">
      <c r="A48" s="414"/>
      <c r="B48" s="414"/>
      <c r="C48" s="414"/>
      <c r="D48" s="414"/>
      <c r="E48" s="414"/>
      <c r="F48" s="414"/>
      <c r="G48" s="414"/>
      <c r="H48" s="414"/>
      <c r="I48" s="414"/>
      <c r="J48" s="414"/>
      <c r="K48" s="414"/>
      <c r="L48" s="414"/>
      <c r="M48" s="414"/>
      <c r="N48" s="414"/>
      <c r="O48" s="414"/>
      <c r="P48" s="414"/>
      <c r="Q48" s="414"/>
      <c r="R48" s="414"/>
      <c r="S48" s="414"/>
      <c r="T48" s="414"/>
      <c r="U48" s="414"/>
      <c r="V48" s="414"/>
      <c r="W48" s="414"/>
      <c r="X48" s="414"/>
      <c r="Y48" s="414"/>
      <c r="Z48" s="414"/>
    </row>
    <row r="49" spans="1:26" ht="13.5" customHeight="1">
      <c r="A49" s="414"/>
      <c r="B49" s="414"/>
      <c r="C49" s="414"/>
      <c r="D49" s="414"/>
      <c r="E49" s="414"/>
      <c r="F49" s="414"/>
      <c r="G49" s="414"/>
      <c r="H49" s="414"/>
      <c r="I49" s="414"/>
      <c r="J49" s="414"/>
      <c r="K49" s="414"/>
      <c r="L49" s="414"/>
      <c r="M49" s="414"/>
      <c r="N49" s="414"/>
      <c r="O49" s="414"/>
      <c r="P49" s="414"/>
      <c r="Q49" s="414"/>
      <c r="R49" s="414"/>
      <c r="S49" s="414"/>
      <c r="T49" s="414"/>
      <c r="U49" s="414"/>
      <c r="V49" s="414"/>
      <c r="W49" s="414"/>
      <c r="X49" s="414"/>
      <c r="Y49" s="414"/>
      <c r="Z49" s="414"/>
    </row>
    <row r="50" spans="1:26" ht="13.5" customHeight="1">
      <c r="A50" s="414"/>
      <c r="B50" s="414"/>
      <c r="C50" s="414"/>
      <c r="D50" s="414"/>
      <c r="E50" s="414"/>
      <c r="F50" s="414"/>
      <c r="G50" s="414"/>
      <c r="H50" s="414"/>
      <c r="I50" s="414"/>
      <c r="J50" s="414"/>
      <c r="K50" s="414"/>
      <c r="L50" s="414"/>
      <c r="M50" s="414"/>
      <c r="N50" s="414"/>
      <c r="O50" s="414"/>
      <c r="P50" s="414"/>
      <c r="Q50" s="414"/>
      <c r="R50" s="414"/>
      <c r="S50" s="414"/>
      <c r="T50" s="414"/>
      <c r="U50" s="414"/>
      <c r="V50" s="414"/>
      <c r="W50" s="414"/>
      <c r="X50" s="414"/>
      <c r="Y50" s="414"/>
      <c r="Z50" s="414"/>
    </row>
    <row r="51" spans="1:26" ht="13.5" customHeight="1">
      <c r="A51" s="414"/>
      <c r="B51" s="414"/>
      <c r="C51" s="414"/>
      <c r="D51" s="414"/>
      <c r="E51" s="414"/>
      <c r="F51" s="414"/>
      <c r="G51" s="414"/>
      <c r="H51" s="414"/>
      <c r="I51" s="414"/>
      <c r="J51" s="414"/>
      <c r="K51" s="414"/>
      <c r="L51" s="414"/>
      <c r="M51" s="414"/>
      <c r="N51" s="414"/>
      <c r="O51" s="414"/>
      <c r="P51" s="414"/>
      <c r="Q51" s="414"/>
      <c r="R51" s="414"/>
      <c r="S51" s="414"/>
      <c r="T51" s="414"/>
      <c r="U51" s="414"/>
      <c r="V51" s="414"/>
      <c r="W51" s="414"/>
      <c r="X51" s="414"/>
      <c r="Y51" s="414"/>
      <c r="Z51" s="414"/>
    </row>
    <row r="52" spans="1:26" ht="13.5" customHeight="1">
      <c r="A52" s="414"/>
      <c r="B52" s="414"/>
      <c r="C52" s="414"/>
      <c r="D52" s="414"/>
      <c r="E52" s="414"/>
      <c r="F52" s="414"/>
      <c r="G52" s="414"/>
      <c r="H52" s="414"/>
      <c r="I52" s="414"/>
      <c r="J52" s="414"/>
      <c r="K52" s="414"/>
      <c r="L52" s="414"/>
      <c r="M52" s="414"/>
      <c r="N52" s="414"/>
      <c r="O52" s="414"/>
      <c r="P52" s="414"/>
      <c r="Q52" s="414"/>
      <c r="R52" s="414"/>
      <c r="S52" s="414"/>
      <c r="T52" s="414"/>
      <c r="U52" s="414"/>
      <c r="V52" s="414"/>
      <c r="W52" s="414"/>
      <c r="X52" s="414"/>
      <c r="Y52" s="414"/>
      <c r="Z52" s="414"/>
    </row>
    <row r="53" spans="1:26" ht="13.5" customHeight="1">
      <c r="A53" s="414"/>
      <c r="B53" s="414"/>
      <c r="C53" s="414"/>
      <c r="D53" s="414"/>
      <c r="E53" s="414"/>
      <c r="F53" s="414"/>
      <c r="G53" s="414"/>
      <c r="H53" s="414"/>
      <c r="I53" s="414"/>
      <c r="J53" s="414"/>
      <c r="K53" s="414"/>
      <c r="L53" s="414"/>
      <c r="M53" s="414"/>
      <c r="N53" s="414"/>
      <c r="O53" s="414"/>
      <c r="P53" s="414"/>
      <c r="Q53" s="414"/>
      <c r="R53" s="414"/>
      <c r="S53" s="414"/>
      <c r="T53" s="414"/>
      <c r="U53" s="414"/>
      <c r="V53" s="414"/>
      <c r="W53" s="414"/>
      <c r="X53" s="414"/>
      <c r="Y53" s="414"/>
      <c r="Z53" s="414"/>
    </row>
    <row r="54" spans="1:26" ht="13.5" customHeight="1">
      <c r="A54" s="414"/>
      <c r="B54" s="414"/>
      <c r="C54" s="414"/>
      <c r="D54" s="414"/>
      <c r="E54" s="414"/>
      <c r="F54" s="414"/>
      <c r="G54" s="414"/>
      <c r="H54" s="414"/>
      <c r="I54" s="414"/>
      <c r="J54" s="414"/>
      <c r="K54" s="414"/>
      <c r="L54" s="414"/>
      <c r="M54" s="414"/>
      <c r="N54" s="414"/>
      <c r="O54" s="414"/>
      <c r="P54" s="414"/>
      <c r="Q54" s="414"/>
      <c r="R54" s="414"/>
      <c r="S54" s="414"/>
      <c r="T54" s="414"/>
      <c r="U54" s="414"/>
      <c r="V54" s="414"/>
      <c r="W54" s="414"/>
      <c r="X54" s="414"/>
      <c r="Y54" s="414"/>
      <c r="Z54" s="414"/>
    </row>
    <row r="55" spans="1:26" ht="13.5" customHeight="1">
      <c r="A55" s="414"/>
      <c r="B55" s="414"/>
      <c r="C55" s="414"/>
      <c r="D55" s="414"/>
      <c r="E55" s="414"/>
      <c r="F55" s="414"/>
      <c r="G55" s="414"/>
      <c r="H55" s="414"/>
      <c r="I55" s="414"/>
      <c r="J55" s="414"/>
      <c r="K55" s="414"/>
      <c r="L55" s="414"/>
      <c r="M55" s="414"/>
      <c r="N55" s="414"/>
      <c r="O55" s="414"/>
      <c r="P55" s="414"/>
      <c r="Q55" s="414"/>
      <c r="R55" s="414"/>
      <c r="S55" s="414"/>
      <c r="T55" s="414"/>
      <c r="U55" s="414"/>
      <c r="V55" s="414"/>
      <c r="W55" s="414"/>
      <c r="X55" s="414"/>
      <c r="Y55" s="414"/>
      <c r="Z55" s="414"/>
    </row>
    <row r="56" spans="1:26" ht="13.5" customHeight="1">
      <c r="A56" s="414"/>
      <c r="B56" s="414"/>
      <c r="C56" s="414"/>
      <c r="D56" s="414"/>
      <c r="E56" s="414"/>
      <c r="F56" s="414"/>
      <c r="G56" s="414"/>
      <c r="H56" s="414"/>
      <c r="I56" s="414"/>
      <c r="J56" s="414"/>
      <c r="K56" s="414"/>
      <c r="L56" s="414"/>
      <c r="M56" s="414"/>
      <c r="N56" s="414"/>
      <c r="O56" s="414"/>
      <c r="P56" s="414"/>
      <c r="Q56" s="414"/>
      <c r="R56" s="414"/>
      <c r="S56" s="414"/>
      <c r="T56" s="414"/>
      <c r="U56" s="414"/>
      <c r="V56" s="414"/>
      <c r="W56" s="414"/>
      <c r="X56" s="414"/>
      <c r="Y56" s="414"/>
      <c r="Z56" s="414"/>
    </row>
    <row r="57" spans="1:26" ht="13.5" customHeight="1">
      <c r="A57" s="414"/>
      <c r="B57" s="414"/>
      <c r="C57" s="414"/>
      <c r="D57" s="414"/>
      <c r="E57" s="414"/>
      <c r="F57" s="414"/>
      <c r="G57" s="414"/>
      <c r="H57" s="414"/>
      <c r="I57" s="414"/>
      <c r="J57" s="414"/>
      <c r="K57" s="414"/>
      <c r="L57" s="414"/>
      <c r="M57" s="414"/>
      <c r="N57" s="414"/>
      <c r="O57" s="414"/>
      <c r="P57" s="414"/>
      <c r="Q57" s="414"/>
      <c r="R57" s="414"/>
      <c r="S57" s="414"/>
      <c r="T57" s="414"/>
      <c r="U57" s="414"/>
      <c r="V57" s="414"/>
      <c r="W57" s="414"/>
      <c r="X57" s="414"/>
      <c r="Y57" s="414"/>
      <c r="Z57" s="414"/>
    </row>
    <row r="58" spans="1:26" ht="13.5" customHeight="1">
      <c r="A58" s="414"/>
      <c r="B58" s="414"/>
      <c r="C58" s="414"/>
      <c r="D58" s="414"/>
      <c r="E58" s="414"/>
      <c r="F58" s="414"/>
      <c r="G58" s="414"/>
      <c r="H58" s="414"/>
      <c r="I58" s="414"/>
      <c r="J58" s="414"/>
      <c r="K58" s="414"/>
      <c r="L58" s="414"/>
      <c r="M58" s="414"/>
      <c r="N58" s="414"/>
      <c r="O58" s="414"/>
      <c r="P58" s="414"/>
      <c r="Q58" s="414"/>
      <c r="R58" s="414"/>
      <c r="S58" s="414"/>
      <c r="T58" s="414"/>
      <c r="U58" s="414"/>
      <c r="V58" s="414"/>
      <c r="W58" s="414"/>
      <c r="X58" s="414"/>
      <c r="Y58" s="414"/>
      <c r="Z58" s="414"/>
    </row>
    <row r="59" spans="1:26" ht="13.5" customHeight="1">
      <c r="A59" s="414"/>
      <c r="B59" s="414"/>
      <c r="C59" s="414"/>
      <c r="D59" s="414"/>
      <c r="E59" s="414"/>
      <c r="F59" s="414"/>
      <c r="G59" s="414"/>
      <c r="H59" s="414"/>
      <c r="I59" s="414"/>
      <c r="J59" s="414"/>
      <c r="K59" s="414"/>
      <c r="L59" s="414"/>
      <c r="M59" s="414"/>
      <c r="N59" s="414"/>
      <c r="O59" s="414"/>
      <c r="P59" s="414"/>
      <c r="Q59" s="414"/>
      <c r="R59" s="414"/>
      <c r="S59" s="414"/>
      <c r="T59" s="414"/>
      <c r="U59" s="414"/>
      <c r="V59" s="414"/>
      <c r="W59" s="414"/>
      <c r="X59" s="414"/>
      <c r="Y59" s="414"/>
      <c r="Z59" s="414"/>
    </row>
    <row r="60" spans="1:26" ht="13.5" customHeight="1">
      <c r="A60" s="414"/>
      <c r="B60" s="414"/>
      <c r="C60" s="414"/>
      <c r="D60" s="414"/>
      <c r="E60" s="414"/>
      <c r="F60" s="414"/>
      <c r="G60" s="414"/>
      <c r="H60" s="414"/>
      <c r="I60" s="414"/>
      <c r="J60" s="414"/>
      <c r="K60" s="414"/>
      <c r="L60" s="414"/>
      <c r="M60" s="414"/>
      <c r="N60" s="414"/>
      <c r="O60" s="414"/>
      <c r="P60" s="414"/>
      <c r="Q60" s="414"/>
      <c r="R60" s="414"/>
      <c r="S60" s="414"/>
      <c r="T60" s="414"/>
      <c r="U60" s="414"/>
      <c r="V60" s="414"/>
      <c r="W60" s="414"/>
      <c r="X60" s="414"/>
      <c r="Y60" s="414"/>
      <c r="Z60" s="414"/>
    </row>
    <row r="61" spans="1:26" ht="13.5" customHeight="1">
      <c r="A61" s="414"/>
      <c r="B61" s="414"/>
      <c r="C61" s="414"/>
      <c r="D61" s="414"/>
      <c r="E61" s="414"/>
      <c r="F61" s="414"/>
      <c r="G61" s="414"/>
      <c r="H61" s="414"/>
      <c r="I61" s="414"/>
      <c r="J61" s="414"/>
      <c r="K61" s="414"/>
      <c r="L61" s="414"/>
      <c r="M61" s="414"/>
      <c r="N61" s="414"/>
      <c r="O61" s="414"/>
      <c r="P61" s="414"/>
      <c r="Q61" s="414"/>
      <c r="R61" s="414"/>
      <c r="S61" s="414"/>
      <c r="T61" s="414"/>
      <c r="U61" s="414"/>
      <c r="V61" s="414"/>
      <c r="W61" s="414"/>
      <c r="X61" s="414"/>
      <c r="Y61" s="414"/>
      <c r="Z61" s="414"/>
    </row>
    <row r="62" spans="1:26" ht="13.5" customHeight="1">
      <c r="A62" s="414"/>
      <c r="B62" s="414"/>
      <c r="C62" s="414"/>
      <c r="D62" s="414"/>
      <c r="E62" s="414"/>
      <c r="F62" s="414"/>
      <c r="G62" s="414"/>
      <c r="H62" s="414"/>
      <c r="I62" s="414"/>
      <c r="J62" s="414"/>
      <c r="K62" s="414"/>
      <c r="L62" s="414"/>
      <c r="M62" s="414"/>
      <c r="N62" s="414"/>
      <c r="O62" s="414"/>
      <c r="P62" s="414"/>
      <c r="Q62" s="414"/>
      <c r="R62" s="414"/>
      <c r="S62" s="414"/>
      <c r="T62" s="414"/>
      <c r="U62" s="414"/>
      <c r="V62" s="414"/>
      <c r="W62" s="414"/>
      <c r="X62" s="414"/>
      <c r="Y62" s="414"/>
      <c r="Z62" s="414"/>
    </row>
    <row r="63" spans="1:26" ht="13.5" customHeight="1">
      <c r="A63" s="414"/>
      <c r="B63" s="414"/>
      <c r="C63" s="414"/>
      <c r="D63" s="414"/>
      <c r="E63" s="414"/>
      <c r="F63" s="414"/>
      <c r="G63" s="414"/>
      <c r="H63" s="414"/>
      <c r="I63" s="414"/>
      <c r="J63" s="414"/>
      <c r="K63" s="414"/>
      <c r="L63" s="414"/>
      <c r="M63" s="414"/>
      <c r="N63" s="414"/>
      <c r="O63" s="414"/>
      <c r="P63" s="414"/>
      <c r="Q63" s="414"/>
      <c r="R63" s="414"/>
      <c r="S63" s="414"/>
      <c r="T63" s="414"/>
      <c r="U63" s="414"/>
      <c r="V63" s="414"/>
      <c r="W63" s="414"/>
      <c r="X63" s="414"/>
      <c r="Y63" s="414"/>
      <c r="Z63" s="414"/>
    </row>
    <row r="64" spans="1:26" ht="13.5" customHeight="1">
      <c r="A64" s="414"/>
      <c r="B64" s="414"/>
      <c r="C64" s="414"/>
      <c r="D64" s="414"/>
      <c r="E64" s="414"/>
      <c r="F64" s="414"/>
      <c r="G64" s="414"/>
      <c r="H64" s="414"/>
      <c r="I64" s="414"/>
      <c r="J64" s="414"/>
      <c r="K64" s="414"/>
      <c r="L64" s="414"/>
      <c r="M64" s="414"/>
      <c r="N64" s="414"/>
      <c r="O64" s="414"/>
      <c r="P64" s="414"/>
      <c r="Q64" s="414"/>
      <c r="R64" s="414"/>
      <c r="S64" s="414"/>
      <c r="T64" s="414"/>
      <c r="U64" s="414"/>
      <c r="V64" s="414"/>
      <c r="W64" s="414"/>
      <c r="X64" s="414"/>
      <c r="Y64" s="414"/>
      <c r="Z64" s="414"/>
    </row>
    <row r="65" spans="1:26" ht="13.5" customHeight="1">
      <c r="A65" s="414"/>
      <c r="B65" s="414"/>
      <c r="C65" s="414"/>
      <c r="D65" s="414"/>
      <c r="E65" s="414"/>
      <c r="F65" s="414"/>
      <c r="G65" s="414"/>
      <c r="H65" s="414"/>
      <c r="I65" s="414"/>
      <c r="J65" s="414"/>
      <c r="K65" s="414"/>
      <c r="L65" s="414"/>
      <c r="M65" s="414"/>
      <c r="N65" s="414"/>
      <c r="O65" s="414"/>
      <c r="P65" s="414"/>
      <c r="Q65" s="414"/>
      <c r="R65" s="414"/>
      <c r="S65" s="414"/>
      <c r="T65" s="414"/>
      <c r="U65" s="414"/>
      <c r="V65" s="414"/>
      <c r="W65" s="414"/>
      <c r="X65" s="414"/>
      <c r="Y65" s="414"/>
      <c r="Z65" s="414"/>
    </row>
    <row r="66" spans="1:26" ht="13.5" customHeight="1">
      <c r="A66" s="414"/>
      <c r="B66" s="414"/>
      <c r="C66" s="414"/>
      <c r="D66" s="414"/>
      <c r="E66" s="414"/>
      <c r="F66" s="414"/>
      <c r="G66" s="414"/>
      <c r="H66" s="414"/>
      <c r="I66" s="414"/>
      <c r="J66" s="414"/>
      <c r="K66" s="414"/>
      <c r="L66" s="414"/>
      <c r="M66" s="414"/>
      <c r="N66" s="414"/>
      <c r="O66" s="414"/>
      <c r="P66" s="414"/>
      <c r="Q66" s="414"/>
      <c r="R66" s="414"/>
      <c r="S66" s="414"/>
      <c r="T66" s="414"/>
      <c r="U66" s="414"/>
      <c r="V66" s="414"/>
      <c r="W66" s="414"/>
      <c r="X66" s="414"/>
      <c r="Y66" s="414"/>
      <c r="Z66" s="414"/>
    </row>
    <row r="67" spans="1:26" ht="13.5" customHeight="1">
      <c r="A67" s="414"/>
      <c r="B67" s="414"/>
      <c r="C67" s="414"/>
      <c r="D67" s="414"/>
      <c r="E67" s="414"/>
      <c r="F67" s="414"/>
      <c r="G67" s="414"/>
      <c r="H67" s="414"/>
      <c r="I67" s="414"/>
      <c r="J67" s="414"/>
      <c r="K67" s="414"/>
      <c r="L67" s="414"/>
      <c r="M67" s="414"/>
      <c r="N67" s="414"/>
      <c r="O67" s="414"/>
      <c r="P67" s="414"/>
      <c r="Q67" s="414"/>
      <c r="R67" s="414"/>
      <c r="S67" s="414"/>
      <c r="T67" s="414"/>
      <c r="U67" s="414"/>
      <c r="V67" s="414"/>
      <c r="W67" s="414"/>
      <c r="X67" s="414"/>
      <c r="Y67" s="414"/>
      <c r="Z67" s="414"/>
    </row>
    <row r="68" spans="1:26" ht="13.5" customHeight="1">
      <c r="A68" s="414"/>
      <c r="B68" s="414"/>
      <c r="C68" s="414"/>
      <c r="D68" s="414"/>
      <c r="E68" s="414"/>
      <c r="F68" s="414"/>
      <c r="G68" s="414"/>
      <c r="H68" s="414"/>
      <c r="I68" s="414"/>
      <c r="J68" s="414"/>
      <c r="K68" s="414"/>
      <c r="L68" s="414"/>
      <c r="M68" s="414"/>
      <c r="N68" s="414"/>
      <c r="O68" s="414"/>
      <c r="P68" s="414"/>
      <c r="Q68" s="414"/>
      <c r="R68" s="414"/>
      <c r="S68" s="414"/>
      <c r="T68" s="414"/>
      <c r="U68" s="414"/>
      <c r="V68" s="414"/>
      <c r="W68" s="414"/>
      <c r="X68" s="414"/>
      <c r="Y68" s="414"/>
      <c r="Z68" s="414"/>
    </row>
    <row r="69" spans="1:26" ht="13.5" customHeight="1">
      <c r="A69" s="414"/>
      <c r="B69" s="414"/>
      <c r="C69" s="414"/>
      <c r="D69" s="414"/>
      <c r="E69" s="414"/>
      <c r="F69" s="414"/>
      <c r="G69" s="414"/>
      <c r="H69" s="414"/>
      <c r="I69" s="414"/>
      <c r="J69" s="414"/>
      <c r="K69" s="414"/>
      <c r="L69" s="414"/>
      <c r="M69" s="414"/>
      <c r="N69" s="414"/>
      <c r="O69" s="414"/>
      <c r="P69" s="414"/>
      <c r="Q69" s="414"/>
      <c r="R69" s="414"/>
      <c r="S69" s="414"/>
      <c r="T69" s="414"/>
      <c r="U69" s="414"/>
      <c r="V69" s="414"/>
      <c r="W69" s="414"/>
      <c r="X69" s="414"/>
      <c r="Y69" s="414"/>
      <c r="Z69" s="414"/>
    </row>
    <row r="70" spans="1:26" ht="13.5" customHeight="1">
      <c r="A70" s="414"/>
      <c r="B70" s="414"/>
      <c r="C70" s="414"/>
      <c r="D70" s="414"/>
      <c r="E70" s="414"/>
      <c r="F70" s="414"/>
      <c r="G70" s="414"/>
      <c r="H70" s="414"/>
      <c r="I70" s="414"/>
      <c r="J70" s="414"/>
      <c r="K70" s="414"/>
      <c r="L70" s="414"/>
      <c r="M70" s="414"/>
      <c r="N70" s="414"/>
      <c r="O70" s="414"/>
      <c r="P70" s="414"/>
      <c r="Q70" s="414"/>
      <c r="R70" s="414"/>
      <c r="S70" s="414"/>
      <c r="T70" s="414"/>
      <c r="U70" s="414"/>
      <c r="V70" s="414"/>
      <c r="W70" s="414"/>
      <c r="X70" s="414"/>
      <c r="Y70" s="414"/>
      <c r="Z70" s="414"/>
    </row>
    <row r="71" spans="1:26" ht="13.5" customHeight="1">
      <c r="A71" s="414"/>
      <c r="B71" s="414"/>
      <c r="C71" s="414"/>
      <c r="D71" s="414"/>
      <c r="E71" s="414"/>
      <c r="F71" s="414"/>
      <c r="G71" s="414"/>
      <c r="H71" s="414"/>
      <c r="I71" s="414"/>
      <c r="J71" s="414"/>
      <c r="K71" s="414"/>
      <c r="L71" s="414"/>
      <c r="M71" s="414"/>
      <c r="N71" s="414"/>
      <c r="O71" s="414"/>
      <c r="P71" s="414"/>
      <c r="Q71" s="414"/>
      <c r="R71" s="414"/>
      <c r="S71" s="414"/>
      <c r="T71" s="414"/>
      <c r="U71" s="414"/>
      <c r="V71" s="414"/>
      <c r="W71" s="414"/>
      <c r="X71" s="414"/>
      <c r="Y71" s="414"/>
      <c r="Z71" s="414"/>
    </row>
    <row r="72" spans="1:26" ht="13.5" customHeight="1">
      <c r="A72" s="414"/>
      <c r="B72" s="414"/>
      <c r="C72" s="414"/>
      <c r="D72" s="414"/>
      <c r="E72" s="414"/>
      <c r="F72" s="414"/>
      <c r="G72" s="414"/>
      <c r="H72" s="414"/>
      <c r="I72" s="414"/>
      <c r="J72" s="414"/>
      <c r="K72" s="414"/>
      <c r="L72" s="414"/>
      <c r="M72" s="414"/>
      <c r="N72" s="414"/>
      <c r="O72" s="414"/>
      <c r="P72" s="414"/>
      <c r="Q72" s="414"/>
      <c r="R72" s="414"/>
      <c r="S72" s="414"/>
      <c r="T72" s="414"/>
      <c r="U72" s="414"/>
      <c r="V72" s="414"/>
      <c r="W72" s="414"/>
      <c r="X72" s="414"/>
      <c r="Y72" s="414"/>
      <c r="Z72" s="414"/>
    </row>
    <row r="73" spans="1:26" ht="13.5" customHeight="1">
      <c r="A73" s="414"/>
      <c r="B73" s="414"/>
      <c r="C73" s="414"/>
      <c r="D73" s="414"/>
      <c r="E73" s="414"/>
      <c r="F73" s="414"/>
      <c r="G73" s="414"/>
      <c r="H73" s="414"/>
      <c r="I73" s="414"/>
      <c r="J73" s="414"/>
      <c r="K73" s="414"/>
      <c r="L73" s="414"/>
      <c r="M73" s="414"/>
      <c r="N73" s="414"/>
      <c r="O73" s="414"/>
      <c r="P73" s="414"/>
      <c r="Q73" s="414"/>
      <c r="R73" s="414"/>
      <c r="S73" s="414"/>
      <c r="T73" s="414"/>
      <c r="U73" s="414"/>
      <c r="V73" s="414"/>
      <c r="W73" s="414"/>
      <c r="X73" s="414"/>
      <c r="Y73" s="414"/>
      <c r="Z73" s="414"/>
    </row>
    <row r="74" spans="1:26" ht="13.5" customHeight="1">
      <c r="A74" s="414"/>
      <c r="B74" s="414"/>
      <c r="C74" s="414"/>
      <c r="D74" s="414"/>
      <c r="E74" s="414"/>
      <c r="F74" s="414"/>
      <c r="G74" s="414"/>
      <c r="H74" s="414"/>
      <c r="I74" s="414"/>
      <c r="J74" s="414"/>
      <c r="K74" s="414"/>
      <c r="L74" s="414"/>
      <c r="M74" s="414"/>
      <c r="N74" s="414"/>
      <c r="O74" s="414"/>
      <c r="P74" s="414"/>
      <c r="Q74" s="414"/>
      <c r="R74" s="414"/>
      <c r="S74" s="414"/>
      <c r="T74" s="414"/>
      <c r="U74" s="414"/>
      <c r="V74" s="414"/>
      <c r="W74" s="414"/>
      <c r="X74" s="414"/>
      <c r="Y74" s="414"/>
      <c r="Z74" s="414"/>
    </row>
    <row r="75" spans="1:26" ht="13.5" customHeight="1">
      <c r="A75" s="414"/>
      <c r="B75" s="414"/>
      <c r="C75" s="414"/>
      <c r="D75" s="414"/>
      <c r="E75" s="414"/>
      <c r="F75" s="414"/>
      <c r="G75" s="414"/>
      <c r="H75" s="414"/>
      <c r="I75" s="414"/>
      <c r="J75" s="414"/>
      <c r="K75" s="414"/>
      <c r="L75" s="414"/>
      <c r="M75" s="414"/>
      <c r="N75" s="414"/>
      <c r="O75" s="414"/>
      <c r="P75" s="414"/>
      <c r="Q75" s="414"/>
      <c r="R75" s="414"/>
      <c r="S75" s="414"/>
      <c r="T75" s="414"/>
      <c r="U75" s="414"/>
      <c r="V75" s="414"/>
      <c r="W75" s="414"/>
      <c r="X75" s="414"/>
      <c r="Y75" s="414"/>
      <c r="Z75" s="414"/>
    </row>
    <row r="76" spans="1:26" ht="13.5" customHeight="1">
      <c r="A76" s="414"/>
      <c r="B76" s="414"/>
      <c r="C76" s="414"/>
      <c r="D76" s="414"/>
      <c r="E76" s="414"/>
      <c r="F76" s="414"/>
      <c r="G76" s="414"/>
      <c r="H76" s="414"/>
      <c r="I76" s="414"/>
      <c r="J76" s="414"/>
      <c r="K76" s="414"/>
      <c r="L76" s="414"/>
      <c r="M76" s="414"/>
      <c r="N76" s="414"/>
      <c r="O76" s="414"/>
      <c r="P76" s="414"/>
      <c r="Q76" s="414"/>
      <c r="R76" s="414"/>
      <c r="S76" s="414"/>
      <c r="T76" s="414"/>
      <c r="U76" s="414"/>
      <c r="V76" s="414"/>
      <c r="W76" s="414"/>
      <c r="X76" s="414"/>
      <c r="Y76" s="414"/>
      <c r="Z76" s="414"/>
    </row>
    <row r="77" spans="1:26" ht="13.5" customHeight="1">
      <c r="A77" s="414"/>
      <c r="B77" s="414"/>
      <c r="C77" s="414"/>
      <c r="D77" s="414"/>
      <c r="E77" s="414"/>
      <c r="F77" s="414"/>
      <c r="G77" s="414"/>
      <c r="H77" s="414"/>
      <c r="I77" s="414"/>
      <c r="J77" s="414"/>
      <c r="K77" s="414"/>
      <c r="L77" s="414"/>
      <c r="M77" s="414"/>
      <c r="N77" s="414"/>
      <c r="O77" s="414"/>
      <c r="P77" s="414"/>
      <c r="Q77" s="414"/>
      <c r="R77" s="414"/>
      <c r="S77" s="414"/>
      <c r="T77" s="414"/>
      <c r="U77" s="414"/>
      <c r="V77" s="414"/>
      <c r="W77" s="414"/>
      <c r="X77" s="414"/>
      <c r="Y77" s="414"/>
      <c r="Z77" s="414"/>
    </row>
    <row r="78" spans="1:26" ht="13.5" customHeight="1">
      <c r="A78" s="414"/>
      <c r="B78" s="414"/>
      <c r="C78" s="414"/>
      <c r="D78" s="414"/>
      <c r="E78" s="414"/>
      <c r="F78" s="414"/>
      <c r="G78" s="414"/>
      <c r="H78" s="414"/>
      <c r="I78" s="414"/>
      <c r="J78" s="414"/>
      <c r="K78" s="414"/>
      <c r="L78" s="414"/>
      <c r="M78" s="414"/>
      <c r="N78" s="414"/>
      <c r="O78" s="414"/>
      <c r="P78" s="414"/>
      <c r="Q78" s="414"/>
      <c r="R78" s="414"/>
      <c r="S78" s="414"/>
      <c r="T78" s="414"/>
      <c r="U78" s="414"/>
      <c r="V78" s="414"/>
      <c r="W78" s="414"/>
      <c r="X78" s="414"/>
      <c r="Y78" s="414"/>
      <c r="Z78" s="414"/>
    </row>
    <row r="79" spans="1:26" ht="13.5" customHeight="1">
      <c r="A79" s="414"/>
      <c r="B79" s="414"/>
      <c r="C79" s="414"/>
      <c r="D79" s="414"/>
      <c r="E79" s="414"/>
      <c r="F79" s="414"/>
      <c r="G79" s="414"/>
      <c r="H79" s="414"/>
      <c r="I79" s="414"/>
      <c r="J79" s="414"/>
      <c r="K79" s="414"/>
      <c r="L79" s="414"/>
      <c r="M79" s="414"/>
      <c r="N79" s="414"/>
      <c r="O79" s="414"/>
      <c r="P79" s="414"/>
      <c r="Q79" s="414"/>
      <c r="R79" s="414"/>
      <c r="S79" s="414"/>
      <c r="T79" s="414"/>
      <c r="U79" s="414"/>
      <c r="V79" s="414"/>
      <c r="W79" s="414"/>
      <c r="X79" s="414"/>
      <c r="Y79" s="414"/>
      <c r="Z79" s="414"/>
    </row>
    <row r="80" spans="1:26" ht="13.5" customHeight="1">
      <c r="A80" s="414"/>
      <c r="B80" s="414"/>
      <c r="C80" s="414"/>
      <c r="D80" s="414"/>
      <c r="E80" s="414"/>
      <c r="F80" s="414"/>
      <c r="G80" s="414"/>
      <c r="H80" s="414"/>
      <c r="I80" s="414"/>
      <c r="J80" s="414"/>
      <c r="K80" s="414"/>
      <c r="L80" s="414"/>
      <c r="M80" s="414"/>
      <c r="N80" s="414"/>
      <c r="O80" s="414"/>
      <c r="P80" s="414"/>
      <c r="Q80" s="414"/>
      <c r="R80" s="414"/>
      <c r="S80" s="414"/>
      <c r="T80" s="414"/>
      <c r="U80" s="414"/>
      <c r="V80" s="414"/>
      <c r="W80" s="414"/>
      <c r="X80" s="414"/>
      <c r="Y80" s="414"/>
      <c r="Z80" s="414"/>
    </row>
    <row r="81" spans="1:26" ht="13.5" customHeight="1">
      <c r="A81" s="414"/>
      <c r="B81" s="414"/>
      <c r="C81" s="414"/>
      <c r="D81" s="414"/>
      <c r="E81" s="414"/>
      <c r="F81" s="414"/>
      <c r="G81" s="414"/>
      <c r="H81" s="414"/>
      <c r="I81" s="414"/>
      <c r="J81" s="414"/>
      <c r="K81" s="414"/>
      <c r="L81" s="414"/>
      <c r="M81" s="414"/>
      <c r="N81" s="414"/>
      <c r="O81" s="414"/>
      <c r="P81" s="414"/>
      <c r="Q81" s="414"/>
      <c r="R81" s="414"/>
      <c r="S81" s="414"/>
      <c r="T81" s="414"/>
      <c r="U81" s="414"/>
      <c r="V81" s="414"/>
      <c r="W81" s="414"/>
      <c r="X81" s="414"/>
      <c r="Y81" s="414"/>
      <c r="Z81" s="414"/>
    </row>
    <row r="82" spans="1:26" ht="13.5" customHeight="1">
      <c r="A82" s="414"/>
      <c r="B82" s="414"/>
      <c r="C82" s="414"/>
      <c r="D82" s="414"/>
      <c r="E82" s="414"/>
      <c r="F82" s="414"/>
      <c r="G82" s="414"/>
      <c r="H82" s="414"/>
      <c r="I82" s="414"/>
      <c r="J82" s="414"/>
      <c r="K82" s="414"/>
      <c r="L82" s="414"/>
      <c r="M82" s="414"/>
      <c r="N82" s="414"/>
      <c r="O82" s="414"/>
      <c r="P82" s="414"/>
      <c r="Q82" s="414"/>
      <c r="R82" s="414"/>
      <c r="S82" s="414"/>
      <c r="T82" s="414"/>
      <c r="U82" s="414"/>
      <c r="V82" s="414"/>
      <c r="W82" s="414"/>
      <c r="X82" s="414"/>
      <c r="Y82" s="414"/>
      <c r="Z82" s="414"/>
    </row>
    <row r="83" spans="1:26" ht="13.5" customHeight="1">
      <c r="A83" s="414"/>
      <c r="B83" s="414"/>
      <c r="C83" s="414"/>
      <c r="D83" s="414"/>
      <c r="E83" s="414"/>
      <c r="F83" s="414"/>
      <c r="G83" s="414"/>
      <c r="H83" s="414"/>
      <c r="I83" s="414"/>
      <c r="J83" s="414"/>
      <c r="K83" s="414"/>
      <c r="L83" s="414"/>
      <c r="M83" s="414"/>
      <c r="N83" s="414"/>
      <c r="O83" s="414"/>
      <c r="P83" s="414"/>
      <c r="Q83" s="414"/>
      <c r="R83" s="414"/>
      <c r="S83" s="414"/>
      <c r="T83" s="414"/>
      <c r="U83" s="414"/>
      <c r="V83" s="414"/>
      <c r="W83" s="414"/>
      <c r="X83" s="414"/>
      <c r="Y83" s="414"/>
      <c r="Z83" s="414"/>
    </row>
    <row r="84" spans="1:26" ht="13.5" customHeight="1">
      <c r="A84" s="414"/>
      <c r="B84" s="414"/>
      <c r="C84" s="414"/>
      <c r="D84" s="414"/>
      <c r="E84" s="414"/>
      <c r="F84" s="414"/>
      <c r="G84" s="414"/>
      <c r="H84" s="414"/>
      <c r="I84" s="414"/>
      <c r="J84" s="414"/>
      <c r="K84" s="414"/>
      <c r="L84" s="414"/>
      <c r="M84" s="414"/>
      <c r="N84" s="414"/>
      <c r="O84" s="414"/>
      <c r="P84" s="414"/>
      <c r="Q84" s="414"/>
      <c r="R84" s="414"/>
      <c r="S84" s="414"/>
      <c r="T84" s="414"/>
      <c r="U84" s="414"/>
      <c r="V84" s="414"/>
      <c r="W84" s="414"/>
      <c r="X84" s="414"/>
      <c r="Y84" s="414"/>
      <c r="Z84" s="414"/>
    </row>
    <row r="85" spans="1:26" ht="13.5" customHeight="1">
      <c r="A85" s="414"/>
      <c r="B85" s="414"/>
      <c r="C85" s="414"/>
      <c r="D85" s="414"/>
      <c r="E85" s="414"/>
      <c r="F85" s="414"/>
      <c r="G85" s="414"/>
      <c r="H85" s="414"/>
      <c r="I85" s="414"/>
      <c r="J85" s="414"/>
      <c r="K85" s="414"/>
      <c r="L85" s="414"/>
      <c r="M85" s="414"/>
      <c r="N85" s="414"/>
      <c r="O85" s="414"/>
      <c r="P85" s="414"/>
      <c r="Q85" s="414"/>
      <c r="R85" s="414"/>
      <c r="S85" s="414"/>
      <c r="T85" s="414"/>
      <c r="U85" s="414"/>
      <c r="V85" s="414"/>
      <c r="W85" s="414"/>
      <c r="X85" s="414"/>
      <c r="Y85" s="414"/>
      <c r="Z85" s="414"/>
    </row>
    <row r="86" spans="1:26" ht="13.5" customHeight="1">
      <c r="A86" s="414"/>
      <c r="B86" s="414"/>
      <c r="C86" s="414"/>
      <c r="D86" s="414"/>
      <c r="E86" s="414"/>
      <c r="F86" s="414"/>
      <c r="G86" s="414"/>
      <c r="H86" s="414"/>
      <c r="I86" s="414"/>
      <c r="J86" s="414"/>
      <c r="K86" s="414"/>
      <c r="L86" s="414"/>
      <c r="M86" s="414"/>
      <c r="N86" s="414"/>
      <c r="O86" s="414"/>
      <c r="P86" s="414"/>
      <c r="Q86" s="414"/>
      <c r="R86" s="414"/>
      <c r="S86" s="414"/>
      <c r="T86" s="414"/>
      <c r="U86" s="414"/>
      <c r="V86" s="414"/>
      <c r="W86" s="414"/>
      <c r="X86" s="414"/>
      <c r="Y86" s="414"/>
      <c r="Z86" s="414"/>
    </row>
    <row r="87" spans="1:26" ht="13.5" customHeight="1">
      <c r="A87" s="414"/>
      <c r="B87" s="414"/>
      <c r="C87" s="414"/>
      <c r="D87" s="414"/>
      <c r="E87" s="414"/>
      <c r="F87" s="414"/>
      <c r="G87" s="414"/>
      <c r="H87" s="414"/>
      <c r="I87" s="414"/>
      <c r="J87" s="414"/>
      <c r="K87" s="414"/>
      <c r="L87" s="414"/>
      <c r="M87" s="414"/>
      <c r="N87" s="414"/>
      <c r="O87" s="414"/>
      <c r="P87" s="414"/>
      <c r="Q87" s="414"/>
      <c r="R87" s="414"/>
      <c r="S87" s="414"/>
      <c r="T87" s="414"/>
      <c r="U87" s="414"/>
      <c r="V87" s="414"/>
      <c r="W87" s="414"/>
      <c r="X87" s="414"/>
      <c r="Y87" s="414"/>
      <c r="Z87" s="414"/>
    </row>
    <row r="88" spans="1:26" ht="13.5" customHeight="1">
      <c r="A88" s="414"/>
      <c r="B88" s="414"/>
      <c r="C88" s="414"/>
      <c r="D88" s="414"/>
      <c r="E88" s="414"/>
      <c r="F88" s="414"/>
      <c r="G88" s="414"/>
      <c r="H88" s="414"/>
      <c r="I88" s="414"/>
      <c r="J88" s="414"/>
      <c r="K88" s="414"/>
      <c r="L88" s="414"/>
      <c r="M88" s="414"/>
      <c r="N88" s="414"/>
      <c r="O88" s="414"/>
      <c r="P88" s="414"/>
      <c r="Q88" s="414"/>
      <c r="R88" s="414"/>
      <c r="S88" s="414"/>
      <c r="T88" s="414"/>
      <c r="U88" s="414"/>
      <c r="V88" s="414"/>
      <c r="W88" s="414"/>
      <c r="X88" s="414"/>
      <c r="Y88" s="414"/>
      <c r="Z88" s="414"/>
    </row>
    <row r="89" spans="1:26" ht="13.5" customHeight="1">
      <c r="A89" s="414"/>
      <c r="B89" s="414"/>
      <c r="C89" s="414"/>
      <c r="D89" s="414"/>
      <c r="E89" s="414"/>
      <c r="F89" s="414"/>
      <c r="G89" s="414"/>
      <c r="H89" s="414"/>
      <c r="I89" s="414"/>
      <c r="J89" s="414"/>
      <c r="K89" s="414"/>
      <c r="L89" s="414"/>
      <c r="M89" s="414"/>
      <c r="N89" s="414"/>
      <c r="O89" s="414"/>
      <c r="P89" s="414"/>
      <c r="Q89" s="414"/>
      <c r="R89" s="414"/>
      <c r="S89" s="414"/>
      <c r="T89" s="414"/>
      <c r="U89" s="414"/>
      <c r="V89" s="414"/>
      <c r="W89" s="414"/>
      <c r="X89" s="414"/>
      <c r="Y89" s="414"/>
      <c r="Z89" s="414"/>
    </row>
    <row r="90" spans="1:26" ht="13.5" customHeight="1">
      <c r="A90" s="414"/>
      <c r="B90" s="414"/>
      <c r="C90" s="414"/>
      <c r="D90" s="414"/>
      <c r="E90" s="414"/>
      <c r="F90" s="414"/>
      <c r="G90" s="414"/>
      <c r="H90" s="414"/>
      <c r="I90" s="414"/>
      <c r="J90" s="414"/>
      <c r="K90" s="414"/>
      <c r="L90" s="414"/>
      <c r="M90" s="414"/>
      <c r="N90" s="414"/>
      <c r="O90" s="414"/>
      <c r="P90" s="414"/>
      <c r="Q90" s="414"/>
      <c r="R90" s="414"/>
      <c r="S90" s="414"/>
      <c r="T90" s="414"/>
      <c r="U90" s="414"/>
      <c r="V90" s="414"/>
      <c r="W90" s="414"/>
      <c r="X90" s="414"/>
      <c r="Y90" s="414"/>
      <c r="Z90" s="414"/>
    </row>
    <row r="91" spans="1:26" ht="13.5" customHeight="1">
      <c r="A91" s="414"/>
      <c r="B91" s="414"/>
      <c r="C91" s="414"/>
      <c r="D91" s="414"/>
      <c r="E91" s="414"/>
      <c r="F91" s="414"/>
      <c r="G91" s="414"/>
      <c r="H91" s="414"/>
      <c r="I91" s="414"/>
      <c r="J91" s="414"/>
      <c r="K91" s="414"/>
      <c r="L91" s="414"/>
      <c r="M91" s="414"/>
      <c r="N91" s="414"/>
      <c r="O91" s="414"/>
      <c r="P91" s="414"/>
      <c r="Q91" s="414"/>
      <c r="R91" s="414"/>
      <c r="S91" s="414"/>
      <c r="T91" s="414"/>
      <c r="U91" s="414"/>
      <c r="V91" s="414"/>
      <c r="W91" s="414"/>
      <c r="X91" s="414"/>
      <c r="Y91" s="414"/>
      <c r="Z91" s="414"/>
    </row>
    <row r="92" spans="1:26" ht="13.5" customHeight="1">
      <c r="A92" s="414"/>
      <c r="B92" s="414"/>
      <c r="C92" s="414"/>
      <c r="D92" s="414"/>
      <c r="E92" s="414"/>
      <c r="F92" s="414"/>
      <c r="G92" s="414"/>
      <c r="H92" s="414"/>
      <c r="I92" s="414"/>
      <c r="J92" s="414"/>
      <c r="K92" s="414"/>
      <c r="L92" s="414"/>
      <c r="M92" s="414"/>
      <c r="N92" s="414"/>
      <c r="O92" s="414"/>
      <c r="P92" s="414"/>
      <c r="Q92" s="414"/>
      <c r="R92" s="414"/>
      <c r="S92" s="414"/>
      <c r="T92" s="414"/>
      <c r="U92" s="414"/>
      <c r="V92" s="414"/>
      <c r="W92" s="414"/>
      <c r="X92" s="414"/>
      <c r="Y92" s="414"/>
      <c r="Z92" s="414"/>
    </row>
    <row r="93" spans="1:26" ht="13.5" customHeight="1">
      <c r="A93" s="414"/>
      <c r="B93" s="414"/>
      <c r="C93" s="414"/>
      <c r="D93" s="414"/>
      <c r="E93" s="414"/>
      <c r="F93" s="414"/>
      <c r="G93" s="414"/>
      <c r="H93" s="414"/>
      <c r="I93" s="414"/>
      <c r="J93" s="414"/>
      <c r="K93" s="414"/>
      <c r="L93" s="414"/>
      <c r="M93" s="414"/>
      <c r="N93" s="414"/>
      <c r="O93" s="414"/>
      <c r="P93" s="414"/>
      <c r="Q93" s="414"/>
      <c r="R93" s="414"/>
      <c r="S93" s="414"/>
      <c r="T93" s="414"/>
      <c r="U93" s="414"/>
      <c r="V93" s="414"/>
      <c r="W93" s="414"/>
      <c r="X93" s="414"/>
      <c r="Y93" s="414"/>
      <c r="Z93" s="414"/>
    </row>
    <row r="94" spans="1:26" ht="13.5" customHeight="1">
      <c r="A94" s="414"/>
      <c r="B94" s="414"/>
      <c r="C94" s="414"/>
      <c r="D94" s="414"/>
      <c r="E94" s="414"/>
      <c r="F94" s="414"/>
      <c r="G94" s="414"/>
      <c r="H94" s="414"/>
      <c r="I94" s="414"/>
      <c r="J94" s="414"/>
      <c r="K94" s="414"/>
      <c r="L94" s="414"/>
      <c r="M94" s="414"/>
      <c r="N94" s="414"/>
      <c r="O94" s="414"/>
      <c r="P94" s="414"/>
      <c r="Q94" s="414"/>
      <c r="R94" s="414"/>
      <c r="S94" s="414"/>
      <c r="T94" s="414"/>
      <c r="U94" s="414"/>
      <c r="V94" s="414"/>
      <c r="W94" s="414"/>
      <c r="X94" s="414"/>
      <c r="Y94" s="414"/>
      <c r="Z94" s="414"/>
    </row>
    <row r="95" spans="1:26" ht="13.5" customHeight="1">
      <c r="A95" s="414"/>
      <c r="B95" s="414"/>
      <c r="C95" s="414"/>
      <c r="D95" s="414"/>
      <c r="E95" s="414"/>
      <c r="F95" s="414"/>
      <c r="G95" s="414"/>
      <c r="H95" s="414"/>
      <c r="I95" s="414"/>
      <c r="J95" s="414"/>
      <c r="K95" s="414"/>
      <c r="L95" s="414"/>
      <c r="M95" s="414"/>
      <c r="N95" s="414"/>
      <c r="O95" s="414"/>
      <c r="P95" s="414"/>
      <c r="Q95" s="414"/>
      <c r="R95" s="414"/>
      <c r="S95" s="414"/>
      <c r="T95" s="414"/>
      <c r="U95" s="414"/>
      <c r="V95" s="414"/>
      <c r="W95" s="414"/>
      <c r="X95" s="414"/>
      <c r="Y95" s="414"/>
      <c r="Z95" s="414"/>
    </row>
    <row r="96" spans="1:26" ht="13.5" customHeight="1">
      <c r="A96" s="414"/>
      <c r="B96" s="414"/>
      <c r="C96" s="414"/>
      <c r="D96" s="414"/>
      <c r="E96" s="414"/>
      <c r="F96" s="414"/>
      <c r="G96" s="414"/>
      <c r="H96" s="414"/>
      <c r="I96" s="414"/>
      <c r="J96" s="414"/>
      <c r="K96" s="414"/>
      <c r="L96" s="414"/>
      <c r="M96" s="414"/>
      <c r="N96" s="414"/>
      <c r="O96" s="414"/>
      <c r="P96" s="414"/>
      <c r="Q96" s="414"/>
      <c r="R96" s="414"/>
      <c r="S96" s="414"/>
      <c r="T96" s="414"/>
      <c r="U96" s="414"/>
      <c r="V96" s="414"/>
      <c r="W96" s="414"/>
      <c r="X96" s="414"/>
      <c r="Y96" s="414"/>
      <c r="Z96" s="414"/>
    </row>
    <row r="97" spans="1:26" ht="13.5" customHeight="1">
      <c r="A97" s="414"/>
      <c r="B97" s="414"/>
      <c r="C97" s="414"/>
      <c r="D97" s="414"/>
      <c r="E97" s="414"/>
      <c r="F97" s="414"/>
      <c r="G97" s="414"/>
      <c r="H97" s="414"/>
      <c r="I97" s="414"/>
      <c r="J97" s="414"/>
      <c r="K97" s="414"/>
      <c r="L97" s="414"/>
      <c r="M97" s="414"/>
      <c r="N97" s="414"/>
      <c r="O97" s="414"/>
      <c r="P97" s="414"/>
      <c r="Q97" s="414"/>
      <c r="R97" s="414"/>
      <c r="S97" s="414"/>
      <c r="T97" s="414"/>
      <c r="U97" s="414"/>
      <c r="V97" s="414"/>
      <c r="W97" s="414"/>
      <c r="X97" s="414"/>
      <c r="Y97" s="414"/>
      <c r="Z97" s="414"/>
    </row>
    <row r="98" spans="1:26" ht="13.5" customHeight="1">
      <c r="A98" s="414"/>
      <c r="B98" s="414"/>
      <c r="C98" s="414"/>
      <c r="D98" s="414"/>
      <c r="E98" s="414"/>
      <c r="F98" s="414"/>
      <c r="G98" s="414"/>
      <c r="H98" s="414"/>
      <c r="I98" s="414"/>
      <c r="J98" s="414"/>
      <c r="K98" s="414"/>
      <c r="L98" s="414"/>
      <c r="M98" s="414"/>
      <c r="N98" s="414"/>
      <c r="O98" s="414"/>
      <c r="P98" s="414"/>
      <c r="Q98" s="414"/>
      <c r="R98" s="414"/>
      <c r="S98" s="414"/>
      <c r="T98" s="414"/>
      <c r="U98" s="414"/>
      <c r="V98" s="414"/>
      <c r="W98" s="414"/>
      <c r="X98" s="414"/>
      <c r="Y98" s="414"/>
      <c r="Z98" s="414"/>
    </row>
    <row r="99" spans="1:26" ht="13.5" customHeight="1">
      <c r="A99" s="414"/>
      <c r="B99" s="414"/>
      <c r="C99" s="414"/>
      <c r="D99" s="414"/>
      <c r="E99" s="414"/>
      <c r="F99" s="414"/>
      <c r="G99" s="414"/>
      <c r="H99" s="414"/>
      <c r="I99" s="414"/>
      <c r="J99" s="414"/>
      <c r="K99" s="414"/>
      <c r="L99" s="414"/>
      <c r="M99" s="414"/>
      <c r="N99" s="414"/>
      <c r="O99" s="414"/>
      <c r="P99" s="414"/>
      <c r="Q99" s="414"/>
      <c r="R99" s="414"/>
      <c r="S99" s="414"/>
      <c r="T99" s="414"/>
      <c r="U99" s="414"/>
      <c r="V99" s="414"/>
      <c r="W99" s="414"/>
      <c r="X99" s="414"/>
      <c r="Y99" s="414"/>
      <c r="Z99" s="414"/>
    </row>
    <row r="100" spans="1:26" ht="13.5" customHeight="1">
      <c r="A100" s="414"/>
      <c r="B100" s="414"/>
      <c r="C100" s="414"/>
      <c r="D100" s="414"/>
      <c r="E100" s="414"/>
      <c r="F100" s="414"/>
      <c r="G100" s="414"/>
      <c r="H100" s="414"/>
      <c r="I100" s="414"/>
      <c r="J100" s="414"/>
      <c r="K100" s="414"/>
      <c r="L100" s="414"/>
      <c r="M100" s="414"/>
      <c r="N100" s="414"/>
      <c r="O100" s="414"/>
      <c r="P100" s="414"/>
      <c r="Q100" s="414"/>
      <c r="R100" s="414"/>
      <c r="S100" s="414"/>
      <c r="T100" s="414"/>
      <c r="U100" s="414"/>
      <c r="V100" s="414"/>
      <c r="W100" s="414"/>
      <c r="X100" s="414"/>
      <c r="Y100" s="414"/>
      <c r="Z100" s="414"/>
    </row>
    <row r="101" spans="1:26" ht="13.5" customHeight="1">
      <c r="A101" s="414"/>
      <c r="B101" s="414"/>
      <c r="C101" s="414"/>
      <c r="D101" s="414"/>
      <c r="E101" s="414"/>
      <c r="F101" s="414"/>
      <c r="G101" s="414"/>
      <c r="H101" s="414"/>
      <c r="I101" s="414"/>
      <c r="J101" s="414"/>
      <c r="K101" s="414"/>
      <c r="L101" s="414"/>
      <c r="M101" s="414"/>
      <c r="N101" s="414"/>
      <c r="O101" s="414"/>
      <c r="P101" s="414"/>
      <c r="Q101" s="414"/>
      <c r="R101" s="414"/>
      <c r="S101" s="414"/>
      <c r="T101" s="414"/>
      <c r="U101" s="414"/>
      <c r="V101" s="414"/>
      <c r="W101" s="414"/>
      <c r="X101" s="414"/>
      <c r="Y101" s="414"/>
      <c r="Z101" s="414"/>
    </row>
    <row r="102" spans="1:26" ht="13.5" customHeight="1">
      <c r="A102" s="414"/>
      <c r="B102" s="414"/>
      <c r="C102" s="414"/>
      <c r="D102" s="414"/>
      <c r="E102" s="414"/>
      <c r="F102" s="414"/>
      <c r="G102" s="414"/>
      <c r="H102" s="414"/>
      <c r="I102" s="414"/>
      <c r="J102" s="414"/>
      <c r="K102" s="414"/>
      <c r="L102" s="414"/>
      <c r="M102" s="414"/>
      <c r="N102" s="414"/>
      <c r="O102" s="414"/>
      <c r="P102" s="414"/>
      <c r="Q102" s="414"/>
      <c r="R102" s="414"/>
      <c r="S102" s="414"/>
      <c r="T102" s="414"/>
      <c r="U102" s="414"/>
      <c r="V102" s="414"/>
      <c r="W102" s="414"/>
      <c r="X102" s="414"/>
      <c r="Y102" s="414"/>
      <c r="Z102" s="414"/>
    </row>
    <row r="103" spans="1:26" ht="13.5" customHeight="1">
      <c r="A103" s="414"/>
      <c r="B103" s="414"/>
      <c r="C103" s="414"/>
      <c r="D103" s="414"/>
      <c r="E103" s="414"/>
      <c r="F103" s="414"/>
      <c r="G103" s="414"/>
      <c r="H103" s="414"/>
      <c r="I103" s="414"/>
      <c r="J103" s="414"/>
      <c r="K103" s="414"/>
      <c r="L103" s="414"/>
      <c r="M103" s="414"/>
      <c r="N103" s="414"/>
      <c r="O103" s="414"/>
      <c r="P103" s="414"/>
      <c r="Q103" s="414"/>
      <c r="R103" s="414"/>
      <c r="S103" s="414"/>
      <c r="T103" s="414"/>
      <c r="U103" s="414"/>
      <c r="V103" s="414"/>
      <c r="W103" s="414"/>
      <c r="X103" s="414"/>
      <c r="Y103" s="414"/>
      <c r="Z103" s="414"/>
    </row>
    <row r="104" spans="1:26" ht="13.5" customHeight="1">
      <c r="A104" s="414"/>
      <c r="B104" s="414"/>
      <c r="C104" s="414"/>
      <c r="D104" s="414"/>
      <c r="E104" s="414"/>
      <c r="F104" s="414"/>
      <c r="G104" s="414"/>
      <c r="H104" s="414"/>
      <c r="I104" s="414"/>
      <c r="J104" s="414"/>
      <c r="K104" s="414"/>
      <c r="L104" s="414"/>
      <c r="M104" s="414"/>
      <c r="N104" s="414"/>
      <c r="O104" s="414"/>
      <c r="P104" s="414"/>
      <c r="Q104" s="414"/>
      <c r="R104" s="414"/>
      <c r="S104" s="414"/>
      <c r="T104" s="414"/>
      <c r="U104" s="414"/>
      <c r="V104" s="414"/>
      <c r="W104" s="414"/>
      <c r="X104" s="414"/>
      <c r="Y104" s="414"/>
      <c r="Z104" s="414"/>
    </row>
    <row r="105" spans="1:26" ht="13.5" customHeight="1">
      <c r="A105" s="414"/>
      <c r="B105" s="414"/>
      <c r="C105" s="414"/>
      <c r="D105" s="414"/>
      <c r="E105" s="414"/>
      <c r="F105" s="414"/>
      <c r="G105" s="414"/>
      <c r="H105" s="414"/>
      <c r="I105" s="414"/>
      <c r="J105" s="414"/>
      <c r="K105" s="414"/>
      <c r="L105" s="414"/>
      <c r="M105" s="414"/>
      <c r="N105" s="414"/>
      <c r="O105" s="414"/>
      <c r="P105" s="414"/>
      <c r="Q105" s="414"/>
      <c r="R105" s="414"/>
      <c r="S105" s="414"/>
      <c r="T105" s="414"/>
      <c r="U105" s="414"/>
      <c r="V105" s="414"/>
      <c r="W105" s="414"/>
      <c r="X105" s="414"/>
      <c r="Y105" s="414"/>
      <c r="Z105" s="414"/>
    </row>
    <row r="106" spans="1:26" ht="13.5" customHeight="1">
      <c r="A106" s="414"/>
      <c r="B106" s="414"/>
      <c r="C106" s="414"/>
      <c r="D106" s="414"/>
      <c r="E106" s="414"/>
      <c r="F106" s="414"/>
      <c r="G106" s="414"/>
      <c r="H106" s="414"/>
      <c r="I106" s="414"/>
      <c r="J106" s="414"/>
      <c r="K106" s="414"/>
      <c r="L106" s="414"/>
      <c r="M106" s="414"/>
      <c r="N106" s="414"/>
      <c r="O106" s="414"/>
      <c r="P106" s="414"/>
      <c r="Q106" s="414"/>
      <c r="R106" s="414"/>
      <c r="S106" s="414"/>
      <c r="T106" s="414"/>
      <c r="U106" s="414"/>
      <c r="V106" s="414"/>
      <c r="W106" s="414"/>
      <c r="X106" s="414"/>
      <c r="Y106" s="414"/>
      <c r="Z106" s="414"/>
    </row>
    <row r="107" spans="1:26" ht="13.5" customHeight="1">
      <c r="A107" s="414"/>
      <c r="B107" s="414"/>
      <c r="C107" s="414"/>
      <c r="D107" s="414"/>
      <c r="E107" s="414"/>
      <c r="F107" s="414"/>
      <c r="G107" s="414"/>
      <c r="H107" s="414"/>
      <c r="I107" s="414"/>
      <c r="J107" s="414"/>
      <c r="K107" s="414"/>
      <c r="L107" s="414"/>
      <c r="M107" s="414"/>
      <c r="N107" s="414"/>
      <c r="O107" s="414"/>
      <c r="P107" s="414"/>
      <c r="Q107" s="414"/>
      <c r="R107" s="414"/>
      <c r="S107" s="414"/>
      <c r="T107" s="414"/>
      <c r="U107" s="414"/>
      <c r="V107" s="414"/>
      <c r="W107" s="414"/>
      <c r="X107" s="414"/>
      <c r="Y107" s="414"/>
      <c r="Z107" s="414"/>
    </row>
    <row r="108" spans="1:26" ht="13.5" customHeight="1">
      <c r="A108" s="414"/>
      <c r="B108" s="414"/>
      <c r="C108" s="414"/>
      <c r="D108" s="414"/>
      <c r="E108" s="414"/>
      <c r="F108" s="414"/>
      <c r="G108" s="414"/>
      <c r="H108" s="414"/>
      <c r="I108" s="414"/>
      <c r="J108" s="414"/>
      <c r="K108" s="414"/>
      <c r="L108" s="414"/>
      <c r="M108" s="414"/>
      <c r="N108" s="414"/>
      <c r="O108" s="414"/>
      <c r="P108" s="414"/>
      <c r="Q108" s="414"/>
      <c r="R108" s="414"/>
      <c r="S108" s="414"/>
      <c r="T108" s="414"/>
      <c r="U108" s="414"/>
      <c r="V108" s="414"/>
      <c r="W108" s="414"/>
      <c r="X108" s="414"/>
      <c r="Y108" s="414"/>
      <c r="Z108" s="414"/>
    </row>
    <row r="109" spans="1:26" ht="13.5" customHeight="1">
      <c r="A109" s="414"/>
      <c r="B109" s="414"/>
      <c r="C109" s="414"/>
      <c r="D109" s="414"/>
      <c r="E109" s="414"/>
      <c r="F109" s="414"/>
      <c r="G109" s="414"/>
      <c r="H109" s="414"/>
      <c r="I109" s="414"/>
      <c r="J109" s="414"/>
      <c r="K109" s="414"/>
      <c r="L109" s="414"/>
      <c r="M109" s="414"/>
      <c r="N109" s="414"/>
      <c r="O109" s="414"/>
      <c r="P109" s="414"/>
      <c r="Q109" s="414"/>
      <c r="R109" s="414"/>
      <c r="S109" s="414"/>
      <c r="T109" s="414"/>
      <c r="U109" s="414"/>
      <c r="V109" s="414"/>
      <c r="W109" s="414"/>
      <c r="X109" s="414"/>
      <c r="Y109" s="414"/>
      <c r="Z109" s="414"/>
    </row>
    <row r="110" spans="1:26" ht="13.5" customHeight="1">
      <c r="A110" s="414"/>
      <c r="B110" s="414"/>
      <c r="C110" s="414"/>
      <c r="D110" s="414"/>
      <c r="E110" s="414"/>
      <c r="F110" s="414"/>
      <c r="G110" s="414"/>
      <c r="H110" s="414"/>
      <c r="I110" s="414"/>
      <c r="J110" s="414"/>
      <c r="K110" s="414"/>
      <c r="L110" s="414"/>
      <c r="M110" s="414"/>
      <c r="N110" s="414"/>
      <c r="O110" s="414"/>
      <c r="P110" s="414"/>
      <c r="Q110" s="414"/>
      <c r="R110" s="414"/>
      <c r="S110" s="414"/>
      <c r="T110" s="414"/>
      <c r="U110" s="414"/>
      <c r="V110" s="414"/>
      <c r="W110" s="414"/>
      <c r="X110" s="414"/>
      <c r="Y110" s="414"/>
      <c r="Z110" s="414"/>
    </row>
    <row r="111" spans="1:26" ht="13.5" customHeight="1">
      <c r="A111" s="414"/>
      <c r="B111" s="414"/>
      <c r="C111" s="414"/>
      <c r="D111" s="414"/>
      <c r="E111" s="414"/>
      <c r="F111" s="414"/>
      <c r="G111" s="414"/>
      <c r="H111" s="414"/>
      <c r="I111" s="414"/>
      <c r="J111" s="414"/>
      <c r="K111" s="414"/>
      <c r="L111" s="414"/>
      <c r="M111" s="414"/>
      <c r="N111" s="414"/>
      <c r="O111" s="414"/>
      <c r="P111" s="414"/>
      <c r="Q111" s="414"/>
      <c r="R111" s="414"/>
      <c r="S111" s="414"/>
      <c r="T111" s="414"/>
      <c r="U111" s="414"/>
      <c r="V111" s="414"/>
      <c r="W111" s="414"/>
      <c r="X111" s="414"/>
      <c r="Y111" s="414"/>
      <c r="Z111" s="414"/>
    </row>
    <row r="112" spans="1:26" ht="13.5" customHeight="1">
      <c r="A112" s="414"/>
      <c r="B112" s="414"/>
      <c r="C112" s="414"/>
      <c r="D112" s="414"/>
      <c r="E112" s="414"/>
      <c r="F112" s="414"/>
      <c r="G112" s="414"/>
      <c r="H112" s="414"/>
      <c r="I112" s="414"/>
      <c r="J112" s="414"/>
      <c r="K112" s="414"/>
      <c r="L112" s="414"/>
      <c r="M112" s="414"/>
      <c r="N112" s="414"/>
      <c r="O112" s="414"/>
      <c r="P112" s="414"/>
      <c r="Q112" s="414"/>
      <c r="R112" s="414"/>
      <c r="S112" s="414"/>
      <c r="T112" s="414"/>
      <c r="U112" s="414"/>
      <c r="V112" s="414"/>
      <c r="W112" s="414"/>
      <c r="X112" s="414"/>
      <c r="Y112" s="414"/>
      <c r="Z112" s="414"/>
    </row>
    <row r="113" spans="1:26" ht="13.5" customHeight="1">
      <c r="A113" s="414"/>
      <c r="B113" s="414"/>
      <c r="C113" s="414"/>
      <c r="D113" s="414"/>
      <c r="E113" s="414"/>
      <c r="F113" s="414"/>
      <c r="G113" s="414"/>
      <c r="H113" s="414"/>
      <c r="I113" s="414"/>
      <c r="J113" s="414"/>
      <c r="K113" s="414"/>
      <c r="L113" s="414"/>
      <c r="M113" s="414"/>
      <c r="N113" s="414"/>
      <c r="O113" s="414"/>
      <c r="P113" s="414"/>
      <c r="Q113" s="414"/>
      <c r="R113" s="414"/>
      <c r="S113" s="414"/>
      <c r="T113" s="414"/>
      <c r="U113" s="414"/>
      <c r="V113" s="414"/>
      <c r="W113" s="414"/>
      <c r="X113" s="414"/>
      <c r="Y113" s="414"/>
      <c r="Z113" s="414"/>
    </row>
    <row r="114" spans="1:26" ht="13.5" customHeight="1">
      <c r="A114" s="414"/>
      <c r="B114" s="414"/>
      <c r="C114" s="414"/>
      <c r="D114" s="414"/>
      <c r="E114" s="414"/>
      <c r="F114" s="414"/>
      <c r="G114" s="414"/>
      <c r="H114" s="414"/>
      <c r="I114" s="414"/>
      <c r="J114" s="414"/>
      <c r="K114" s="414"/>
      <c r="L114" s="414"/>
      <c r="M114" s="414"/>
      <c r="N114" s="414"/>
      <c r="O114" s="414"/>
      <c r="P114" s="414"/>
      <c r="Q114" s="414"/>
      <c r="R114" s="414"/>
      <c r="S114" s="414"/>
      <c r="T114" s="414"/>
      <c r="U114" s="414"/>
      <c r="V114" s="414"/>
      <c r="W114" s="414"/>
      <c r="X114" s="414"/>
      <c r="Y114" s="414"/>
      <c r="Z114" s="414"/>
    </row>
    <row r="115" spans="1:26" ht="13.5" customHeight="1">
      <c r="A115" s="414"/>
      <c r="B115" s="414"/>
      <c r="C115" s="414"/>
      <c r="D115" s="414"/>
      <c r="E115" s="414"/>
      <c r="F115" s="414"/>
      <c r="G115" s="414"/>
      <c r="H115" s="414"/>
      <c r="I115" s="414"/>
      <c r="J115" s="414"/>
      <c r="K115" s="414"/>
      <c r="L115" s="414"/>
      <c r="M115" s="414"/>
      <c r="N115" s="414"/>
      <c r="O115" s="414"/>
      <c r="P115" s="414"/>
      <c r="Q115" s="414"/>
      <c r="R115" s="414"/>
      <c r="S115" s="414"/>
      <c r="T115" s="414"/>
      <c r="U115" s="414"/>
      <c r="V115" s="414"/>
      <c r="W115" s="414"/>
      <c r="X115" s="414"/>
      <c r="Y115" s="414"/>
      <c r="Z115" s="414"/>
    </row>
    <row r="116" spans="1:26" ht="13.5" customHeight="1">
      <c r="A116" s="414"/>
      <c r="B116" s="414"/>
      <c r="C116" s="414"/>
      <c r="D116" s="414"/>
      <c r="E116" s="414"/>
      <c r="F116" s="414"/>
      <c r="G116" s="414"/>
      <c r="H116" s="414"/>
      <c r="I116" s="414"/>
      <c r="J116" s="414"/>
      <c r="K116" s="414"/>
      <c r="L116" s="414"/>
      <c r="M116" s="414"/>
      <c r="N116" s="414"/>
      <c r="O116" s="414"/>
      <c r="P116" s="414"/>
      <c r="Q116" s="414"/>
      <c r="R116" s="414"/>
      <c r="S116" s="414"/>
      <c r="T116" s="414"/>
      <c r="U116" s="414"/>
      <c r="V116" s="414"/>
      <c r="W116" s="414"/>
      <c r="X116" s="414"/>
      <c r="Y116" s="414"/>
      <c r="Z116" s="414"/>
    </row>
    <row r="117" spans="1:26" ht="13.5" customHeight="1">
      <c r="A117" s="414"/>
      <c r="B117" s="414"/>
      <c r="C117" s="414"/>
      <c r="D117" s="414"/>
      <c r="E117" s="414"/>
      <c r="F117" s="414"/>
      <c r="G117" s="414"/>
      <c r="H117" s="414"/>
      <c r="I117" s="414"/>
      <c r="J117" s="414"/>
      <c r="K117" s="414"/>
      <c r="L117" s="414"/>
      <c r="M117" s="414"/>
      <c r="N117" s="414"/>
      <c r="O117" s="414"/>
      <c r="P117" s="414"/>
      <c r="Q117" s="414"/>
      <c r="R117" s="414"/>
      <c r="S117" s="414"/>
      <c r="T117" s="414"/>
      <c r="U117" s="414"/>
      <c r="V117" s="414"/>
      <c r="W117" s="414"/>
      <c r="X117" s="414"/>
      <c r="Y117" s="414"/>
      <c r="Z117" s="414"/>
    </row>
    <row r="118" spans="1:26" ht="13.5" customHeight="1">
      <c r="A118" s="414"/>
      <c r="B118" s="414"/>
      <c r="C118" s="414"/>
      <c r="D118" s="414"/>
      <c r="E118" s="414"/>
      <c r="F118" s="414"/>
      <c r="G118" s="414"/>
      <c r="H118" s="414"/>
      <c r="I118" s="414"/>
      <c r="J118" s="414"/>
      <c r="K118" s="414"/>
      <c r="L118" s="414"/>
      <c r="M118" s="414"/>
      <c r="N118" s="414"/>
      <c r="O118" s="414"/>
      <c r="P118" s="414"/>
      <c r="Q118" s="414"/>
      <c r="R118" s="414"/>
      <c r="S118" s="414"/>
      <c r="T118" s="414"/>
      <c r="U118" s="414"/>
      <c r="V118" s="414"/>
      <c r="W118" s="414"/>
      <c r="X118" s="414"/>
      <c r="Y118" s="414"/>
      <c r="Z118" s="414"/>
    </row>
    <row r="119" spans="1:26" ht="13.5" customHeight="1">
      <c r="A119" s="414"/>
      <c r="B119" s="414"/>
      <c r="C119" s="414"/>
      <c r="D119" s="414"/>
      <c r="E119" s="414"/>
      <c r="F119" s="414"/>
      <c r="G119" s="414"/>
      <c r="H119" s="414"/>
      <c r="I119" s="414"/>
      <c r="J119" s="414"/>
      <c r="K119" s="414"/>
      <c r="L119" s="414"/>
      <c r="M119" s="414"/>
      <c r="N119" s="414"/>
      <c r="O119" s="414"/>
      <c r="P119" s="414"/>
      <c r="Q119" s="414"/>
      <c r="R119" s="414"/>
      <c r="S119" s="414"/>
      <c r="T119" s="414"/>
      <c r="U119" s="414"/>
      <c r="V119" s="414"/>
      <c r="W119" s="414"/>
      <c r="X119" s="414"/>
      <c r="Y119" s="414"/>
      <c r="Z119" s="414"/>
    </row>
    <row r="120" spans="1:26" ht="13.5" customHeight="1">
      <c r="A120" s="414"/>
      <c r="B120" s="414"/>
      <c r="C120" s="414"/>
      <c r="D120" s="414"/>
      <c r="E120" s="414"/>
      <c r="F120" s="414"/>
      <c r="G120" s="414"/>
      <c r="H120" s="414"/>
      <c r="I120" s="414"/>
      <c r="J120" s="414"/>
      <c r="K120" s="414"/>
      <c r="L120" s="414"/>
      <c r="M120" s="414"/>
      <c r="N120" s="414"/>
      <c r="O120" s="414"/>
      <c r="P120" s="414"/>
      <c r="Q120" s="414"/>
      <c r="R120" s="414"/>
      <c r="S120" s="414"/>
      <c r="T120" s="414"/>
      <c r="U120" s="414"/>
      <c r="V120" s="414"/>
      <c r="W120" s="414"/>
      <c r="X120" s="414"/>
      <c r="Y120" s="414"/>
      <c r="Z120" s="414"/>
    </row>
    <row r="121" spans="1:26" ht="13.5" customHeight="1">
      <c r="A121" s="414"/>
      <c r="B121" s="414"/>
      <c r="C121" s="414"/>
      <c r="D121" s="414"/>
      <c r="E121" s="414"/>
      <c r="F121" s="414"/>
      <c r="G121" s="414"/>
      <c r="H121" s="414"/>
      <c r="I121" s="414"/>
      <c r="J121" s="414"/>
      <c r="K121" s="414"/>
      <c r="L121" s="414"/>
      <c r="M121" s="414"/>
      <c r="N121" s="414"/>
      <c r="O121" s="414"/>
      <c r="P121" s="414"/>
      <c r="Q121" s="414"/>
      <c r="R121" s="414"/>
      <c r="S121" s="414"/>
      <c r="T121" s="414"/>
      <c r="U121" s="414"/>
      <c r="V121" s="414"/>
      <c r="W121" s="414"/>
      <c r="X121" s="414"/>
      <c r="Y121" s="414"/>
      <c r="Z121" s="414"/>
    </row>
    <row r="122" spans="1:26" ht="13.5" customHeight="1">
      <c r="A122" s="414"/>
      <c r="B122" s="414"/>
      <c r="C122" s="414"/>
      <c r="D122" s="414"/>
      <c r="E122" s="414"/>
      <c r="F122" s="414"/>
      <c r="G122" s="414"/>
      <c r="H122" s="414"/>
      <c r="I122" s="414"/>
      <c r="J122" s="414"/>
      <c r="K122" s="414"/>
      <c r="L122" s="414"/>
      <c r="M122" s="414"/>
      <c r="N122" s="414"/>
      <c r="O122" s="414"/>
      <c r="P122" s="414"/>
      <c r="Q122" s="414"/>
      <c r="R122" s="414"/>
      <c r="S122" s="414"/>
      <c r="T122" s="414"/>
      <c r="U122" s="414"/>
      <c r="V122" s="414"/>
      <c r="W122" s="414"/>
      <c r="X122" s="414"/>
      <c r="Y122" s="414"/>
      <c r="Z122" s="414"/>
    </row>
    <row r="123" spans="1:26" ht="13.5" customHeight="1">
      <c r="A123" s="414"/>
      <c r="B123" s="414"/>
      <c r="C123" s="414"/>
      <c r="D123" s="414"/>
      <c r="E123" s="414"/>
      <c r="F123" s="414"/>
      <c r="G123" s="414"/>
      <c r="H123" s="414"/>
      <c r="I123" s="414"/>
      <c r="J123" s="414"/>
      <c r="K123" s="414"/>
      <c r="L123" s="414"/>
      <c r="M123" s="414"/>
      <c r="N123" s="414"/>
      <c r="O123" s="414"/>
      <c r="P123" s="414"/>
      <c r="Q123" s="414"/>
      <c r="R123" s="414"/>
      <c r="S123" s="414"/>
      <c r="T123" s="414"/>
      <c r="U123" s="414"/>
      <c r="V123" s="414"/>
      <c r="W123" s="414"/>
      <c r="X123" s="414"/>
      <c r="Y123" s="414"/>
      <c r="Z123" s="414"/>
    </row>
    <row r="124" spans="1:26" ht="13.5" customHeight="1">
      <c r="A124" s="414"/>
      <c r="B124" s="414"/>
      <c r="C124" s="414"/>
      <c r="D124" s="414"/>
      <c r="E124" s="414"/>
      <c r="F124" s="414"/>
      <c r="G124" s="414"/>
      <c r="H124" s="414"/>
      <c r="I124" s="414"/>
      <c r="J124" s="414"/>
      <c r="K124" s="414"/>
      <c r="L124" s="414"/>
      <c r="M124" s="414"/>
      <c r="N124" s="414"/>
      <c r="O124" s="414"/>
      <c r="P124" s="414"/>
      <c r="Q124" s="414"/>
      <c r="R124" s="414"/>
      <c r="S124" s="414"/>
      <c r="T124" s="414"/>
      <c r="U124" s="414"/>
      <c r="V124" s="414"/>
      <c r="W124" s="414"/>
      <c r="X124" s="414"/>
      <c r="Y124" s="414"/>
      <c r="Z124" s="414"/>
    </row>
    <row r="125" spans="1:26" ht="13.5" customHeight="1">
      <c r="A125" s="414"/>
      <c r="B125" s="414"/>
      <c r="C125" s="414"/>
      <c r="D125" s="414"/>
      <c r="E125" s="414"/>
      <c r="F125" s="414"/>
      <c r="G125" s="414"/>
      <c r="H125" s="414"/>
      <c r="I125" s="414"/>
      <c r="J125" s="414"/>
      <c r="K125" s="414"/>
      <c r="L125" s="414"/>
      <c r="M125" s="414"/>
      <c r="N125" s="414"/>
      <c r="O125" s="414"/>
      <c r="P125" s="414"/>
      <c r="Q125" s="414"/>
      <c r="R125" s="414"/>
      <c r="S125" s="414"/>
      <c r="T125" s="414"/>
      <c r="U125" s="414"/>
      <c r="V125" s="414"/>
      <c r="W125" s="414"/>
      <c r="X125" s="414"/>
      <c r="Y125" s="414"/>
      <c r="Z125" s="414"/>
    </row>
    <row r="126" spans="1:26" ht="13.5" customHeight="1">
      <c r="A126" s="414"/>
      <c r="B126" s="414"/>
      <c r="C126" s="414"/>
      <c r="D126" s="414"/>
      <c r="E126" s="414"/>
      <c r="F126" s="414"/>
      <c r="G126" s="414"/>
      <c r="H126" s="414"/>
      <c r="I126" s="414"/>
      <c r="J126" s="414"/>
      <c r="K126" s="414"/>
      <c r="L126" s="414"/>
      <c r="M126" s="414"/>
      <c r="N126" s="414"/>
      <c r="O126" s="414"/>
      <c r="P126" s="414"/>
      <c r="Q126" s="414"/>
      <c r="R126" s="414"/>
      <c r="S126" s="414"/>
      <c r="T126" s="414"/>
      <c r="U126" s="414"/>
      <c r="V126" s="414"/>
      <c r="W126" s="414"/>
      <c r="X126" s="414"/>
      <c r="Y126" s="414"/>
      <c r="Z126" s="414"/>
    </row>
    <row r="127" spans="1:26" ht="13.5" customHeight="1">
      <c r="A127" s="414"/>
      <c r="B127" s="414"/>
      <c r="C127" s="414"/>
      <c r="D127" s="414"/>
      <c r="E127" s="414"/>
      <c r="F127" s="414"/>
      <c r="G127" s="414"/>
      <c r="H127" s="414"/>
      <c r="I127" s="414"/>
      <c r="J127" s="414"/>
      <c r="K127" s="414"/>
      <c r="L127" s="414"/>
      <c r="M127" s="414"/>
      <c r="N127" s="414"/>
      <c r="O127" s="414"/>
      <c r="P127" s="414"/>
      <c r="Q127" s="414"/>
      <c r="R127" s="414"/>
      <c r="S127" s="414"/>
      <c r="T127" s="414"/>
      <c r="U127" s="414"/>
      <c r="V127" s="414"/>
      <c r="W127" s="414"/>
      <c r="X127" s="414"/>
      <c r="Y127" s="414"/>
      <c r="Z127" s="414"/>
    </row>
    <row r="128" spans="1:26" ht="13.5" customHeight="1">
      <c r="A128" s="414"/>
      <c r="B128" s="414"/>
      <c r="C128" s="414"/>
      <c r="D128" s="414"/>
      <c r="E128" s="414"/>
      <c r="F128" s="414"/>
      <c r="G128" s="414"/>
      <c r="H128" s="414"/>
      <c r="I128" s="414"/>
      <c r="J128" s="414"/>
      <c r="K128" s="414"/>
      <c r="L128" s="414"/>
      <c r="M128" s="414"/>
      <c r="N128" s="414"/>
      <c r="O128" s="414"/>
      <c r="P128" s="414"/>
      <c r="Q128" s="414"/>
      <c r="R128" s="414"/>
      <c r="S128" s="414"/>
      <c r="T128" s="414"/>
      <c r="U128" s="414"/>
      <c r="V128" s="414"/>
      <c r="W128" s="414"/>
      <c r="X128" s="414"/>
      <c r="Y128" s="414"/>
      <c r="Z128" s="414"/>
    </row>
    <row r="129" spans="1:26" ht="13.5" customHeight="1">
      <c r="A129" s="414"/>
      <c r="B129" s="414"/>
      <c r="C129" s="414"/>
      <c r="D129" s="414"/>
      <c r="E129" s="414"/>
      <c r="F129" s="414"/>
      <c r="G129" s="414"/>
      <c r="H129" s="414"/>
      <c r="I129" s="414"/>
      <c r="J129" s="414"/>
      <c r="K129" s="414"/>
      <c r="L129" s="414"/>
      <c r="M129" s="414"/>
      <c r="N129" s="414"/>
      <c r="O129" s="414"/>
      <c r="P129" s="414"/>
      <c r="Q129" s="414"/>
      <c r="R129" s="414"/>
      <c r="S129" s="414"/>
      <c r="T129" s="414"/>
      <c r="U129" s="414"/>
      <c r="V129" s="414"/>
      <c r="W129" s="414"/>
      <c r="X129" s="414"/>
      <c r="Y129" s="414"/>
      <c r="Z129" s="414"/>
    </row>
    <row r="130" spans="1:26" ht="13.5" customHeight="1">
      <c r="A130" s="414"/>
      <c r="B130" s="414"/>
      <c r="C130" s="414"/>
      <c r="D130" s="414"/>
      <c r="E130" s="414"/>
      <c r="F130" s="414"/>
      <c r="G130" s="414"/>
      <c r="H130" s="414"/>
      <c r="I130" s="414"/>
      <c r="J130" s="414"/>
      <c r="K130" s="414"/>
      <c r="L130" s="414"/>
      <c r="M130" s="414"/>
      <c r="N130" s="414"/>
      <c r="O130" s="414"/>
      <c r="P130" s="414"/>
      <c r="Q130" s="414"/>
      <c r="R130" s="414"/>
      <c r="S130" s="414"/>
      <c r="T130" s="414"/>
      <c r="U130" s="414"/>
      <c r="V130" s="414"/>
      <c r="W130" s="414"/>
      <c r="X130" s="414"/>
      <c r="Y130" s="414"/>
      <c r="Z130" s="414"/>
    </row>
    <row r="131" spans="1:26" ht="13.5" customHeight="1">
      <c r="A131" s="414"/>
      <c r="B131" s="414"/>
      <c r="C131" s="414"/>
      <c r="D131" s="414"/>
      <c r="E131" s="414"/>
      <c r="F131" s="414"/>
      <c r="G131" s="414"/>
      <c r="H131" s="414"/>
      <c r="I131" s="414"/>
      <c r="J131" s="414"/>
      <c r="K131" s="414"/>
      <c r="L131" s="414"/>
      <c r="M131" s="414"/>
      <c r="N131" s="414"/>
      <c r="O131" s="414"/>
      <c r="P131" s="414"/>
      <c r="Q131" s="414"/>
      <c r="R131" s="414"/>
      <c r="S131" s="414"/>
      <c r="T131" s="414"/>
      <c r="U131" s="414"/>
      <c r="V131" s="414"/>
      <c r="W131" s="414"/>
      <c r="X131" s="414"/>
      <c r="Y131" s="414"/>
      <c r="Z131" s="414"/>
    </row>
    <row r="132" spans="1:26" ht="13.5" customHeight="1">
      <c r="A132" s="414"/>
      <c r="B132" s="414"/>
      <c r="C132" s="414"/>
      <c r="D132" s="414"/>
      <c r="E132" s="414"/>
      <c r="F132" s="414"/>
      <c r="G132" s="414"/>
      <c r="H132" s="414"/>
      <c r="I132" s="414"/>
      <c r="J132" s="414"/>
      <c r="K132" s="414"/>
      <c r="L132" s="414"/>
      <c r="M132" s="414"/>
      <c r="N132" s="414"/>
      <c r="O132" s="414"/>
      <c r="P132" s="414"/>
      <c r="Q132" s="414"/>
      <c r="R132" s="414"/>
      <c r="S132" s="414"/>
      <c r="T132" s="414"/>
      <c r="U132" s="414"/>
      <c r="V132" s="414"/>
      <c r="W132" s="414"/>
      <c r="X132" s="414"/>
      <c r="Y132" s="414"/>
      <c r="Z132" s="414"/>
    </row>
    <row r="133" spans="1:26" ht="13.5" customHeight="1">
      <c r="A133" s="414"/>
      <c r="B133" s="414"/>
      <c r="C133" s="414"/>
      <c r="D133" s="414"/>
      <c r="E133" s="414"/>
      <c r="F133" s="414"/>
      <c r="G133" s="414"/>
      <c r="H133" s="414"/>
      <c r="I133" s="414"/>
      <c r="J133" s="414"/>
      <c r="K133" s="414"/>
      <c r="L133" s="414"/>
      <c r="M133" s="414"/>
      <c r="N133" s="414"/>
      <c r="O133" s="414"/>
      <c r="P133" s="414"/>
      <c r="Q133" s="414"/>
      <c r="R133" s="414"/>
      <c r="S133" s="414"/>
      <c r="T133" s="414"/>
      <c r="U133" s="414"/>
      <c r="V133" s="414"/>
      <c r="W133" s="414"/>
      <c r="X133" s="414"/>
      <c r="Y133" s="414"/>
      <c r="Z133" s="414"/>
    </row>
    <row r="134" spans="1:26" ht="13.5" customHeight="1">
      <c r="A134" s="414"/>
      <c r="B134" s="414"/>
      <c r="C134" s="414"/>
      <c r="D134" s="414"/>
      <c r="E134" s="414"/>
      <c r="F134" s="414"/>
      <c r="G134" s="414"/>
      <c r="H134" s="414"/>
      <c r="I134" s="414"/>
      <c r="J134" s="414"/>
      <c r="K134" s="414"/>
      <c r="L134" s="414"/>
      <c r="M134" s="414"/>
      <c r="N134" s="414"/>
      <c r="O134" s="414"/>
      <c r="P134" s="414"/>
      <c r="Q134" s="414"/>
      <c r="R134" s="414"/>
      <c r="S134" s="414"/>
      <c r="T134" s="414"/>
      <c r="U134" s="414"/>
      <c r="V134" s="414"/>
      <c r="W134" s="414"/>
      <c r="X134" s="414"/>
      <c r="Y134" s="414"/>
      <c r="Z134" s="414"/>
    </row>
    <row r="135" spans="1:26" ht="13.5" customHeight="1">
      <c r="A135" s="414"/>
      <c r="B135" s="414"/>
      <c r="C135" s="414"/>
      <c r="D135" s="414"/>
      <c r="E135" s="414"/>
      <c r="F135" s="414"/>
      <c r="G135" s="414"/>
      <c r="H135" s="414"/>
      <c r="I135" s="414"/>
      <c r="J135" s="414"/>
      <c r="K135" s="414"/>
      <c r="L135" s="414"/>
      <c r="M135" s="414"/>
      <c r="N135" s="414"/>
      <c r="O135" s="414"/>
      <c r="P135" s="414"/>
      <c r="Q135" s="414"/>
      <c r="R135" s="414"/>
      <c r="S135" s="414"/>
      <c r="T135" s="414"/>
      <c r="U135" s="414"/>
      <c r="V135" s="414"/>
      <c r="W135" s="414"/>
      <c r="X135" s="414"/>
      <c r="Y135" s="414"/>
      <c r="Z135" s="414"/>
    </row>
    <row r="136" spans="1:26" ht="13.5" customHeight="1">
      <c r="A136" s="414"/>
      <c r="B136" s="414"/>
      <c r="C136" s="414"/>
      <c r="D136" s="414"/>
      <c r="E136" s="414"/>
      <c r="F136" s="414"/>
      <c r="G136" s="414"/>
      <c r="H136" s="414"/>
      <c r="I136" s="414"/>
      <c r="J136" s="414"/>
      <c r="K136" s="414"/>
      <c r="L136" s="414"/>
      <c r="M136" s="414"/>
      <c r="N136" s="414"/>
      <c r="O136" s="414"/>
      <c r="P136" s="414"/>
      <c r="Q136" s="414"/>
      <c r="R136" s="414"/>
      <c r="S136" s="414"/>
      <c r="T136" s="414"/>
      <c r="U136" s="414"/>
      <c r="V136" s="414"/>
      <c r="W136" s="414"/>
      <c r="X136" s="414"/>
      <c r="Y136" s="414"/>
      <c r="Z136" s="414"/>
    </row>
    <row r="137" spans="1:26" ht="13.5" customHeight="1">
      <c r="A137" s="414"/>
      <c r="B137" s="414"/>
      <c r="C137" s="414"/>
      <c r="D137" s="414"/>
      <c r="E137" s="414"/>
      <c r="F137" s="414"/>
      <c r="G137" s="414"/>
      <c r="H137" s="414"/>
      <c r="I137" s="414"/>
      <c r="J137" s="414"/>
      <c r="K137" s="414"/>
      <c r="L137" s="414"/>
      <c r="M137" s="414"/>
      <c r="N137" s="414"/>
      <c r="O137" s="414"/>
      <c r="P137" s="414"/>
      <c r="Q137" s="414"/>
      <c r="R137" s="414"/>
      <c r="S137" s="414"/>
      <c r="T137" s="414"/>
      <c r="U137" s="414"/>
      <c r="V137" s="414"/>
      <c r="W137" s="414"/>
      <c r="X137" s="414"/>
      <c r="Y137" s="414"/>
      <c r="Z137" s="414"/>
    </row>
    <row r="138" spans="1:26" ht="13.5" customHeight="1">
      <c r="A138" s="414"/>
      <c r="B138" s="414"/>
      <c r="C138" s="414"/>
      <c r="D138" s="414"/>
      <c r="E138" s="414"/>
      <c r="F138" s="414"/>
      <c r="G138" s="414"/>
      <c r="H138" s="414"/>
      <c r="I138" s="414"/>
      <c r="J138" s="414"/>
      <c r="K138" s="414"/>
      <c r="L138" s="414"/>
      <c r="M138" s="414"/>
      <c r="N138" s="414"/>
      <c r="O138" s="414"/>
      <c r="P138" s="414"/>
      <c r="Q138" s="414"/>
      <c r="R138" s="414"/>
      <c r="S138" s="414"/>
      <c r="T138" s="414"/>
      <c r="U138" s="414"/>
      <c r="V138" s="414"/>
      <c r="W138" s="414"/>
      <c r="X138" s="414"/>
      <c r="Y138" s="414"/>
      <c r="Z138" s="414"/>
    </row>
    <row r="139" spans="1:26" ht="13.5" customHeight="1">
      <c r="A139" s="414"/>
      <c r="B139" s="414"/>
      <c r="C139" s="414"/>
      <c r="D139" s="414"/>
      <c r="E139" s="414"/>
      <c r="F139" s="414"/>
      <c r="G139" s="414"/>
      <c r="H139" s="414"/>
      <c r="I139" s="414"/>
      <c r="J139" s="414"/>
      <c r="K139" s="414"/>
      <c r="L139" s="414"/>
      <c r="M139" s="414"/>
      <c r="N139" s="414"/>
      <c r="O139" s="414"/>
      <c r="P139" s="414"/>
      <c r="Q139" s="414"/>
      <c r="R139" s="414"/>
      <c r="S139" s="414"/>
      <c r="T139" s="414"/>
      <c r="U139" s="414"/>
      <c r="V139" s="414"/>
      <c r="W139" s="414"/>
      <c r="X139" s="414"/>
      <c r="Y139" s="414"/>
      <c r="Z139" s="414"/>
    </row>
    <row r="140" spans="1:26" ht="13.5" customHeight="1">
      <c r="A140" s="414"/>
      <c r="B140" s="414"/>
      <c r="C140" s="414"/>
      <c r="D140" s="414"/>
      <c r="E140" s="414"/>
      <c r="F140" s="414"/>
      <c r="G140" s="414"/>
      <c r="H140" s="414"/>
      <c r="I140" s="414"/>
      <c r="J140" s="414"/>
      <c r="K140" s="414"/>
      <c r="L140" s="414"/>
      <c r="M140" s="414"/>
      <c r="N140" s="414"/>
      <c r="O140" s="414"/>
      <c r="P140" s="414"/>
      <c r="Q140" s="414"/>
      <c r="R140" s="414"/>
      <c r="S140" s="414"/>
      <c r="T140" s="414"/>
      <c r="U140" s="414"/>
      <c r="V140" s="414"/>
      <c r="W140" s="414"/>
      <c r="X140" s="414"/>
      <c r="Y140" s="414"/>
      <c r="Z140" s="414"/>
    </row>
    <row r="141" spans="1:26" ht="13.5" customHeight="1">
      <c r="A141" s="414"/>
      <c r="B141" s="414"/>
      <c r="C141" s="414"/>
      <c r="D141" s="414"/>
      <c r="E141" s="414"/>
      <c r="F141" s="414"/>
      <c r="G141" s="414"/>
      <c r="H141" s="414"/>
      <c r="I141" s="414"/>
      <c r="J141" s="414"/>
      <c r="K141" s="414"/>
      <c r="L141" s="414"/>
      <c r="M141" s="414"/>
      <c r="N141" s="414"/>
      <c r="O141" s="414"/>
      <c r="P141" s="414"/>
      <c r="Q141" s="414"/>
      <c r="R141" s="414"/>
      <c r="S141" s="414"/>
      <c r="T141" s="414"/>
      <c r="U141" s="414"/>
      <c r="V141" s="414"/>
      <c r="W141" s="414"/>
      <c r="X141" s="414"/>
      <c r="Y141" s="414"/>
      <c r="Z141" s="414"/>
    </row>
    <row r="142" spans="1:26" ht="13.5" customHeight="1">
      <c r="A142" s="414"/>
      <c r="B142" s="414"/>
      <c r="C142" s="414"/>
      <c r="D142" s="414"/>
      <c r="E142" s="414"/>
      <c r="F142" s="414"/>
      <c r="G142" s="414"/>
      <c r="H142" s="414"/>
      <c r="I142" s="414"/>
      <c r="J142" s="414"/>
      <c r="K142" s="414"/>
      <c r="L142" s="414"/>
      <c r="M142" s="414"/>
      <c r="N142" s="414"/>
      <c r="O142" s="414"/>
      <c r="P142" s="414"/>
      <c r="Q142" s="414"/>
      <c r="R142" s="414"/>
      <c r="S142" s="414"/>
      <c r="T142" s="414"/>
      <c r="U142" s="414"/>
      <c r="V142" s="414"/>
      <c r="W142" s="414"/>
      <c r="X142" s="414"/>
      <c r="Y142" s="414"/>
      <c r="Z142" s="414"/>
    </row>
    <row r="143" spans="1:26" ht="13.5" customHeight="1">
      <c r="A143" s="414"/>
      <c r="B143" s="414"/>
      <c r="C143" s="414"/>
      <c r="D143" s="414"/>
      <c r="E143" s="414"/>
      <c r="F143" s="414"/>
      <c r="G143" s="414"/>
      <c r="H143" s="414"/>
      <c r="I143" s="414"/>
      <c r="J143" s="414"/>
      <c r="K143" s="414"/>
      <c r="L143" s="414"/>
      <c r="M143" s="414"/>
      <c r="N143" s="414"/>
      <c r="O143" s="414"/>
      <c r="P143" s="414"/>
      <c r="Q143" s="414"/>
      <c r="R143" s="414"/>
      <c r="S143" s="414"/>
      <c r="T143" s="414"/>
      <c r="U143" s="414"/>
      <c r="V143" s="414"/>
      <c r="W143" s="414"/>
      <c r="X143" s="414"/>
      <c r="Y143" s="414"/>
      <c r="Z143" s="414"/>
    </row>
    <row r="144" spans="1:26" ht="13.5" customHeight="1">
      <c r="A144" s="414"/>
      <c r="B144" s="414"/>
      <c r="C144" s="414"/>
      <c r="D144" s="414"/>
      <c r="E144" s="414"/>
      <c r="F144" s="414"/>
      <c r="G144" s="414"/>
      <c r="H144" s="414"/>
      <c r="I144" s="414"/>
      <c r="J144" s="414"/>
      <c r="K144" s="414"/>
      <c r="L144" s="414"/>
      <c r="M144" s="414"/>
      <c r="N144" s="414"/>
      <c r="O144" s="414"/>
      <c r="P144" s="414"/>
      <c r="Q144" s="414"/>
      <c r="R144" s="414"/>
      <c r="S144" s="414"/>
      <c r="T144" s="414"/>
      <c r="U144" s="414"/>
      <c r="V144" s="414"/>
      <c r="W144" s="414"/>
      <c r="X144" s="414"/>
      <c r="Y144" s="414"/>
      <c r="Z144" s="414"/>
    </row>
    <row r="145" spans="1:26" ht="13.5" customHeight="1">
      <c r="A145" s="414"/>
      <c r="B145" s="414"/>
      <c r="C145" s="414"/>
      <c r="D145" s="414"/>
      <c r="E145" s="414"/>
      <c r="F145" s="414"/>
      <c r="G145" s="414"/>
      <c r="H145" s="414"/>
      <c r="I145" s="414"/>
      <c r="J145" s="414"/>
      <c r="K145" s="414"/>
      <c r="L145" s="414"/>
      <c r="M145" s="414"/>
      <c r="N145" s="414"/>
      <c r="O145" s="414"/>
      <c r="P145" s="414"/>
      <c r="Q145" s="414"/>
      <c r="R145" s="414"/>
      <c r="S145" s="414"/>
      <c r="T145" s="414"/>
      <c r="U145" s="414"/>
      <c r="V145" s="414"/>
      <c r="W145" s="414"/>
      <c r="X145" s="414"/>
      <c r="Y145" s="414"/>
      <c r="Z145" s="414"/>
    </row>
    <row r="146" spans="1:26" ht="13.5" customHeight="1">
      <c r="A146" s="414"/>
      <c r="B146" s="414"/>
      <c r="C146" s="414"/>
      <c r="D146" s="414"/>
      <c r="E146" s="414"/>
      <c r="F146" s="414"/>
      <c r="G146" s="414"/>
      <c r="H146" s="414"/>
      <c r="I146" s="414"/>
      <c r="J146" s="414"/>
      <c r="K146" s="414"/>
      <c r="L146" s="414"/>
      <c r="M146" s="414"/>
      <c r="N146" s="414"/>
      <c r="O146" s="414"/>
      <c r="P146" s="414"/>
      <c r="Q146" s="414"/>
      <c r="R146" s="414"/>
      <c r="S146" s="414"/>
      <c r="T146" s="414"/>
      <c r="U146" s="414"/>
      <c r="V146" s="414"/>
      <c r="W146" s="414"/>
      <c r="X146" s="414"/>
      <c r="Y146" s="414"/>
      <c r="Z146" s="414"/>
    </row>
    <row r="147" spans="1:26" ht="13.5" customHeight="1">
      <c r="A147" s="414"/>
      <c r="B147" s="414"/>
      <c r="C147" s="414"/>
      <c r="D147" s="414"/>
      <c r="E147" s="414"/>
      <c r="F147" s="414"/>
      <c r="G147" s="414"/>
      <c r="H147" s="414"/>
      <c r="I147" s="414"/>
      <c r="J147" s="414"/>
      <c r="K147" s="414"/>
      <c r="L147" s="414"/>
      <c r="M147" s="414"/>
      <c r="N147" s="414"/>
      <c r="O147" s="414"/>
      <c r="P147" s="414"/>
      <c r="Q147" s="414"/>
      <c r="R147" s="414"/>
      <c r="S147" s="414"/>
      <c r="T147" s="414"/>
      <c r="U147" s="414"/>
      <c r="V147" s="414"/>
      <c r="W147" s="414"/>
      <c r="X147" s="414"/>
      <c r="Y147" s="414"/>
      <c r="Z147" s="414"/>
    </row>
    <row r="148" spans="1:26" ht="13.5" customHeight="1">
      <c r="A148" s="414"/>
      <c r="B148" s="414"/>
      <c r="C148" s="414"/>
      <c r="D148" s="414"/>
      <c r="E148" s="414"/>
      <c r="F148" s="414"/>
      <c r="G148" s="414"/>
      <c r="H148" s="414"/>
      <c r="I148" s="414"/>
      <c r="J148" s="414"/>
      <c r="K148" s="414"/>
      <c r="L148" s="414"/>
      <c r="M148" s="414"/>
      <c r="N148" s="414"/>
      <c r="O148" s="414"/>
      <c r="P148" s="414"/>
      <c r="Q148" s="414"/>
      <c r="R148" s="414"/>
      <c r="S148" s="414"/>
      <c r="T148" s="414"/>
      <c r="U148" s="414"/>
      <c r="V148" s="414"/>
      <c r="W148" s="414"/>
      <c r="X148" s="414"/>
      <c r="Y148" s="414"/>
      <c r="Z148" s="414"/>
    </row>
    <row r="149" spans="1:26" ht="13.5" customHeight="1">
      <c r="A149" s="414"/>
      <c r="B149" s="414"/>
      <c r="C149" s="414"/>
      <c r="D149" s="414"/>
      <c r="E149" s="414"/>
      <c r="F149" s="414"/>
      <c r="G149" s="414"/>
      <c r="H149" s="414"/>
      <c r="I149" s="414"/>
      <c r="J149" s="414"/>
      <c r="K149" s="414"/>
      <c r="L149" s="414"/>
      <c r="M149" s="414"/>
      <c r="N149" s="414"/>
      <c r="O149" s="414"/>
      <c r="P149" s="414"/>
      <c r="Q149" s="414"/>
      <c r="R149" s="414"/>
      <c r="S149" s="414"/>
      <c r="T149" s="414"/>
      <c r="U149" s="414"/>
      <c r="V149" s="414"/>
      <c r="W149" s="414"/>
      <c r="X149" s="414"/>
      <c r="Y149" s="414"/>
      <c r="Z149" s="414"/>
    </row>
    <row r="150" spans="1:26" ht="13.5" customHeight="1">
      <c r="A150" s="414"/>
      <c r="B150" s="414"/>
      <c r="C150" s="414"/>
      <c r="D150" s="414"/>
      <c r="E150" s="414"/>
      <c r="F150" s="414"/>
      <c r="G150" s="414"/>
      <c r="H150" s="414"/>
      <c r="I150" s="414"/>
      <c r="J150" s="414"/>
      <c r="K150" s="414"/>
      <c r="L150" s="414"/>
      <c r="M150" s="414"/>
      <c r="N150" s="414"/>
      <c r="O150" s="414"/>
      <c r="P150" s="414"/>
      <c r="Q150" s="414"/>
      <c r="R150" s="414"/>
      <c r="S150" s="414"/>
      <c r="T150" s="414"/>
      <c r="U150" s="414"/>
      <c r="V150" s="414"/>
      <c r="W150" s="414"/>
      <c r="X150" s="414"/>
      <c r="Y150" s="414"/>
      <c r="Z150" s="414"/>
    </row>
    <row r="151" spans="1:26" ht="13.5" customHeight="1">
      <c r="A151" s="414"/>
      <c r="B151" s="414"/>
      <c r="C151" s="414"/>
      <c r="D151" s="414"/>
      <c r="E151" s="414"/>
      <c r="F151" s="414"/>
      <c r="G151" s="414"/>
      <c r="H151" s="414"/>
      <c r="I151" s="414"/>
      <c r="J151" s="414"/>
      <c r="K151" s="414"/>
      <c r="L151" s="414"/>
      <c r="M151" s="414"/>
      <c r="N151" s="414"/>
      <c r="O151" s="414"/>
      <c r="P151" s="414"/>
      <c r="Q151" s="414"/>
      <c r="R151" s="414"/>
      <c r="S151" s="414"/>
      <c r="T151" s="414"/>
      <c r="U151" s="414"/>
      <c r="V151" s="414"/>
      <c r="W151" s="414"/>
      <c r="X151" s="414"/>
      <c r="Y151" s="414"/>
      <c r="Z151" s="414"/>
    </row>
    <row r="152" spans="1:26" ht="13.5" customHeight="1">
      <c r="A152" s="414"/>
      <c r="B152" s="414"/>
      <c r="C152" s="414"/>
      <c r="D152" s="414"/>
      <c r="E152" s="414"/>
      <c r="F152" s="414"/>
      <c r="G152" s="414"/>
      <c r="H152" s="414"/>
      <c r="I152" s="414"/>
      <c r="J152" s="414"/>
      <c r="K152" s="414"/>
      <c r="L152" s="414"/>
      <c r="M152" s="414"/>
      <c r="N152" s="414"/>
      <c r="O152" s="414"/>
      <c r="P152" s="414"/>
      <c r="Q152" s="414"/>
      <c r="R152" s="414"/>
      <c r="S152" s="414"/>
      <c r="T152" s="414"/>
      <c r="U152" s="414"/>
      <c r="V152" s="414"/>
      <c r="W152" s="414"/>
      <c r="X152" s="414"/>
      <c r="Y152" s="414"/>
      <c r="Z152" s="414"/>
    </row>
    <row r="153" spans="1:26" ht="13.5" customHeight="1">
      <c r="A153" s="414"/>
      <c r="B153" s="414"/>
      <c r="C153" s="414"/>
      <c r="D153" s="414"/>
      <c r="E153" s="414"/>
      <c r="F153" s="414"/>
      <c r="G153" s="414"/>
      <c r="H153" s="414"/>
      <c r="I153" s="414"/>
      <c r="J153" s="414"/>
      <c r="K153" s="414"/>
      <c r="L153" s="414"/>
      <c r="M153" s="414"/>
      <c r="N153" s="414"/>
      <c r="O153" s="414"/>
      <c r="P153" s="414"/>
      <c r="Q153" s="414"/>
      <c r="R153" s="414"/>
      <c r="S153" s="414"/>
      <c r="T153" s="414"/>
      <c r="U153" s="414"/>
      <c r="V153" s="414"/>
      <c r="W153" s="414"/>
      <c r="X153" s="414"/>
      <c r="Y153" s="414"/>
      <c r="Z153" s="414"/>
    </row>
    <row r="154" spans="1:26" ht="13.5" customHeight="1">
      <c r="A154" s="414"/>
      <c r="B154" s="414"/>
      <c r="C154" s="414"/>
      <c r="D154" s="414"/>
      <c r="E154" s="414"/>
      <c r="F154" s="414"/>
      <c r="G154" s="414"/>
      <c r="H154" s="414"/>
      <c r="I154" s="414"/>
      <c r="J154" s="414"/>
      <c r="K154" s="414"/>
      <c r="L154" s="414"/>
      <c r="M154" s="414"/>
      <c r="N154" s="414"/>
      <c r="O154" s="414"/>
      <c r="P154" s="414"/>
      <c r="Q154" s="414"/>
      <c r="R154" s="414"/>
      <c r="S154" s="414"/>
      <c r="T154" s="414"/>
      <c r="U154" s="414"/>
      <c r="V154" s="414"/>
      <c r="W154" s="414"/>
      <c r="X154" s="414"/>
      <c r="Y154" s="414"/>
      <c r="Z154" s="414"/>
    </row>
    <row r="155" spans="1:26" ht="13.5" customHeight="1">
      <c r="A155" s="414"/>
      <c r="B155" s="414"/>
      <c r="C155" s="414"/>
      <c r="D155" s="414"/>
      <c r="E155" s="414"/>
      <c r="F155" s="414"/>
      <c r="G155" s="414"/>
      <c r="H155" s="414"/>
      <c r="I155" s="414"/>
      <c r="J155" s="414"/>
      <c r="K155" s="414"/>
      <c r="L155" s="414"/>
      <c r="M155" s="414"/>
      <c r="N155" s="414"/>
      <c r="O155" s="414"/>
      <c r="P155" s="414"/>
      <c r="Q155" s="414"/>
      <c r="R155" s="414"/>
      <c r="S155" s="414"/>
      <c r="T155" s="414"/>
      <c r="U155" s="414"/>
      <c r="V155" s="414"/>
      <c r="W155" s="414"/>
      <c r="X155" s="414"/>
      <c r="Y155" s="414"/>
      <c r="Z155" s="414"/>
    </row>
    <row r="156" spans="1:26" ht="13.5" customHeight="1">
      <c r="A156" s="414"/>
      <c r="B156" s="414"/>
      <c r="C156" s="414"/>
      <c r="D156" s="414"/>
      <c r="E156" s="414"/>
      <c r="F156" s="414"/>
      <c r="G156" s="414"/>
      <c r="H156" s="414"/>
      <c r="I156" s="414"/>
      <c r="J156" s="414"/>
      <c r="K156" s="414"/>
      <c r="L156" s="414"/>
      <c r="M156" s="414"/>
      <c r="N156" s="414"/>
      <c r="O156" s="414"/>
      <c r="P156" s="414"/>
      <c r="Q156" s="414"/>
      <c r="R156" s="414"/>
      <c r="S156" s="414"/>
      <c r="T156" s="414"/>
      <c r="U156" s="414"/>
      <c r="V156" s="414"/>
      <c r="W156" s="414"/>
      <c r="X156" s="414"/>
      <c r="Y156" s="414"/>
      <c r="Z156" s="414"/>
    </row>
    <row r="157" spans="1:26" ht="13.5" customHeight="1">
      <c r="A157" s="414"/>
      <c r="B157" s="414"/>
      <c r="C157" s="414"/>
      <c r="D157" s="414"/>
      <c r="E157" s="414"/>
      <c r="F157" s="414"/>
      <c r="G157" s="414"/>
      <c r="H157" s="414"/>
      <c r="I157" s="414"/>
      <c r="J157" s="414"/>
      <c r="K157" s="414"/>
      <c r="L157" s="414"/>
      <c r="M157" s="414"/>
      <c r="N157" s="414"/>
      <c r="O157" s="414"/>
      <c r="P157" s="414"/>
      <c r="Q157" s="414"/>
      <c r="R157" s="414"/>
      <c r="S157" s="414"/>
      <c r="T157" s="414"/>
      <c r="U157" s="414"/>
      <c r="V157" s="414"/>
      <c r="W157" s="414"/>
      <c r="X157" s="414"/>
      <c r="Y157" s="414"/>
      <c r="Z157" s="414"/>
    </row>
    <row r="158" spans="1:26" ht="13.5" customHeight="1">
      <c r="A158" s="414"/>
      <c r="B158" s="414"/>
      <c r="C158" s="414"/>
      <c r="D158" s="414"/>
      <c r="E158" s="414"/>
      <c r="F158" s="414"/>
      <c r="G158" s="414"/>
      <c r="H158" s="414"/>
      <c r="I158" s="414"/>
      <c r="J158" s="414"/>
      <c r="K158" s="414"/>
      <c r="L158" s="414"/>
      <c r="M158" s="414"/>
      <c r="N158" s="414"/>
      <c r="O158" s="414"/>
      <c r="P158" s="414"/>
      <c r="Q158" s="414"/>
      <c r="R158" s="414"/>
      <c r="S158" s="414"/>
      <c r="T158" s="414"/>
      <c r="U158" s="414"/>
      <c r="V158" s="414"/>
      <c r="W158" s="414"/>
      <c r="X158" s="414"/>
      <c r="Y158" s="414"/>
      <c r="Z158" s="414"/>
    </row>
    <row r="159" spans="1:26" ht="13.5" customHeight="1">
      <c r="A159" s="414"/>
      <c r="B159" s="414"/>
      <c r="C159" s="414"/>
      <c r="D159" s="414"/>
      <c r="E159" s="414"/>
      <c r="F159" s="414"/>
      <c r="G159" s="414"/>
      <c r="H159" s="414"/>
      <c r="I159" s="414"/>
      <c r="J159" s="414"/>
      <c r="K159" s="414"/>
      <c r="L159" s="414"/>
      <c r="M159" s="414"/>
      <c r="N159" s="414"/>
      <c r="O159" s="414"/>
      <c r="P159" s="414"/>
      <c r="Q159" s="414"/>
      <c r="R159" s="414"/>
      <c r="S159" s="414"/>
      <c r="T159" s="414"/>
      <c r="U159" s="414"/>
      <c r="V159" s="414"/>
      <c r="W159" s="414"/>
      <c r="X159" s="414"/>
      <c r="Y159" s="414"/>
      <c r="Z159" s="414"/>
    </row>
    <row r="160" spans="1:26" ht="13.5" customHeight="1">
      <c r="A160" s="414"/>
      <c r="B160" s="414"/>
      <c r="C160" s="414"/>
      <c r="D160" s="414"/>
      <c r="E160" s="414"/>
      <c r="F160" s="414"/>
      <c r="G160" s="414"/>
      <c r="H160" s="414"/>
      <c r="I160" s="414"/>
      <c r="J160" s="414"/>
      <c r="K160" s="414"/>
      <c r="L160" s="414"/>
      <c r="M160" s="414"/>
      <c r="N160" s="414"/>
      <c r="O160" s="414"/>
      <c r="P160" s="414"/>
      <c r="Q160" s="414"/>
      <c r="R160" s="414"/>
      <c r="S160" s="414"/>
      <c r="T160" s="414"/>
      <c r="U160" s="414"/>
      <c r="V160" s="414"/>
      <c r="W160" s="414"/>
      <c r="X160" s="414"/>
      <c r="Y160" s="414"/>
      <c r="Z160" s="414"/>
    </row>
    <row r="161" spans="1:26" ht="13.5" customHeight="1">
      <c r="A161" s="414"/>
      <c r="B161" s="414"/>
      <c r="C161" s="414"/>
      <c r="D161" s="414"/>
      <c r="E161" s="414"/>
      <c r="F161" s="414"/>
      <c r="G161" s="414"/>
      <c r="H161" s="414"/>
      <c r="I161" s="414"/>
      <c r="J161" s="414"/>
      <c r="K161" s="414"/>
      <c r="L161" s="414"/>
      <c r="M161" s="414"/>
      <c r="N161" s="414"/>
      <c r="O161" s="414"/>
      <c r="P161" s="414"/>
      <c r="Q161" s="414"/>
      <c r="R161" s="414"/>
      <c r="S161" s="414"/>
      <c r="T161" s="414"/>
      <c r="U161" s="414"/>
      <c r="V161" s="414"/>
      <c r="W161" s="414"/>
      <c r="X161" s="414"/>
      <c r="Y161" s="414"/>
      <c r="Z161" s="414"/>
    </row>
    <row r="162" spans="1:26" ht="13.5" customHeight="1">
      <c r="A162" s="414"/>
      <c r="B162" s="414"/>
      <c r="C162" s="414"/>
      <c r="D162" s="414"/>
      <c r="E162" s="414"/>
      <c r="F162" s="414"/>
      <c r="G162" s="414"/>
      <c r="H162" s="414"/>
      <c r="I162" s="414"/>
      <c r="J162" s="414"/>
      <c r="K162" s="414"/>
      <c r="L162" s="414"/>
      <c r="M162" s="414"/>
      <c r="N162" s="414"/>
      <c r="O162" s="414"/>
      <c r="P162" s="414"/>
      <c r="Q162" s="414"/>
      <c r="R162" s="414"/>
      <c r="S162" s="414"/>
      <c r="T162" s="414"/>
      <c r="U162" s="414"/>
      <c r="V162" s="414"/>
      <c r="W162" s="414"/>
      <c r="X162" s="414"/>
      <c r="Y162" s="414"/>
      <c r="Z162" s="414"/>
    </row>
    <row r="163" spans="1:26" ht="13.5" customHeight="1">
      <c r="A163" s="414"/>
      <c r="B163" s="414"/>
      <c r="C163" s="414"/>
      <c r="D163" s="414"/>
      <c r="E163" s="414"/>
      <c r="F163" s="414"/>
      <c r="G163" s="414"/>
      <c r="H163" s="414"/>
      <c r="I163" s="414"/>
      <c r="J163" s="414"/>
      <c r="K163" s="414"/>
      <c r="L163" s="414"/>
      <c r="M163" s="414"/>
      <c r="N163" s="414"/>
      <c r="O163" s="414"/>
      <c r="P163" s="414"/>
      <c r="Q163" s="414"/>
      <c r="R163" s="414"/>
      <c r="S163" s="414"/>
      <c r="T163" s="414"/>
      <c r="U163" s="414"/>
      <c r="V163" s="414"/>
      <c r="W163" s="414"/>
      <c r="X163" s="414"/>
      <c r="Y163" s="414"/>
      <c r="Z163" s="414"/>
    </row>
    <row r="164" spans="1:26" ht="13.5" customHeight="1">
      <c r="A164" s="414"/>
      <c r="B164" s="414"/>
      <c r="C164" s="414"/>
      <c r="D164" s="414"/>
      <c r="E164" s="414"/>
      <c r="F164" s="414"/>
      <c r="G164" s="414"/>
      <c r="H164" s="414"/>
      <c r="I164" s="414"/>
      <c r="J164" s="414"/>
      <c r="K164" s="414"/>
      <c r="L164" s="414"/>
      <c r="M164" s="414"/>
      <c r="N164" s="414"/>
      <c r="O164" s="414"/>
      <c r="P164" s="414"/>
      <c r="Q164" s="414"/>
      <c r="R164" s="414"/>
      <c r="S164" s="414"/>
      <c r="T164" s="414"/>
      <c r="U164" s="414"/>
      <c r="V164" s="414"/>
      <c r="W164" s="414"/>
      <c r="X164" s="414"/>
      <c r="Y164" s="414"/>
      <c r="Z164" s="414"/>
    </row>
    <row r="165" spans="1:26" ht="13.5" customHeight="1">
      <c r="A165" s="414"/>
      <c r="B165" s="414"/>
      <c r="C165" s="414"/>
      <c r="D165" s="414"/>
      <c r="E165" s="414"/>
      <c r="F165" s="414"/>
      <c r="G165" s="414"/>
      <c r="H165" s="414"/>
      <c r="I165" s="414"/>
      <c r="J165" s="414"/>
      <c r="K165" s="414"/>
      <c r="L165" s="414"/>
      <c r="M165" s="414"/>
      <c r="N165" s="414"/>
      <c r="O165" s="414"/>
      <c r="P165" s="414"/>
      <c r="Q165" s="414"/>
      <c r="R165" s="414"/>
      <c r="S165" s="414"/>
      <c r="T165" s="414"/>
      <c r="U165" s="414"/>
      <c r="V165" s="414"/>
      <c r="W165" s="414"/>
      <c r="X165" s="414"/>
      <c r="Y165" s="414"/>
      <c r="Z165" s="414"/>
    </row>
    <row r="166" spans="1:26" ht="13.5" customHeight="1">
      <c r="A166" s="414"/>
      <c r="B166" s="414"/>
      <c r="C166" s="414"/>
      <c r="D166" s="414"/>
      <c r="E166" s="414"/>
      <c r="F166" s="414"/>
      <c r="G166" s="414"/>
      <c r="H166" s="414"/>
      <c r="I166" s="414"/>
      <c r="J166" s="414"/>
      <c r="K166" s="414"/>
      <c r="L166" s="414"/>
      <c r="M166" s="414"/>
      <c r="N166" s="414"/>
      <c r="O166" s="414"/>
      <c r="P166" s="414"/>
      <c r="Q166" s="414"/>
      <c r="R166" s="414"/>
      <c r="S166" s="414"/>
      <c r="T166" s="414"/>
      <c r="U166" s="414"/>
      <c r="V166" s="414"/>
      <c r="W166" s="414"/>
      <c r="X166" s="414"/>
      <c r="Y166" s="414"/>
      <c r="Z166" s="414"/>
    </row>
    <row r="167" spans="1:26" ht="13.5" customHeight="1">
      <c r="A167" s="414"/>
      <c r="B167" s="414"/>
      <c r="C167" s="414"/>
      <c r="D167" s="414"/>
      <c r="E167" s="414"/>
      <c r="F167" s="414"/>
      <c r="G167" s="414"/>
      <c r="H167" s="414"/>
      <c r="I167" s="414"/>
      <c r="J167" s="414"/>
      <c r="K167" s="414"/>
      <c r="L167" s="414"/>
      <c r="M167" s="414"/>
      <c r="N167" s="414"/>
      <c r="O167" s="414"/>
      <c r="P167" s="414"/>
      <c r="Q167" s="414"/>
      <c r="R167" s="414"/>
      <c r="S167" s="414"/>
      <c r="T167" s="414"/>
      <c r="U167" s="414"/>
      <c r="V167" s="414"/>
      <c r="W167" s="414"/>
      <c r="X167" s="414"/>
      <c r="Y167" s="414"/>
      <c r="Z167" s="414"/>
    </row>
    <row r="168" spans="1:26" ht="13.5" customHeight="1">
      <c r="A168" s="414"/>
      <c r="B168" s="414"/>
      <c r="C168" s="414"/>
      <c r="D168" s="414"/>
      <c r="E168" s="414"/>
      <c r="F168" s="414"/>
      <c r="G168" s="414"/>
      <c r="H168" s="414"/>
      <c r="I168" s="414"/>
      <c r="J168" s="414"/>
      <c r="K168" s="414"/>
      <c r="L168" s="414"/>
      <c r="M168" s="414"/>
      <c r="N168" s="414"/>
      <c r="O168" s="414"/>
      <c r="P168" s="414"/>
      <c r="Q168" s="414"/>
      <c r="R168" s="414"/>
      <c r="S168" s="414"/>
      <c r="T168" s="414"/>
      <c r="U168" s="414"/>
      <c r="V168" s="414"/>
      <c r="W168" s="414"/>
      <c r="X168" s="414"/>
      <c r="Y168" s="414"/>
      <c r="Z168" s="414"/>
    </row>
    <row r="169" spans="1:26" ht="13.5" customHeight="1">
      <c r="A169" s="414"/>
      <c r="B169" s="414"/>
      <c r="C169" s="414"/>
      <c r="D169" s="414"/>
      <c r="E169" s="414"/>
      <c r="F169" s="414"/>
      <c r="G169" s="414"/>
      <c r="H169" s="414"/>
      <c r="I169" s="414"/>
      <c r="J169" s="414"/>
      <c r="K169" s="414"/>
      <c r="L169" s="414"/>
      <c r="M169" s="414"/>
      <c r="N169" s="414"/>
      <c r="O169" s="414"/>
      <c r="P169" s="414"/>
      <c r="Q169" s="414"/>
      <c r="R169" s="414"/>
      <c r="S169" s="414"/>
      <c r="T169" s="414"/>
      <c r="U169" s="414"/>
      <c r="V169" s="414"/>
      <c r="W169" s="414"/>
      <c r="X169" s="414"/>
      <c r="Y169" s="414"/>
      <c r="Z169" s="414"/>
    </row>
    <row r="170" spans="1:26" ht="13.5" customHeight="1">
      <c r="A170" s="414"/>
      <c r="B170" s="414"/>
      <c r="C170" s="414"/>
      <c r="D170" s="414"/>
      <c r="E170" s="414"/>
      <c r="F170" s="414"/>
      <c r="G170" s="414"/>
      <c r="H170" s="414"/>
      <c r="I170" s="414"/>
      <c r="J170" s="414"/>
      <c r="K170" s="414"/>
      <c r="L170" s="414"/>
      <c r="M170" s="414"/>
      <c r="N170" s="414"/>
      <c r="O170" s="414"/>
      <c r="P170" s="414"/>
      <c r="Q170" s="414"/>
      <c r="R170" s="414"/>
      <c r="S170" s="414"/>
      <c r="T170" s="414"/>
      <c r="U170" s="414"/>
      <c r="V170" s="414"/>
      <c r="W170" s="414"/>
      <c r="X170" s="414"/>
      <c r="Y170" s="414"/>
      <c r="Z170" s="414"/>
    </row>
    <row r="171" spans="1:26" ht="13.5" customHeight="1">
      <c r="A171" s="414"/>
      <c r="B171" s="414"/>
      <c r="C171" s="414"/>
      <c r="D171" s="414"/>
      <c r="E171" s="414"/>
      <c r="F171" s="414"/>
      <c r="G171" s="414"/>
      <c r="H171" s="414"/>
      <c r="I171" s="414"/>
      <c r="J171" s="414"/>
      <c r="K171" s="414"/>
      <c r="L171" s="414"/>
      <c r="M171" s="414"/>
      <c r="N171" s="414"/>
      <c r="O171" s="414"/>
      <c r="P171" s="414"/>
      <c r="Q171" s="414"/>
      <c r="R171" s="414"/>
      <c r="S171" s="414"/>
      <c r="T171" s="414"/>
      <c r="U171" s="414"/>
      <c r="V171" s="414"/>
      <c r="W171" s="414"/>
      <c r="X171" s="414"/>
      <c r="Y171" s="414"/>
      <c r="Z171" s="414"/>
    </row>
    <row r="172" spans="1:26" ht="13.5" customHeight="1">
      <c r="A172" s="414"/>
      <c r="B172" s="414"/>
      <c r="C172" s="414"/>
      <c r="D172" s="414"/>
      <c r="E172" s="414"/>
      <c r="F172" s="414"/>
      <c r="G172" s="414"/>
      <c r="H172" s="414"/>
      <c r="I172" s="414"/>
      <c r="J172" s="414"/>
      <c r="K172" s="414"/>
      <c r="L172" s="414"/>
      <c r="M172" s="414"/>
      <c r="N172" s="414"/>
      <c r="O172" s="414"/>
      <c r="P172" s="414"/>
      <c r="Q172" s="414"/>
      <c r="R172" s="414"/>
      <c r="S172" s="414"/>
      <c r="T172" s="414"/>
      <c r="U172" s="414"/>
      <c r="V172" s="414"/>
      <c r="W172" s="414"/>
      <c r="X172" s="414"/>
      <c r="Y172" s="414"/>
      <c r="Z172" s="414"/>
    </row>
    <row r="173" spans="1:26" ht="13.5" customHeight="1">
      <c r="A173" s="414"/>
      <c r="B173" s="414"/>
      <c r="C173" s="414"/>
      <c r="D173" s="414"/>
      <c r="E173" s="414"/>
      <c r="F173" s="414"/>
      <c r="G173" s="414"/>
      <c r="H173" s="414"/>
      <c r="I173" s="414"/>
      <c r="J173" s="414"/>
      <c r="K173" s="414"/>
      <c r="L173" s="414"/>
      <c r="M173" s="414"/>
      <c r="N173" s="414"/>
      <c r="O173" s="414"/>
      <c r="P173" s="414"/>
      <c r="Q173" s="414"/>
      <c r="R173" s="414"/>
      <c r="S173" s="414"/>
      <c r="T173" s="414"/>
      <c r="U173" s="414"/>
      <c r="V173" s="414"/>
      <c r="W173" s="414"/>
      <c r="X173" s="414"/>
      <c r="Y173" s="414"/>
      <c r="Z173" s="414"/>
    </row>
    <row r="174" spans="1:26" ht="13.5" customHeight="1">
      <c r="A174" s="414"/>
      <c r="B174" s="414"/>
      <c r="C174" s="414"/>
      <c r="D174" s="414"/>
      <c r="E174" s="414"/>
      <c r="F174" s="414"/>
      <c r="G174" s="414"/>
      <c r="H174" s="414"/>
      <c r="I174" s="414"/>
      <c r="J174" s="414"/>
      <c r="K174" s="414"/>
      <c r="L174" s="414"/>
      <c r="M174" s="414"/>
      <c r="N174" s="414"/>
      <c r="O174" s="414"/>
      <c r="P174" s="414"/>
      <c r="Q174" s="414"/>
      <c r="R174" s="414"/>
      <c r="S174" s="414"/>
      <c r="T174" s="414"/>
      <c r="U174" s="414"/>
      <c r="V174" s="414"/>
      <c r="W174" s="414"/>
      <c r="X174" s="414"/>
      <c r="Y174" s="414"/>
      <c r="Z174" s="414"/>
    </row>
    <row r="175" spans="1:26" ht="13.5" customHeight="1">
      <c r="A175" s="414"/>
      <c r="B175" s="414"/>
      <c r="C175" s="414"/>
      <c r="D175" s="414"/>
      <c r="E175" s="414"/>
      <c r="F175" s="414"/>
      <c r="G175" s="414"/>
      <c r="H175" s="414"/>
      <c r="I175" s="414"/>
      <c r="J175" s="414"/>
      <c r="K175" s="414"/>
      <c r="L175" s="414"/>
      <c r="M175" s="414"/>
      <c r="N175" s="414"/>
      <c r="O175" s="414"/>
      <c r="P175" s="414"/>
      <c r="Q175" s="414"/>
      <c r="R175" s="414"/>
      <c r="S175" s="414"/>
      <c r="T175" s="414"/>
      <c r="U175" s="414"/>
      <c r="V175" s="414"/>
      <c r="W175" s="414"/>
      <c r="X175" s="414"/>
      <c r="Y175" s="414"/>
      <c r="Z175" s="414"/>
    </row>
    <row r="176" spans="1:26" ht="13.5" customHeight="1">
      <c r="A176" s="414"/>
      <c r="B176" s="414"/>
      <c r="C176" s="414"/>
      <c r="D176" s="414"/>
      <c r="E176" s="414"/>
      <c r="F176" s="414"/>
      <c r="G176" s="414"/>
      <c r="H176" s="414"/>
      <c r="I176" s="414"/>
      <c r="J176" s="414"/>
      <c r="K176" s="414"/>
      <c r="L176" s="414"/>
      <c r="M176" s="414"/>
      <c r="N176" s="414"/>
      <c r="O176" s="414"/>
      <c r="P176" s="414"/>
      <c r="Q176" s="414"/>
      <c r="R176" s="414"/>
      <c r="S176" s="414"/>
      <c r="T176" s="414"/>
      <c r="U176" s="414"/>
      <c r="V176" s="414"/>
      <c r="W176" s="414"/>
      <c r="X176" s="414"/>
      <c r="Y176" s="414"/>
      <c r="Z176" s="414"/>
    </row>
    <row r="177" spans="1:26" ht="13.5" customHeight="1">
      <c r="A177" s="414"/>
      <c r="B177" s="414"/>
      <c r="C177" s="414"/>
      <c r="D177" s="414"/>
      <c r="E177" s="414"/>
      <c r="F177" s="414"/>
      <c r="G177" s="414"/>
      <c r="H177" s="414"/>
      <c r="I177" s="414"/>
      <c r="J177" s="414"/>
      <c r="K177" s="414"/>
      <c r="L177" s="414"/>
      <c r="M177" s="414"/>
      <c r="N177" s="414"/>
      <c r="O177" s="414"/>
      <c r="P177" s="414"/>
      <c r="Q177" s="414"/>
      <c r="R177" s="414"/>
      <c r="S177" s="414"/>
      <c r="T177" s="414"/>
      <c r="U177" s="414"/>
      <c r="V177" s="414"/>
      <c r="W177" s="414"/>
      <c r="X177" s="414"/>
      <c r="Y177" s="414"/>
      <c r="Z177" s="414"/>
    </row>
    <row r="178" spans="1:26" ht="13.5" customHeight="1">
      <c r="A178" s="414"/>
      <c r="B178" s="414"/>
      <c r="C178" s="414"/>
      <c r="D178" s="414"/>
      <c r="E178" s="414"/>
      <c r="F178" s="414"/>
      <c r="G178" s="414"/>
      <c r="H178" s="414"/>
      <c r="I178" s="414"/>
      <c r="J178" s="414"/>
      <c r="K178" s="414"/>
      <c r="L178" s="414"/>
      <c r="M178" s="414"/>
      <c r="N178" s="414"/>
      <c r="O178" s="414"/>
      <c r="P178" s="414"/>
      <c r="Q178" s="414"/>
      <c r="R178" s="414"/>
      <c r="S178" s="414"/>
      <c r="T178" s="414"/>
      <c r="U178" s="414"/>
      <c r="V178" s="414"/>
      <c r="W178" s="414"/>
      <c r="X178" s="414"/>
      <c r="Y178" s="414"/>
      <c r="Z178" s="414"/>
    </row>
    <row r="179" spans="1:26" ht="13.5" customHeight="1">
      <c r="A179" s="414"/>
      <c r="B179" s="414"/>
      <c r="C179" s="414"/>
      <c r="D179" s="414"/>
      <c r="E179" s="414"/>
      <c r="F179" s="414"/>
      <c r="G179" s="414"/>
      <c r="H179" s="414"/>
      <c r="I179" s="414"/>
      <c r="J179" s="414"/>
      <c r="K179" s="414"/>
      <c r="L179" s="414"/>
      <c r="M179" s="414"/>
      <c r="N179" s="414"/>
      <c r="O179" s="414"/>
      <c r="P179" s="414"/>
      <c r="Q179" s="414"/>
      <c r="R179" s="414"/>
      <c r="S179" s="414"/>
      <c r="T179" s="414"/>
      <c r="U179" s="414"/>
      <c r="V179" s="414"/>
      <c r="W179" s="414"/>
      <c r="X179" s="414"/>
      <c r="Y179" s="414"/>
      <c r="Z179" s="414"/>
    </row>
    <row r="180" spans="1:26" ht="13.5" customHeight="1">
      <c r="A180" s="414"/>
      <c r="B180" s="414"/>
      <c r="C180" s="414"/>
      <c r="D180" s="414"/>
      <c r="E180" s="414"/>
      <c r="F180" s="414"/>
      <c r="G180" s="414"/>
      <c r="H180" s="414"/>
      <c r="I180" s="414"/>
      <c r="J180" s="414"/>
      <c r="K180" s="414"/>
      <c r="L180" s="414"/>
      <c r="M180" s="414"/>
      <c r="N180" s="414"/>
      <c r="O180" s="414"/>
      <c r="P180" s="414"/>
      <c r="Q180" s="414"/>
      <c r="R180" s="414"/>
      <c r="S180" s="414"/>
      <c r="T180" s="414"/>
      <c r="U180" s="414"/>
      <c r="V180" s="414"/>
      <c r="W180" s="414"/>
      <c r="X180" s="414"/>
      <c r="Y180" s="414"/>
      <c r="Z180" s="414"/>
    </row>
    <row r="181" spans="1:26" ht="13.5" customHeight="1">
      <c r="A181" s="414"/>
      <c r="B181" s="414"/>
      <c r="C181" s="414"/>
      <c r="D181" s="414"/>
      <c r="E181" s="414"/>
      <c r="F181" s="414"/>
      <c r="G181" s="414"/>
      <c r="H181" s="414"/>
      <c r="I181" s="414"/>
      <c r="J181" s="414"/>
      <c r="K181" s="414"/>
      <c r="L181" s="414"/>
      <c r="M181" s="414"/>
      <c r="N181" s="414"/>
      <c r="O181" s="414"/>
      <c r="P181" s="414"/>
      <c r="Q181" s="414"/>
      <c r="R181" s="414"/>
      <c r="S181" s="414"/>
      <c r="T181" s="414"/>
      <c r="U181" s="414"/>
      <c r="V181" s="414"/>
      <c r="W181" s="414"/>
      <c r="X181" s="414"/>
      <c r="Y181" s="414"/>
      <c r="Z181" s="414"/>
    </row>
    <row r="182" spans="1:26" ht="13.5" customHeight="1">
      <c r="A182" s="414"/>
      <c r="B182" s="414"/>
      <c r="C182" s="414"/>
      <c r="D182" s="414"/>
      <c r="E182" s="414"/>
      <c r="F182" s="414"/>
      <c r="G182" s="414"/>
      <c r="H182" s="414"/>
      <c r="I182" s="414"/>
      <c r="J182" s="414"/>
      <c r="K182" s="414"/>
      <c r="L182" s="414"/>
      <c r="M182" s="414"/>
      <c r="N182" s="414"/>
      <c r="O182" s="414"/>
      <c r="P182" s="414"/>
      <c r="Q182" s="414"/>
      <c r="R182" s="414"/>
      <c r="S182" s="414"/>
      <c r="T182" s="414"/>
      <c r="U182" s="414"/>
      <c r="V182" s="414"/>
      <c r="W182" s="414"/>
      <c r="X182" s="414"/>
      <c r="Y182" s="414"/>
      <c r="Z182" s="414"/>
    </row>
    <row r="183" spans="1:26" ht="13.5" customHeight="1">
      <c r="A183" s="414"/>
      <c r="B183" s="414"/>
      <c r="C183" s="414"/>
      <c r="D183" s="414"/>
      <c r="E183" s="414"/>
      <c r="F183" s="414"/>
      <c r="G183" s="414"/>
      <c r="H183" s="414"/>
      <c r="I183" s="414"/>
      <c r="J183" s="414"/>
      <c r="K183" s="414"/>
      <c r="L183" s="414"/>
      <c r="M183" s="414"/>
      <c r="N183" s="414"/>
      <c r="O183" s="414"/>
      <c r="P183" s="414"/>
      <c r="Q183" s="414"/>
      <c r="R183" s="414"/>
      <c r="S183" s="414"/>
      <c r="T183" s="414"/>
      <c r="U183" s="414"/>
      <c r="V183" s="414"/>
      <c r="W183" s="414"/>
      <c r="X183" s="414"/>
      <c r="Y183" s="414"/>
      <c r="Z183" s="414"/>
    </row>
    <row r="184" spans="1:26" ht="13.5" customHeight="1">
      <c r="A184" s="414"/>
      <c r="B184" s="414"/>
      <c r="C184" s="414"/>
      <c r="D184" s="414"/>
      <c r="E184" s="414"/>
      <c r="F184" s="414"/>
      <c r="G184" s="414"/>
      <c r="H184" s="414"/>
      <c r="I184" s="414"/>
      <c r="J184" s="414"/>
      <c r="K184" s="414"/>
      <c r="L184" s="414"/>
      <c r="M184" s="414"/>
      <c r="N184" s="414"/>
      <c r="O184" s="414"/>
      <c r="P184" s="414"/>
      <c r="Q184" s="414"/>
      <c r="R184" s="414"/>
      <c r="S184" s="414"/>
      <c r="T184" s="414"/>
      <c r="U184" s="414"/>
      <c r="V184" s="414"/>
      <c r="W184" s="414"/>
      <c r="X184" s="414"/>
      <c r="Y184" s="414"/>
      <c r="Z184" s="414"/>
    </row>
    <row r="185" spans="1:26" ht="13.5" customHeight="1">
      <c r="A185" s="414"/>
      <c r="B185" s="414"/>
      <c r="C185" s="414"/>
      <c r="D185" s="414"/>
      <c r="E185" s="414"/>
      <c r="F185" s="414"/>
      <c r="G185" s="414"/>
      <c r="H185" s="414"/>
      <c r="I185" s="414"/>
      <c r="J185" s="414"/>
      <c r="K185" s="414"/>
      <c r="L185" s="414"/>
      <c r="M185" s="414"/>
      <c r="N185" s="414"/>
      <c r="O185" s="414"/>
      <c r="P185" s="414"/>
      <c r="Q185" s="414"/>
      <c r="R185" s="414"/>
      <c r="S185" s="414"/>
      <c r="T185" s="414"/>
      <c r="U185" s="414"/>
      <c r="V185" s="414"/>
      <c r="W185" s="414"/>
      <c r="X185" s="414"/>
      <c r="Y185" s="414"/>
      <c r="Z185" s="414"/>
    </row>
    <row r="186" spans="1:26" ht="13.5" customHeight="1">
      <c r="A186" s="414"/>
      <c r="B186" s="414"/>
      <c r="C186" s="414"/>
      <c r="D186" s="414"/>
      <c r="E186" s="414"/>
      <c r="F186" s="414"/>
      <c r="G186" s="414"/>
      <c r="H186" s="414"/>
      <c r="I186" s="414"/>
      <c r="J186" s="414"/>
      <c r="K186" s="414"/>
      <c r="L186" s="414"/>
      <c r="M186" s="414"/>
      <c r="N186" s="414"/>
      <c r="O186" s="414"/>
      <c r="P186" s="414"/>
      <c r="Q186" s="414"/>
      <c r="R186" s="414"/>
      <c r="S186" s="414"/>
      <c r="T186" s="414"/>
      <c r="U186" s="414"/>
      <c r="V186" s="414"/>
      <c r="W186" s="414"/>
      <c r="X186" s="414"/>
      <c r="Y186" s="414"/>
      <c r="Z186" s="414"/>
    </row>
    <row r="187" spans="1:26" ht="13.5" customHeight="1">
      <c r="A187" s="414"/>
      <c r="B187" s="414"/>
      <c r="C187" s="414"/>
      <c r="D187" s="414"/>
      <c r="E187" s="414"/>
      <c r="F187" s="414"/>
      <c r="G187" s="414"/>
      <c r="H187" s="414"/>
      <c r="I187" s="414"/>
      <c r="J187" s="414"/>
      <c r="K187" s="414"/>
      <c r="L187" s="414"/>
      <c r="M187" s="414"/>
      <c r="N187" s="414"/>
      <c r="O187" s="414"/>
      <c r="P187" s="414"/>
      <c r="Q187" s="414"/>
      <c r="R187" s="414"/>
      <c r="S187" s="414"/>
      <c r="T187" s="414"/>
      <c r="U187" s="414"/>
      <c r="V187" s="414"/>
      <c r="W187" s="414"/>
      <c r="X187" s="414"/>
      <c r="Y187" s="414"/>
      <c r="Z187" s="414"/>
    </row>
    <row r="188" spans="1:26" ht="13.5" customHeight="1">
      <c r="A188" s="414"/>
      <c r="B188" s="414"/>
      <c r="C188" s="414"/>
      <c r="D188" s="414"/>
      <c r="E188" s="414"/>
      <c r="F188" s="414"/>
      <c r="G188" s="414"/>
      <c r="H188" s="414"/>
      <c r="I188" s="414"/>
      <c r="J188" s="414"/>
      <c r="K188" s="414"/>
      <c r="L188" s="414"/>
      <c r="M188" s="414"/>
      <c r="N188" s="414"/>
      <c r="O188" s="414"/>
      <c r="P188" s="414"/>
      <c r="Q188" s="414"/>
      <c r="R188" s="414"/>
      <c r="S188" s="414"/>
      <c r="T188" s="414"/>
      <c r="U188" s="414"/>
      <c r="V188" s="414"/>
      <c r="W188" s="414"/>
      <c r="X188" s="414"/>
      <c r="Y188" s="414"/>
      <c r="Z188" s="414"/>
    </row>
    <row r="189" spans="1:26" ht="13.5" customHeight="1">
      <c r="A189" s="414"/>
      <c r="B189" s="414"/>
      <c r="C189" s="414"/>
      <c r="D189" s="414"/>
      <c r="E189" s="414"/>
      <c r="F189" s="414"/>
      <c r="G189" s="414"/>
      <c r="H189" s="414"/>
      <c r="I189" s="414"/>
      <c r="J189" s="414"/>
      <c r="K189" s="414"/>
      <c r="L189" s="414"/>
      <c r="M189" s="414"/>
      <c r="N189" s="414"/>
      <c r="O189" s="414"/>
      <c r="P189" s="414"/>
      <c r="Q189" s="414"/>
      <c r="R189" s="414"/>
      <c r="S189" s="414"/>
      <c r="T189" s="414"/>
      <c r="U189" s="414"/>
      <c r="V189" s="414"/>
      <c r="W189" s="414"/>
      <c r="X189" s="414"/>
      <c r="Y189" s="414"/>
      <c r="Z189" s="414"/>
    </row>
    <row r="190" spans="1:26" ht="13.5" customHeight="1">
      <c r="A190" s="414"/>
      <c r="B190" s="414"/>
      <c r="C190" s="414"/>
      <c r="D190" s="414"/>
      <c r="E190" s="414"/>
      <c r="F190" s="414"/>
      <c r="G190" s="414"/>
      <c r="H190" s="414"/>
      <c r="I190" s="414"/>
      <c r="J190" s="414"/>
      <c r="K190" s="414"/>
      <c r="L190" s="414"/>
      <c r="M190" s="414"/>
      <c r="N190" s="414"/>
      <c r="O190" s="414"/>
      <c r="P190" s="414"/>
      <c r="Q190" s="414"/>
      <c r="R190" s="414"/>
      <c r="S190" s="414"/>
      <c r="T190" s="414"/>
      <c r="U190" s="414"/>
      <c r="V190" s="414"/>
      <c r="W190" s="414"/>
      <c r="X190" s="414"/>
      <c r="Y190" s="414"/>
      <c r="Z190" s="414"/>
    </row>
    <row r="191" spans="1:26" ht="13.5" customHeight="1">
      <c r="A191" s="414"/>
      <c r="B191" s="414"/>
      <c r="C191" s="414"/>
      <c r="D191" s="414"/>
      <c r="E191" s="414"/>
      <c r="F191" s="414"/>
      <c r="G191" s="414"/>
      <c r="H191" s="414"/>
      <c r="I191" s="414"/>
      <c r="J191" s="414"/>
      <c r="K191" s="414"/>
      <c r="L191" s="414"/>
      <c r="M191" s="414"/>
      <c r="N191" s="414"/>
      <c r="O191" s="414"/>
      <c r="P191" s="414"/>
      <c r="Q191" s="414"/>
      <c r="R191" s="414"/>
      <c r="S191" s="414"/>
      <c r="T191" s="414"/>
      <c r="U191" s="414"/>
      <c r="V191" s="414"/>
      <c r="W191" s="414"/>
      <c r="X191" s="414"/>
      <c r="Y191" s="414"/>
      <c r="Z191" s="414"/>
    </row>
    <row r="192" spans="1:26" ht="13.5" customHeight="1">
      <c r="A192" s="414"/>
      <c r="B192" s="414"/>
      <c r="C192" s="414"/>
      <c r="D192" s="414"/>
      <c r="E192" s="414"/>
      <c r="F192" s="414"/>
      <c r="G192" s="414"/>
      <c r="H192" s="414"/>
      <c r="I192" s="414"/>
      <c r="J192" s="414"/>
      <c r="K192" s="414"/>
      <c r="L192" s="414"/>
      <c r="M192" s="414"/>
      <c r="N192" s="414"/>
      <c r="O192" s="414"/>
      <c r="P192" s="414"/>
      <c r="Q192" s="414"/>
      <c r="R192" s="414"/>
      <c r="S192" s="414"/>
      <c r="T192" s="414"/>
      <c r="U192" s="414"/>
      <c r="V192" s="414"/>
      <c r="W192" s="414"/>
      <c r="X192" s="414"/>
      <c r="Y192" s="414"/>
      <c r="Z192" s="414"/>
    </row>
    <row r="193" spans="1:26" ht="13.5" customHeight="1">
      <c r="A193" s="414"/>
      <c r="B193" s="414"/>
      <c r="C193" s="414"/>
      <c r="D193" s="414"/>
      <c r="E193" s="414"/>
      <c r="F193" s="414"/>
      <c r="G193" s="414"/>
      <c r="H193" s="414"/>
      <c r="I193" s="414"/>
      <c r="J193" s="414"/>
      <c r="K193" s="414"/>
      <c r="L193" s="414"/>
      <c r="M193" s="414"/>
      <c r="N193" s="414"/>
      <c r="O193" s="414"/>
      <c r="P193" s="414"/>
      <c r="Q193" s="414"/>
      <c r="R193" s="414"/>
      <c r="S193" s="414"/>
      <c r="T193" s="414"/>
      <c r="U193" s="414"/>
      <c r="V193" s="414"/>
      <c r="W193" s="414"/>
      <c r="X193" s="414"/>
      <c r="Y193" s="414"/>
      <c r="Z193" s="414"/>
    </row>
    <row r="194" spans="1:26" ht="13.5" customHeight="1">
      <c r="A194" s="414"/>
      <c r="B194" s="414"/>
      <c r="C194" s="414"/>
      <c r="D194" s="414"/>
      <c r="E194" s="414"/>
      <c r="F194" s="414"/>
      <c r="G194" s="414"/>
      <c r="H194" s="414"/>
      <c r="I194" s="414"/>
      <c r="J194" s="414"/>
      <c r="K194" s="414"/>
      <c r="L194" s="414"/>
      <c r="M194" s="414"/>
      <c r="N194" s="414"/>
      <c r="O194" s="414"/>
      <c r="P194" s="414"/>
      <c r="Q194" s="414"/>
      <c r="R194" s="414"/>
      <c r="S194" s="414"/>
      <c r="T194" s="414"/>
      <c r="U194" s="414"/>
      <c r="V194" s="414"/>
      <c r="W194" s="414"/>
      <c r="X194" s="414"/>
      <c r="Y194" s="414"/>
      <c r="Z194" s="414"/>
    </row>
    <row r="195" spans="1:26" ht="13.5" customHeight="1">
      <c r="A195" s="414"/>
      <c r="B195" s="414"/>
      <c r="C195" s="414"/>
      <c r="D195" s="414"/>
      <c r="E195" s="414"/>
      <c r="F195" s="414"/>
      <c r="G195" s="414"/>
      <c r="H195" s="414"/>
      <c r="I195" s="414"/>
      <c r="J195" s="414"/>
      <c r="K195" s="414"/>
      <c r="L195" s="414"/>
      <c r="M195" s="414"/>
      <c r="N195" s="414"/>
      <c r="O195" s="414"/>
      <c r="P195" s="414"/>
      <c r="Q195" s="414"/>
      <c r="R195" s="414"/>
      <c r="S195" s="414"/>
      <c r="T195" s="414"/>
      <c r="U195" s="414"/>
      <c r="V195" s="414"/>
      <c r="W195" s="414"/>
      <c r="X195" s="414"/>
      <c r="Y195" s="414"/>
      <c r="Z195" s="414"/>
    </row>
    <row r="196" spans="1:26" ht="13.5" customHeight="1">
      <c r="A196" s="414"/>
      <c r="B196" s="414"/>
      <c r="C196" s="414"/>
      <c r="D196" s="414"/>
      <c r="E196" s="414"/>
      <c r="F196" s="414"/>
      <c r="G196" s="414"/>
      <c r="H196" s="414"/>
      <c r="I196" s="414"/>
      <c r="J196" s="414"/>
      <c r="K196" s="414"/>
      <c r="L196" s="414"/>
      <c r="M196" s="414"/>
      <c r="N196" s="414"/>
      <c r="O196" s="414"/>
      <c r="P196" s="414"/>
      <c r="Q196" s="414"/>
      <c r="R196" s="414"/>
      <c r="S196" s="414"/>
      <c r="T196" s="414"/>
      <c r="U196" s="414"/>
      <c r="V196" s="414"/>
      <c r="W196" s="414"/>
      <c r="X196" s="414"/>
      <c r="Y196" s="414"/>
      <c r="Z196" s="414"/>
    </row>
    <row r="197" spans="1:26" ht="13.5" customHeight="1">
      <c r="A197" s="414"/>
      <c r="B197" s="414"/>
      <c r="C197" s="414"/>
      <c r="D197" s="414"/>
      <c r="E197" s="414"/>
      <c r="F197" s="414"/>
      <c r="G197" s="414"/>
      <c r="H197" s="414"/>
      <c r="I197" s="414"/>
      <c r="J197" s="414"/>
      <c r="K197" s="414"/>
      <c r="L197" s="414"/>
      <c r="M197" s="414"/>
      <c r="N197" s="414"/>
      <c r="O197" s="414"/>
      <c r="P197" s="414"/>
      <c r="Q197" s="414"/>
      <c r="R197" s="414"/>
      <c r="S197" s="414"/>
      <c r="T197" s="414"/>
      <c r="U197" s="414"/>
      <c r="V197" s="414"/>
      <c r="W197" s="414"/>
      <c r="X197" s="414"/>
      <c r="Y197" s="414"/>
      <c r="Z197" s="414"/>
    </row>
    <row r="198" spans="1:26" ht="13.5" customHeight="1">
      <c r="A198" s="414"/>
      <c r="B198" s="414"/>
      <c r="C198" s="414"/>
      <c r="D198" s="414"/>
      <c r="E198" s="414"/>
      <c r="F198" s="414"/>
      <c r="G198" s="414"/>
      <c r="H198" s="414"/>
      <c r="I198" s="414"/>
      <c r="J198" s="414"/>
      <c r="K198" s="414"/>
      <c r="L198" s="414"/>
      <c r="M198" s="414"/>
      <c r="N198" s="414"/>
      <c r="O198" s="414"/>
      <c r="P198" s="414"/>
      <c r="Q198" s="414"/>
      <c r="R198" s="414"/>
      <c r="S198" s="414"/>
      <c r="T198" s="414"/>
      <c r="U198" s="414"/>
      <c r="V198" s="414"/>
      <c r="W198" s="414"/>
      <c r="X198" s="414"/>
      <c r="Y198" s="414"/>
      <c r="Z198" s="414"/>
    </row>
    <row r="199" spans="1:26" ht="13.5" customHeight="1">
      <c r="A199" s="414"/>
      <c r="B199" s="414"/>
      <c r="C199" s="414"/>
      <c r="D199" s="414"/>
      <c r="E199" s="414"/>
      <c r="F199" s="414"/>
      <c r="G199" s="414"/>
      <c r="H199" s="414"/>
      <c r="I199" s="414"/>
      <c r="J199" s="414"/>
      <c r="K199" s="414"/>
      <c r="L199" s="414"/>
      <c r="M199" s="414"/>
      <c r="N199" s="414"/>
      <c r="O199" s="414"/>
      <c r="P199" s="414"/>
      <c r="Q199" s="414"/>
      <c r="R199" s="414"/>
      <c r="S199" s="414"/>
      <c r="T199" s="414"/>
      <c r="U199" s="414"/>
      <c r="V199" s="414"/>
      <c r="W199" s="414"/>
      <c r="X199" s="414"/>
      <c r="Y199" s="414"/>
      <c r="Z199" s="414"/>
    </row>
    <row r="200" spans="1:26" ht="13.5" customHeight="1">
      <c r="A200" s="414"/>
      <c r="B200" s="414"/>
      <c r="C200" s="414"/>
      <c r="D200" s="414"/>
      <c r="E200" s="414"/>
      <c r="F200" s="414"/>
      <c r="G200" s="414"/>
      <c r="H200" s="414"/>
      <c r="I200" s="414"/>
      <c r="J200" s="414"/>
      <c r="K200" s="414"/>
      <c r="L200" s="414"/>
      <c r="M200" s="414"/>
      <c r="N200" s="414"/>
      <c r="O200" s="414"/>
      <c r="P200" s="414"/>
      <c r="Q200" s="414"/>
      <c r="R200" s="414"/>
      <c r="S200" s="414"/>
      <c r="T200" s="414"/>
      <c r="U200" s="414"/>
      <c r="V200" s="414"/>
      <c r="W200" s="414"/>
      <c r="X200" s="414"/>
      <c r="Y200" s="414"/>
      <c r="Z200" s="414"/>
    </row>
    <row r="201" spans="1:26" ht="13.5" customHeight="1">
      <c r="A201" s="414"/>
      <c r="B201" s="414"/>
      <c r="C201" s="414"/>
      <c r="D201" s="414"/>
      <c r="E201" s="414"/>
      <c r="F201" s="414"/>
      <c r="G201" s="414"/>
      <c r="H201" s="414"/>
      <c r="I201" s="414"/>
      <c r="J201" s="414"/>
      <c r="K201" s="414"/>
      <c r="L201" s="414"/>
      <c r="M201" s="414"/>
      <c r="N201" s="414"/>
      <c r="O201" s="414"/>
      <c r="P201" s="414"/>
      <c r="Q201" s="414"/>
      <c r="R201" s="414"/>
      <c r="S201" s="414"/>
      <c r="T201" s="414"/>
      <c r="U201" s="414"/>
      <c r="V201" s="414"/>
      <c r="W201" s="414"/>
      <c r="X201" s="414"/>
      <c r="Y201" s="414"/>
      <c r="Z201" s="414"/>
    </row>
    <row r="202" spans="1:26" ht="13.5" customHeight="1">
      <c r="A202" s="414"/>
      <c r="B202" s="414"/>
      <c r="C202" s="414"/>
      <c r="D202" s="414"/>
      <c r="E202" s="414"/>
      <c r="F202" s="414"/>
      <c r="G202" s="414"/>
      <c r="H202" s="414"/>
      <c r="I202" s="414"/>
      <c r="J202" s="414"/>
      <c r="K202" s="414"/>
      <c r="L202" s="414"/>
      <c r="M202" s="414"/>
      <c r="N202" s="414"/>
      <c r="O202" s="414"/>
      <c r="P202" s="414"/>
      <c r="Q202" s="414"/>
      <c r="R202" s="414"/>
      <c r="S202" s="414"/>
      <c r="T202" s="414"/>
      <c r="U202" s="414"/>
      <c r="V202" s="414"/>
      <c r="W202" s="414"/>
      <c r="X202" s="414"/>
      <c r="Y202" s="414"/>
      <c r="Z202" s="414"/>
    </row>
    <row r="203" spans="1:26" ht="13.5" customHeight="1">
      <c r="A203" s="414"/>
      <c r="B203" s="414"/>
      <c r="C203" s="414"/>
      <c r="D203" s="414"/>
      <c r="E203" s="414"/>
      <c r="F203" s="414"/>
      <c r="G203" s="414"/>
      <c r="H203" s="414"/>
      <c r="I203" s="414"/>
      <c r="J203" s="414"/>
      <c r="K203" s="414"/>
      <c r="L203" s="414"/>
      <c r="M203" s="414"/>
      <c r="N203" s="414"/>
      <c r="O203" s="414"/>
      <c r="P203" s="414"/>
      <c r="Q203" s="414"/>
      <c r="R203" s="414"/>
      <c r="S203" s="414"/>
      <c r="T203" s="414"/>
      <c r="U203" s="414"/>
      <c r="V203" s="414"/>
      <c r="W203" s="414"/>
      <c r="X203" s="414"/>
      <c r="Y203" s="414"/>
      <c r="Z203" s="414"/>
    </row>
    <row r="204" spans="1:26" ht="13.5" customHeight="1">
      <c r="A204" s="414"/>
      <c r="B204" s="414"/>
      <c r="C204" s="414"/>
      <c r="D204" s="414"/>
      <c r="E204" s="414"/>
      <c r="F204" s="414"/>
      <c r="G204" s="414"/>
      <c r="H204" s="414"/>
      <c r="I204" s="414"/>
      <c r="J204" s="414"/>
      <c r="K204" s="414"/>
      <c r="L204" s="414"/>
      <c r="M204" s="414"/>
      <c r="N204" s="414"/>
      <c r="O204" s="414"/>
      <c r="P204" s="414"/>
      <c r="Q204" s="414"/>
      <c r="R204" s="414"/>
      <c r="S204" s="414"/>
      <c r="T204" s="414"/>
      <c r="U204" s="414"/>
      <c r="V204" s="414"/>
      <c r="W204" s="414"/>
      <c r="X204" s="414"/>
      <c r="Y204" s="414"/>
      <c r="Z204" s="414"/>
    </row>
    <row r="205" spans="1:26" ht="13.5" customHeight="1">
      <c r="A205" s="414"/>
      <c r="B205" s="414"/>
      <c r="C205" s="414"/>
      <c r="D205" s="414"/>
      <c r="E205" s="414"/>
      <c r="F205" s="414"/>
      <c r="G205" s="414"/>
      <c r="H205" s="414"/>
      <c r="I205" s="414"/>
      <c r="J205" s="414"/>
      <c r="K205" s="414"/>
      <c r="L205" s="414"/>
      <c r="M205" s="414"/>
      <c r="N205" s="414"/>
      <c r="O205" s="414"/>
      <c r="P205" s="414"/>
      <c r="Q205" s="414"/>
      <c r="R205" s="414"/>
      <c r="S205" s="414"/>
      <c r="T205" s="414"/>
      <c r="U205" s="414"/>
      <c r="V205" s="414"/>
      <c r="W205" s="414"/>
      <c r="X205" s="414"/>
      <c r="Y205" s="414"/>
      <c r="Z205" s="414"/>
    </row>
    <row r="206" spans="1:26" ht="13.5" customHeight="1">
      <c r="A206" s="414"/>
      <c r="B206" s="414"/>
      <c r="C206" s="414"/>
      <c r="D206" s="414"/>
      <c r="E206" s="414"/>
      <c r="F206" s="414"/>
      <c r="G206" s="414"/>
      <c r="H206" s="414"/>
      <c r="I206" s="414"/>
      <c r="J206" s="414"/>
      <c r="K206" s="414"/>
      <c r="L206" s="414"/>
      <c r="M206" s="414"/>
      <c r="N206" s="414"/>
      <c r="O206" s="414"/>
      <c r="P206" s="414"/>
      <c r="Q206" s="414"/>
      <c r="R206" s="414"/>
      <c r="S206" s="414"/>
      <c r="T206" s="414"/>
      <c r="U206" s="414"/>
      <c r="V206" s="414"/>
      <c r="W206" s="414"/>
      <c r="X206" s="414"/>
      <c r="Y206" s="414"/>
      <c r="Z206" s="414"/>
    </row>
    <row r="207" spans="1:26" ht="13.5" customHeight="1">
      <c r="A207" s="414"/>
      <c r="B207" s="414"/>
      <c r="C207" s="414"/>
      <c r="D207" s="414"/>
      <c r="E207" s="414"/>
      <c r="F207" s="414"/>
      <c r="G207" s="414"/>
      <c r="H207" s="414"/>
      <c r="I207" s="414"/>
      <c r="J207" s="414"/>
      <c r="K207" s="414"/>
      <c r="L207" s="414"/>
      <c r="M207" s="414"/>
      <c r="N207" s="414"/>
      <c r="O207" s="414"/>
      <c r="P207" s="414"/>
      <c r="Q207" s="414"/>
      <c r="R207" s="414"/>
      <c r="S207" s="414"/>
      <c r="T207" s="414"/>
      <c r="U207" s="414"/>
      <c r="V207" s="414"/>
      <c r="W207" s="414"/>
      <c r="X207" s="414"/>
      <c r="Y207" s="414"/>
      <c r="Z207" s="414"/>
    </row>
    <row r="208" spans="1:26" ht="13.5" customHeight="1">
      <c r="A208" s="414"/>
      <c r="B208" s="414"/>
      <c r="C208" s="414"/>
      <c r="D208" s="414"/>
      <c r="E208" s="414"/>
      <c r="F208" s="414"/>
      <c r="G208" s="414"/>
      <c r="H208" s="414"/>
      <c r="I208" s="414"/>
      <c r="J208" s="414"/>
      <c r="K208" s="414"/>
      <c r="L208" s="414"/>
      <c r="M208" s="414"/>
      <c r="N208" s="414"/>
      <c r="O208" s="414"/>
      <c r="P208" s="414"/>
      <c r="Q208" s="414"/>
      <c r="R208" s="414"/>
      <c r="S208" s="414"/>
      <c r="T208" s="414"/>
      <c r="U208" s="414"/>
      <c r="V208" s="414"/>
      <c r="W208" s="414"/>
      <c r="X208" s="414"/>
      <c r="Y208" s="414"/>
      <c r="Z208" s="414"/>
    </row>
    <row r="209" spans="1:26" ht="13.5" customHeight="1">
      <c r="A209" s="414"/>
      <c r="B209" s="414"/>
      <c r="C209" s="414"/>
      <c r="D209" s="414"/>
      <c r="E209" s="414"/>
      <c r="F209" s="414"/>
      <c r="G209" s="414"/>
      <c r="H209" s="414"/>
      <c r="I209" s="414"/>
      <c r="J209" s="414"/>
      <c r="K209" s="414"/>
      <c r="L209" s="414"/>
      <c r="M209" s="414"/>
      <c r="N209" s="414"/>
      <c r="O209" s="414"/>
      <c r="P209" s="414"/>
      <c r="Q209" s="414"/>
      <c r="R209" s="414"/>
      <c r="S209" s="414"/>
      <c r="T209" s="414"/>
      <c r="U209" s="414"/>
      <c r="V209" s="414"/>
      <c r="W209" s="414"/>
      <c r="X209" s="414"/>
      <c r="Y209" s="414"/>
      <c r="Z209" s="414"/>
    </row>
    <row r="210" spans="1:26" ht="13.5" customHeight="1">
      <c r="A210" s="414"/>
      <c r="B210" s="414"/>
      <c r="C210" s="414"/>
      <c r="D210" s="414"/>
      <c r="E210" s="414"/>
      <c r="F210" s="414"/>
      <c r="G210" s="414"/>
      <c r="H210" s="414"/>
      <c r="I210" s="414"/>
      <c r="J210" s="414"/>
      <c r="K210" s="414"/>
      <c r="L210" s="414"/>
      <c r="M210" s="414"/>
      <c r="N210" s="414"/>
      <c r="O210" s="414"/>
      <c r="P210" s="414"/>
      <c r="Q210" s="414"/>
      <c r="R210" s="414"/>
      <c r="S210" s="414"/>
      <c r="T210" s="414"/>
      <c r="U210" s="414"/>
      <c r="V210" s="414"/>
      <c r="W210" s="414"/>
      <c r="X210" s="414"/>
      <c r="Y210" s="414"/>
      <c r="Z210" s="414"/>
    </row>
    <row r="211" spans="1:26" ht="13.5" customHeight="1">
      <c r="A211" s="414"/>
      <c r="B211" s="414"/>
      <c r="C211" s="414"/>
      <c r="D211" s="414"/>
      <c r="E211" s="414"/>
      <c r="F211" s="414"/>
      <c r="G211" s="414"/>
      <c r="H211" s="414"/>
      <c r="I211" s="414"/>
      <c r="J211" s="414"/>
      <c r="K211" s="414"/>
      <c r="L211" s="414"/>
      <c r="M211" s="414"/>
      <c r="N211" s="414"/>
      <c r="O211" s="414"/>
      <c r="P211" s="414"/>
      <c r="Q211" s="414"/>
      <c r="R211" s="414"/>
      <c r="S211" s="414"/>
      <c r="T211" s="414"/>
      <c r="U211" s="414"/>
      <c r="V211" s="414"/>
      <c r="W211" s="414"/>
      <c r="X211" s="414"/>
      <c r="Y211" s="414"/>
      <c r="Z211" s="414"/>
    </row>
    <row r="212" spans="1:26" ht="13.5" customHeight="1">
      <c r="A212" s="414"/>
      <c r="B212" s="414"/>
      <c r="C212" s="414"/>
      <c r="D212" s="414"/>
      <c r="E212" s="414"/>
      <c r="F212" s="414"/>
      <c r="G212" s="414"/>
      <c r="H212" s="414"/>
      <c r="I212" s="414"/>
      <c r="J212" s="414"/>
      <c r="K212" s="414"/>
      <c r="L212" s="414"/>
      <c r="M212" s="414"/>
      <c r="N212" s="414"/>
      <c r="O212" s="414"/>
      <c r="P212" s="414"/>
      <c r="Q212" s="414"/>
      <c r="R212" s="414"/>
      <c r="S212" s="414"/>
      <c r="T212" s="414"/>
      <c r="U212" s="414"/>
      <c r="V212" s="414"/>
      <c r="W212" s="414"/>
      <c r="X212" s="414"/>
      <c r="Y212" s="414"/>
      <c r="Z212" s="414"/>
    </row>
    <row r="213" spans="1:26" ht="13.5" customHeight="1">
      <c r="A213" s="414"/>
      <c r="B213" s="414"/>
      <c r="C213" s="414"/>
      <c r="D213" s="414"/>
      <c r="E213" s="414"/>
      <c r="F213" s="414"/>
      <c r="G213" s="414"/>
      <c r="H213" s="414"/>
      <c r="I213" s="414"/>
      <c r="J213" s="414"/>
      <c r="K213" s="414"/>
      <c r="L213" s="414"/>
      <c r="M213" s="414"/>
      <c r="N213" s="414"/>
      <c r="O213" s="414"/>
      <c r="P213" s="414"/>
      <c r="Q213" s="414"/>
      <c r="R213" s="414"/>
      <c r="S213" s="414"/>
      <c r="T213" s="414"/>
      <c r="U213" s="414"/>
      <c r="V213" s="414"/>
      <c r="W213" s="414"/>
      <c r="X213" s="414"/>
      <c r="Y213" s="414"/>
      <c r="Z213" s="414"/>
    </row>
    <row r="214" spans="1:26" ht="13.5" customHeight="1">
      <c r="A214" s="414"/>
      <c r="B214" s="414"/>
      <c r="C214" s="414"/>
      <c r="D214" s="414"/>
      <c r="E214" s="414"/>
      <c r="F214" s="414"/>
      <c r="G214" s="414"/>
      <c r="H214" s="414"/>
      <c r="I214" s="414"/>
      <c r="J214" s="414"/>
      <c r="K214" s="414"/>
      <c r="L214" s="414"/>
      <c r="M214" s="414"/>
      <c r="N214" s="414"/>
      <c r="O214" s="414"/>
      <c r="P214" s="414"/>
      <c r="Q214" s="414"/>
      <c r="R214" s="414"/>
      <c r="S214" s="414"/>
      <c r="T214" s="414"/>
      <c r="U214" s="414"/>
      <c r="V214" s="414"/>
      <c r="W214" s="414"/>
      <c r="X214" s="414"/>
      <c r="Y214" s="414"/>
      <c r="Z214" s="414"/>
    </row>
    <row r="215" spans="1:26" ht="13.5" customHeight="1">
      <c r="A215" s="414"/>
      <c r="B215" s="414"/>
      <c r="C215" s="414"/>
      <c r="D215" s="414"/>
      <c r="E215" s="414"/>
      <c r="F215" s="414"/>
      <c r="G215" s="414"/>
      <c r="H215" s="414"/>
      <c r="I215" s="414"/>
      <c r="J215" s="414"/>
      <c r="K215" s="414"/>
      <c r="L215" s="414"/>
      <c r="M215" s="414"/>
      <c r="N215" s="414"/>
      <c r="O215" s="414"/>
      <c r="P215" s="414"/>
      <c r="Q215" s="414"/>
      <c r="R215" s="414"/>
      <c r="S215" s="414"/>
      <c r="T215" s="414"/>
      <c r="U215" s="414"/>
      <c r="V215" s="414"/>
      <c r="W215" s="414"/>
      <c r="X215" s="414"/>
      <c r="Y215" s="414"/>
      <c r="Z215" s="414"/>
    </row>
    <row r="216" spans="1:26" ht="13.5" customHeight="1">
      <c r="A216" s="414"/>
      <c r="B216" s="414"/>
      <c r="C216" s="414"/>
      <c r="D216" s="414"/>
      <c r="E216" s="414"/>
      <c r="F216" s="414"/>
      <c r="G216" s="414"/>
      <c r="H216" s="414"/>
      <c r="I216" s="414"/>
      <c r="J216" s="414"/>
      <c r="K216" s="414"/>
      <c r="L216" s="414"/>
      <c r="M216" s="414"/>
      <c r="N216" s="414"/>
      <c r="O216" s="414"/>
      <c r="P216" s="414"/>
      <c r="Q216" s="414"/>
      <c r="R216" s="414"/>
      <c r="S216" s="414"/>
      <c r="T216" s="414"/>
      <c r="U216" s="414"/>
      <c r="V216" s="414"/>
      <c r="W216" s="414"/>
      <c r="X216" s="414"/>
      <c r="Y216" s="414"/>
      <c r="Z216" s="414"/>
    </row>
    <row r="217" spans="1:26" ht="13.5" customHeight="1">
      <c r="A217" s="414"/>
      <c r="B217" s="414"/>
      <c r="C217" s="414"/>
      <c r="D217" s="414"/>
      <c r="E217" s="414"/>
      <c r="F217" s="414"/>
      <c r="G217" s="414"/>
      <c r="H217" s="414"/>
      <c r="I217" s="414"/>
      <c r="J217" s="414"/>
      <c r="K217" s="414"/>
      <c r="L217" s="414"/>
      <c r="M217" s="414"/>
      <c r="N217" s="414"/>
      <c r="O217" s="414"/>
      <c r="P217" s="414"/>
      <c r="Q217" s="414"/>
      <c r="R217" s="414"/>
      <c r="S217" s="414"/>
      <c r="T217" s="414"/>
      <c r="U217" s="414"/>
      <c r="V217" s="414"/>
      <c r="W217" s="414"/>
      <c r="X217" s="414"/>
      <c r="Y217" s="414"/>
      <c r="Z217" s="414"/>
    </row>
    <row r="218" spans="1:26" ht="13.5" customHeight="1">
      <c r="A218" s="414"/>
      <c r="B218" s="414"/>
      <c r="C218" s="414"/>
      <c r="D218" s="414"/>
      <c r="E218" s="414"/>
      <c r="F218" s="414"/>
      <c r="G218" s="414"/>
      <c r="H218" s="414"/>
      <c r="I218" s="414"/>
      <c r="J218" s="414"/>
      <c r="K218" s="414"/>
      <c r="L218" s="414"/>
      <c r="M218" s="414"/>
      <c r="N218" s="414"/>
      <c r="O218" s="414"/>
      <c r="P218" s="414"/>
      <c r="Q218" s="414"/>
      <c r="R218" s="414"/>
      <c r="S218" s="414"/>
      <c r="T218" s="414"/>
      <c r="U218" s="414"/>
      <c r="V218" s="414"/>
      <c r="W218" s="414"/>
      <c r="X218" s="414"/>
      <c r="Y218" s="414"/>
      <c r="Z218" s="414"/>
    </row>
    <row r="219" spans="1:26" ht="13.5" customHeight="1">
      <c r="A219" s="414"/>
      <c r="B219" s="414"/>
      <c r="C219" s="414"/>
      <c r="D219" s="414"/>
      <c r="E219" s="414"/>
      <c r="F219" s="414"/>
      <c r="G219" s="414"/>
      <c r="H219" s="414"/>
      <c r="I219" s="414"/>
      <c r="J219" s="414"/>
      <c r="K219" s="414"/>
      <c r="L219" s="414"/>
      <c r="M219" s="414"/>
      <c r="N219" s="414"/>
      <c r="O219" s="414"/>
      <c r="P219" s="414"/>
      <c r="Q219" s="414"/>
      <c r="R219" s="414"/>
      <c r="S219" s="414"/>
      <c r="T219" s="414"/>
      <c r="U219" s="414"/>
      <c r="V219" s="414"/>
      <c r="W219" s="414"/>
      <c r="X219" s="414"/>
      <c r="Y219" s="414"/>
      <c r="Z219" s="414"/>
    </row>
    <row r="220" spans="1:26" ht="13.5" customHeight="1">
      <c r="A220" s="414"/>
      <c r="B220" s="414"/>
      <c r="C220" s="414"/>
      <c r="D220" s="414"/>
      <c r="E220" s="414"/>
      <c r="F220" s="414"/>
      <c r="G220" s="414"/>
      <c r="H220" s="414"/>
      <c r="I220" s="414"/>
      <c r="J220" s="414"/>
      <c r="K220" s="414"/>
      <c r="L220" s="414"/>
      <c r="M220" s="414"/>
      <c r="N220" s="414"/>
      <c r="O220" s="414"/>
      <c r="P220" s="414"/>
      <c r="Q220" s="414"/>
      <c r="R220" s="414"/>
      <c r="S220" s="414"/>
      <c r="T220" s="414"/>
      <c r="U220" s="414"/>
      <c r="V220" s="414"/>
      <c r="W220" s="414"/>
      <c r="X220" s="414"/>
      <c r="Y220" s="414"/>
      <c r="Z220" s="414"/>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2060"/>
  </sheetPr>
  <dimension ref="A1:L1000"/>
  <sheetViews>
    <sheetView workbookViewId="0">
      <pane xSplit="1" ySplit="1" topLeftCell="B2" activePane="bottomRight" state="frozen"/>
      <selection pane="topRight" activeCell="B1" sqref="B1"/>
      <selection pane="bottomLeft" activeCell="A2" sqref="A2"/>
      <selection pane="bottomRight" activeCell="A94" sqref="A94"/>
    </sheetView>
  </sheetViews>
  <sheetFormatPr defaultColWidth="11.25" defaultRowHeight="15" customHeight="1"/>
  <cols>
    <col min="1" max="1" width="51.875" style="21" bestFit="1" customWidth="1"/>
    <col min="2" max="2" width="12.75" style="21" bestFit="1" customWidth="1"/>
    <col min="3" max="3" width="12.75" style="21" customWidth="1"/>
    <col min="4" max="4" width="12.5" style="21" customWidth="1"/>
    <col min="5" max="5" width="13.5" style="21" customWidth="1"/>
    <col min="6" max="6" width="12.375" style="21" customWidth="1"/>
    <col min="7" max="8" width="12.5" style="21" customWidth="1"/>
    <col min="9" max="9" width="12.75" style="21" customWidth="1"/>
    <col min="10" max="10" width="13.125" style="21" customWidth="1"/>
    <col min="11" max="11" width="12.5" style="21" customWidth="1"/>
    <col min="12" max="26" width="42.25" style="21" customWidth="1"/>
    <col min="27" max="16384" width="11.25" style="21"/>
  </cols>
  <sheetData>
    <row r="1" spans="1:11" s="26" customFormat="1" ht="21" customHeight="1" thickBot="1">
      <c r="A1" s="549"/>
      <c r="B1" s="168" t="s">
        <v>15</v>
      </c>
      <c r="C1" s="168" t="s">
        <v>16</v>
      </c>
      <c r="D1" s="168" t="s">
        <v>17</v>
      </c>
      <c r="E1" s="168" t="s">
        <v>18</v>
      </c>
      <c r="F1" s="168" t="s">
        <v>19</v>
      </c>
      <c r="G1" s="169" t="s">
        <v>4</v>
      </c>
      <c r="H1" s="169" t="s">
        <v>5</v>
      </c>
      <c r="I1" s="169" t="s">
        <v>6</v>
      </c>
      <c r="J1" s="169" t="s">
        <v>7</v>
      </c>
      <c r="K1" s="224" t="s">
        <v>8</v>
      </c>
    </row>
    <row r="2" spans="1:11" ht="21" customHeight="1" thickBot="1">
      <c r="A2" s="459" t="s">
        <v>769</v>
      </c>
      <c r="B2" s="460"/>
      <c r="C2" s="460"/>
      <c r="D2" s="460"/>
      <c r="E2" s="460"/>
      <c r="F2" s="460"/>
      <c r="G2" s="460"/>
      <c r="H2" s="460"/>
      <c r="I2" s="460"/>
      <c r="J2" s="460"/>
      <c r="K2" s="460"/>
    </row>
    <row r="3" spans="1:11" s="250" customFormat="1" ht="13.5" customHeight="1">
      <c r="A3" s="470" t="s">
        <v>770</v>
      </c>
      <c r="B3" s="473">
        <f>DATA!C51</f>
        <v>4832699.9000000004</v>
      </c>
      <c r="C3" s="473">
        <f>DATA!D51</f>
        <v>5788326.2999999998</v>
      </c>
      <c r="D3" s="474">
        <f>DATA!E51</f>
        <v>9148456</v>
      </c>
      <c r="E3" s="474">
        <f>DATA!F51</f>
        <v>12963311.4</v>
      </c>
      <c r="F3" s="473">
        <f>DATA!G51</f>
        <v>17987087.800000001</v>
      </c>
      <c r="G3" s="479">
        <f>G13</f>
        <v>24255544.251573943</v>
      </c>
      <c r="H3" s="479">
        <f>H13</f>
        <v>32125612.911431175</v>
      </c>
      <c r="I3" s="479">
        <f>I13</f>
        <v>41120800.580762997</v>
      </c>
      <c r="J3" s="479">
        <f>J13</f>
        <v>51210083.271274924</v>
      </c>
      <c r="K3" s="479">
        <f>K13</f>
        <v>62328169.7467933</v>
      </c>
    </row>
    <row r="4" spans="1:11" s="250" customFormat="1" ht="13.5" customHeight="1" thickBot="1">
      <c r="A4" s="470" t="s">
        <v>771</v>
      </c>
      <c r="B4" s="473">
        <f>DATA!C52</f>
        <v>-1396851.6</v>
      </c>
      <c r="C4" s="473">
        <f>DATA!D52</f>
        <v>-2483402.7999999998</v>
      </c>
      <c r="D4" s="473">
        <f>DATA!E52</f>
        <v>-3773176.8</v>
      </c>
      <c r="E4" s="473">
        <f>DATA!F52</f>
        <v>-5695992.0999999996</v>
      </c>
      <c r="F4" s="473">
        <f>DATA!G52</f>
        <v>-8420132.9000000004</v>
      </c>
      <c r="G4" s="479">
        <f>G20</f>
        <v>-11675919.968690686</v>
      </c>
      <c r="H4" s="479">
        <f>H20</f>
        <v>-15654348.168726828</v>
      </c>
      <c r="I4" s="479">
        <f>I20</f>
        <v>-20582645.115004912</v>
      </c>
      <c r="J4" s="479">
        <f>J20</f>
        <v>-26645745.3100795</v>
      </c>
      <c r="K4" s="479">
        <f>K20</f>
        <v>-34020556.987799473</v>
      </c>
    </row>
    <row r="5" spans="1:11" ht="13.5" customHeight="1" thickBot="1">
      <c r="A5" s="468" t="s">
        <v>772</v>
      </c>
    </row>
    <row r="6" spans="1:11" ht="13.5" customHeight="1">
      <c r="A6" s="462" t="s">
        <v>770</v>
      </c>
      <c r="B6" s="220"/>
      <c r="C6" s="220"/>
      <c r="D6" s="220"/>
      <c r="E6" s="220"/>
      <c r="F6" s="220"/>
      <c r="G6" s="221"/>
      <c r="H6" s="221"/>
      <c r="I6" s="221"/>
      <c r="J6" s="221"/>
      <c r="K6" s="221"/>
    </row>
    <row r="7" spans="1:11" ht="13.5" customHeight="1">
      <c r="A7" s="463" t="s">
        <v>773</v>
      </c>
      <c r="B7" s="475">
        <v>2784487.1120000002</v>
      </c>
      <c r="C7" s="475">
        <f t="shared" ref="C7:K7" si="0">B13</f>
        <v>4832699.8949999996</v>
      </c>
      <c r="D7" s="176">
        <f t="shared" si="0"/>
        <v>5788326.3190000001</v>
      </c>
      <c r="E7" s="176">
        <f t="shared" si="0"/>
        <v>9148455.9759999998</v>
      </c>
      <c r="F7" s="176">
        <f t="shared" si="0"/>
        <v>12963311.398999998</v>
      </c>
      <c r="G7" s="177">
        <f t="shared" si="0"/>
        <v>17987087.816999998</v>
      </c>
      <c r="H7" s="177">
        <f t="shared" si="0"/>
        <v>24255544.251573943</v>
      </c>
      <c r="I7" s="177">
        <f t="shared" si="0"/>
        <v>32125612.911431175</v>
      </c>
      <c r="J7" s="177">
        <f t="shared" si="0"/>
        <v>41120800.580762997</v>
      </c>
      <c r="K7" s="177">
        <f t="shared" si="0"/>
        <v>51210083.271274924</v>
      </c>
    </row>
    <row r="8" spans="1:11" s="250" customFormat="1" ht="13.5" customHeight="1">
      <c r="A8" s="470" t="s">
        <v>774</v>
      </c>
      <c r="B8" s="476">
        <v>1968890.737</v>
      </c>
      <c r="C8" s="476">
        <v>864817.39899999998</v>
      </c>
      <c r="D8" s="476">
        <v>2954660.398</v>
      </c>
      <c r="E8" s="476">
        <v>4006670.4419999998</v>
      </c>
      <c r="F8" s="476">
        <v>4974659.585</v>
      </c>
      <c r="G8" s="480">
        <f>F8*(1+G93)</f>
        <v>6188758.5345739443</v>
      </c>
      <c r="H8" s="480">
        <f>G8*(1+H93)</f>
        <v>7622518.3184742751</v>
      </c>
      <c r="I8" s="480">
        <f>H8*(1+I93)</f>
        <v>8690286.9365928508</v>
      </c>
      <c r="J8" s="480">
        <f>I8*(1+J93)</f>
        <v>9741671.2130482104</v>
      </c>
      <c r="K8" s="480">
        <f>J8*(1+K93)</f>
        <v>10825836.33912693</v>
      </c>
    </row>
    <row r="9" spans="1:11" s="250" customFormat="1" ht="13.5" customHeight="1">
      <c r="A9" s="470" t="s">
        <v>775</v>
      </c>
      <c r="B9" s="476">
        <v>84124.077000000005</v>
      </c>
      <c r="C9" s="476">
        <v>56017.785000000003</v>
      </c>
      <c r="D9" s="476">
        <v>500065.43800000002</v>
      </c>
      <c r="E9" s="476">
        <v>29559.190999999999</v>
      </c>
      <c r="F9" s="476">
        <v>98332.123999999996</v>
      </c>
      <c r="G9" s="480">
        <f>-G90</f>
        <v>79697.899999999994</v>
      </c>
      <c r="H9" s="480">
        <f>-H90</f>
        <v>247550.34138295776</v>
      </c>
      <c r="I9" s="480">
        <f>-I90</f>
        <v>304900.73273897101</v>
      </c>
      <c r="J9" s="480">
        <f>-J90</f>
        <v>347611.47746371402</v>
      </c>
      <c r="K9" s="480">
        <f>-K90</f>
        <v>292250.13639144629</v>
      </c>
    </row>
    <row r="10" spans="1:11" ht="13.5" customHeight="1">
      <c r="A10" s="463" t="s">
        <v>776</v>
      </c>
      <c r="B10" s="475">
        <v>-4669.4170000000004</v>
      </c>
      <c r="C10" s="475">
        <v>-153744.647</v>
      </c>
      <c r="D10" s="475">
        <v>-94596.179000000004</v>
      </c>
      <c r="E10" s="475">
        <v>-221374.21</v>
      </c>
      <c r="F10" s="475">
        <v>-159449.22399999999</v>
      </c>
      <c r="G10" s="205">
        <v>0</v>
      </c>
      <c r="H10" s="205">
        <v>0</v>
      </c>
      <c r="I10" s="205">
        <v>0</v>
      </c>
      <c r="J10" s="205">
        <v>0</v>
      </c>
      <c r="K10" s="205">
        <v>0</v>
      </c>
    </row>
    <row r="11" spans="1:11" ht="13.5" customHeight="1">
      <c r="A11" s="463" t="s">
        <v>777</v>
      </c>
      <c r="B11" s="475">
        <v>-132.614</v>
      </c>
      <c r="C11" s="475">
        <v>0</v>
      </c>
      <c r="D11" s="475">
        <v>0</v>
      </c>
      <c r="E11" s="475">
        <v>0</v>
      </c>
      <c r="F11" s="475">
        <v>0</v>
      </c>
      <c r="G11" s="205">
        <v>0</v>
      </c>
      <c r="H11" s="205">
        <v>0</v>
      </c>
      <c r="I11" s="205">
        <v>0</v>
      </c>
      <c r="J11" s="205">
        <v>0</v>
      </c>
      <c r="K11" s="205">
        <v>0</v>
      </c>
    </row>
    <row r="12" spans="1:11" ht="13.5" customHeight="1">
      <c r="A12" s="463" t="s">
        <v>778</v>
      </c>
      <c r="B12" s="475">
        <v>0</v>
      </c>
      <c r="C12" s="475">
        <v>188535.88699999999</v>
      </c>
      <c r="D12" s="475">
        <v>0</v>
      </c>
      <c r="E12" s="475">
        <v>0</v>
      </c>
      <c r="F12" s="475">
        <v>110233.933</v>
      </c>
      <c r="G12" s="205">
        <v>0</v>
      </c>
      <c r="H12" s="205">
        <v>0</v>
      </c>
      <c r="I12" s="205">
        <v>0</v>
      </c>
      <c r="J12" s="205">
        <v>0</v>
      </c>
      <c r="K12" s="205">
        <v>0</v>
      </c>
    </row>
    <row r="13" spans="1:11" ht="13.5" customHeight="1">
      <c r="A13" s="463" t="s">
        <v>779</v>
      </c>
      <c r="B13" s="176">
        <f>SUM(B7:B12)</f>
        <v>4832699.8949999996</v>
      </c>
      <c r="C13" s="176">
        <f>SUM(C7:C12)</f>
        <v>5788326.3190000001</v>
      </c>
      <c r="D13" s="176">
        <f>SUM(D7:D12)</f>
        <v>9148455.9759999998</v>
      </c>
      <c r="E13" s="176">
        <f>SUM(E7:E12)</f>
        <v>12963311.398999998</v>
      </c>
      <c r="F13" s="176">
        <f>SUM(F7:F12)</f>
        <v>17987087.816999998</v>
      </c>
      <c r="G13" s="177">
        <f>SUM(G7:G9)</f>
        <v>24255544.251573943</v>
      </c>
      <c r="H13" s="177">
        <f>SUM(H7:H9)</f>
        <v>32125612.911431175</v>
      </c>
      <c r="I13" s="177">
        <f>SUM(I7:I9)</f>
        <v>41120800.580762997</v>
      </c>
      <c r="J13" s="177">
        <f>SUM(J7:J9)</f>
        <v>51210083.271274924</v>
      </c>
      <c r="K13" s="177">
        <f>SUM(K7:K9)</f>
        <v>62328169.7467933</v>
      </c>
    </row>
    <row r="14" spans="1:11" s="26" customFormat="1" ht="13.5" customHeight="1">
      <c r="A14" s="462" t="s">
        <v>771</v>
      </c>
      <c r="B14" s="219"/>
      <c r="C14" s="219"/>
      <c r="D14" s="219"/>
      <c r="E14" s="219"/>
      <c r="F14" s="219"/>
      <c r="G14" s="481"/>
      <c r="H14" s="481"/>
      <c r="I14" s="481"/>
      <c r="J14" s="481"/>
      <c r="K14" s="481"/>
    </row>
    <row r="15" spans="1:11" ht="13.5" customHeight="1">
      <c r="A15" s="463" t="s">
        <v>773</v>
      </c>
      <c r="B15" s="475">
        <v>-714678.34100000001</v>
      </c>
      <c r="C15" s="176">
        <f t="shared" ref="C15:K15" si="1">B20</f>
        <v>-1396851.5740000003</v>
      </c>
      <c r="D15" s="475">
        <f t="shared" si="1"/>
        <v>-2483402.7999999998</v>
      </c>
      <c r="E15" s="475">
        <f t="shared" si="1"/>
        <v>-3773176.8139999998</v>
      </c>
      <c r="F15" s="176">
        <f t="shared" si="1"/>
        <v>-5695992.1209999993</v>
      </c>
      <c r="G15" s="177">
        <f t="shared" si="1"/>
        <v>-8420132.9120000005</v>
      </c>
      <c r="H15" s="177">
        <f t="shared" si="1"/>
        <v>-11675919.968690686</v>
      </c>
      <c r="I15" s="177">
        <f t="shared" si="1"/>
        <v>-15654348.168726828</v>
      </c>
      <c r="J15" s="177">
        <f t="shared" si="1"/>
        <v>-20582645.115004912</v>
      </c>
      <c r="K15" s="177">
        <f t="shared" si="1"/>
        <v>-26645745.3100795</v>
      </c>
    </row>
    <row r="16" spans="1:11" ht="13.5" customHeight="1">
      <c r="A16" s="471" t="s">
        <v>780</v>
      </c>
      <c r="B16" s="475">
        <v>-686732.39300000004</v>
      </c>
      <c r="C16" s="475">
        <v>-1160832.32</v>
      </c>
      <c r="D16" s="475">
        <v>-1380694.9750000001</v>
      </c>
      <c r="E16" s="475">
        <v>-2132376.321</v>
      </c>
      <c r="F16" s="475">
        <v>-2857407.1630000002</v>
      </c>
      <c r="G16" s="177">
        <f>-G30</f>
        <v>-3255787.056690685</v>
      </c>
      <c r="H16" s="177">
        <f>-H30</f>
        <v>-3978428.2000361411</v>
      </c>
      <c r="I16" s="177">
        <f>-I30</f>
        <v>-4928296.9462780859</v>
      </c>
      <c r="J16" s="177">
        <f>-J30</f>
        <v>-6063100.1950745881</v>
      </c>
      <c r="K16" s="177">
        <f>-K30</f>
        <v>-7374811.6777199702</v>
      </c>
    </row>
    <row r="17" spans="1:11" ht="13.5" customHeight="1">
      <c r="A17" s="471" t="s">
        <v>776</v>
      </c>
      <c r="B17" s="475">
        <v>4541.91</v>
      </c>
      <c r="C17" s="475">
        <v>152404.568</v>
      </c>
      <c r="D17" s="475">
        <v>90920.960999999996</v>
      </c>
      <c r="E17" s="475">
        <v>209561.014</v>
      </c>
      <c r="F17" s="475">
        <v>149436.68799999999</v>
      </c>
      <c r="G17" s="177"/>
      <c r="H17" s="177"/>
      <c r="I17" s="177"/>
      <c r="J17" s="177"/>
      <c r="K17" s="177"/>
    </row>
    <row r="18" spans="1:11" ht="13.5" customHeight="1">
      <c r="A18" s="471" t="s">
        <v>777</v>
      </c>
      <c r="B18" s="475">
        <v>17.25</v>
      </c>
      <c r="C18" s="475">
        <v>0</v>
      </c>
      <c r="D18" s="475">
        <v>0</v>
      </c>
      <c r="E18" s="475">
        <v>0</v>
      </c>
      <c r="F18" s="475">
        <v>0</v>
      </c>
      <c r="G18" s="177"/>
      <c r="H18" s="177"/>
      <c r="I18" s="177"/>
      <c r="J18" s="177"/>
      <c r="K18" s="177"/>
    </row>
    <row r="19" spans="1:11" ht="13.5" customHeight="1">
      <c r="A19" s="471" t="s">
        <v>778</v>
      </c>
      <c r="B19" s="475">
        <v>0</v>
      </c>
      <c r="C19" s="475">
        <v>-78123.585999999996</v>
      </c>
      <c r="D19" s="475">
        <v>0</v>
      </c>
      <c r="E19" s="475">
        <v>0</v>
      </c>
      <c r="F19" s="475">
        <v>-16170.316000000001</v>
      </c>
      <c r="G19" s="177"/>
      <c r="H19" s="177"/>
      <c r="I19" s="177"/>
      <c r="J19" s="177"/>
      <c r="K19" s="177"/>
    </row>
    <row r="20" spans="1:11" ht="13.5" customHeight="1">
      <c r="A20" s="463" t="s">
        <v>779</v>
      </c>
      <c r="B20" s="176">
        <f>SUM(B15:B19)</f>
        <v>-1396851.5740000003</v>
      </c>
      <c r="C20" s="176">
        <f>C4</f>
        <v>-2483402.7999999998</v>
      </c>
      <c r="D20" s="176">
        <f>SUM(D15:D19)</f>
        <v>-3773176.8139999998</v>
      </c>
      <c r="E20" s="176">
        <f>SUM(E15:E19)</f>
        <v>-5695992.1209999993</v>
      </c>
      <c r="F20" s="176">
        <f>SUM(F15:F19)</f>
        <v>-8420132.9120000005</v>
      </c>
      <c r="G20" s="177">
        <f>SUM(G15:G16)</f>
        <v>-11675919.968690686</v>
      </c>
      <c r="H20" s="177">
        <f>SUM(H15:H16)</f>
        <v>-15654348.168726828</v>
      </c>
      <c r="I20" s="177">
        <f>SUM(I15:I16)</f>
        <v>-20582645.115004912</v>
      </c>
      <c r="J20" s="177">
        <f>SUM(J15:J16)</f>
        <v>-26645745.3100795</v>
      </c>
      <c r="K20" s="177">
        <f>SUM(K15:K16)</f>
        <v>-34020556.987799473</v>
      </c>
    </row>
    <row r="21" spans="1:11" ht="13.5" customHeight="1">
      <c r="A21" s="463" t="s">
        <v>781</v>
      </c>
      <c r="B21" s="220"/>
      <c r="C21" s="220"/>
      <c r="D21" s="220"/>
      <c r="E21" s="220"/>
      <c r="F21" s="475">
        <f>F13/-F16</f>
        <v>6.2948984134677195</v>
      </c>
      <c r="G21" s="221"/>
      <c r="H21" s="221"/>
      <c r="I21" s="221"/>
      <c r="J21" s="221"/>
      <c r="K21" s="221"/>
    </row>
    <row r="22" spans="1:11" ht="13.5" customHeight="1">
      <c r="A22" s="463" t="s">
        <v>782</v>
      </c>
      <c r="B22" s="220"/>
      <c r="C22" s="220"/>
      <c r="D22" s="220"/>
      <c r="E22" s="220"/>
      <c r="F22" s="475">
        <v>6</v>
      </c>
      <c r="G22" s="221"/>
      <c r="H22" s="221"/>
      <c r="I22" s="221"/>
      <c r="J22" s="221"/>
      <c r="K22" s="221"/>
    </row>
    <row r="23" spans="1:11" ht="13.5" customHeight="1">
      <c r="A23" s="463" t="s">
        <v>783</v>
      </c>
      <c r="B23" s="220"/>
      <c r="C23" s="220"/>
      <c r="D23" s="220"/>
      <c r="E23" s="220"/>
      <c r="F23" s="475">
        <f>1/F22</f>
        <v>0.16666666666666666</v>
      </c>
      <c r="G23" s="221"/>
      <c r="H23" s="221"/>
      <c r="I23" s="221"/>
      <c r="J23" s="221"/>
      <c r="K23" s="221"/>
    </row>
    <row r="24" spans="1:11" ht="25.15" customHeight="1">
      <c r="A24" s="463" t="s">
        <v>784</v>
      </c>
      <c r="B24" s="220"/>
      <c r="C24" s="220"/>
      <c r="D24" s="220"/>
      <c r="E24" s="220"/>
      <c r="F24" s="176">
        <f>-F16</f>
        <v>2857407.1630000002</v>
      </c>
      <c r="G24" s="177">
        <f>SYD($F$34,0,$F$22,1)</f>
        <v>2733415.6871428564</v>
      </c>
      <c r="H24" s="177">
        <f>SYD($F$34,0,$F$22,2)</f>
        <v>2277846.4059523805</v>
      </c>
      <c r="I24" s="177">
        <f>SYD($F$34,0,$F$22,3)</f>
        <v>1822277.1247619044</v>
      </c>
      <c r="J24" s="177">
        <f>SYD($F$34,0,$F$22,4)</f>
        <v>1366707.8435714282</v>
      </c>
      <c r="K24" s="177">
        <f>SYD($F$34,0,$F$22,5)</f>
        <v>911138.56238095218</v>
      </c>
    </row>
    <row r="25" spans="1:11" ht="19.5" customHeight="1">
      <c r="A25" s="463" t="s">
        <v>785</v>
      </c>
      <c r="B25" s="220"/>
      <c r="C25" s="220"/>
      <c r="D25" s="220"/>
      <c r="E25" s="220" t="s">
        <v>66</v>
      </c>
      <c r="F25" s="477">
        <v>0.5</v>
      </c>
      <c r="G25" s="227">
        <f>(SUM(G8:G9)/F22)*F25</f>
        <v>522371.36954782874</v>
      </c>
      <c r="H25" s="205">
        <f>(SUM($G$8:$G$9)*$F$23)</f>
        <v>1044742.7390956574</v>
      </c>
      <c r="I25" s="205">
        <f>(SUM($G$8:$G$9)*$F$23)</f>
        <v>1044742.7390956574</v>
      </c>
      <c r="J25" s="205">
        <f>(SUM($G$8:$G$9)*$F$23)</f>
        <v>1044742.7390956574</v>
      </c>
      <c r="K25" s="205">
        <f>(SUM($G$8:$G$9)*$F$23)</f>
        <v>1044742.7390956574</v>
      </c>
    </row>
    <row r="26" spans="1:11" ht="21" customHeight="1">
      <c r="A26" s="463" t="s">
        <v>786</v>
      </c>
      <c r="B26" s="220"/>
      <c r="C26" s="220"/>
      <c r="D26" s="220"/>
      <c r="E26" s="220"/>
      <c r="F26" s="220"/>
      <c r="G26" s="221"/>
      <c r="H26" s="177">
        <f>F25*SUM($H$8:$H$9)*$F$23</f>
        <v>655839.05498810275</v>
      </c>
      <c r="I26" s="177">
        <f>SUM($H$8:$H$9)*$F$23</f>
        <v>1311678.1099762055</v>
      </c>
      <c r="J26" s="177">
        <f>SUM($H$8:$H$9)*$F$23</f>
        <v>1311678.1099762055</v>
      </c>
      <c r="K26" s="177">
        <f>SUM($H$8:$H$9)*$F$23</f>
        <v>1311678.1099762055</v>
      </c>
    </row>
    <row r="27" spans="1:11" ht="17.25" customHeight="1">
      <c r="A27" s="463" t="s">
        <v>787</v>
      </c>
      <c r="B27" s="220"/>
      <c r="C27" s="220"/>
      <c r="D27" s="220"/>
      <c r="E27" s="220"/>
      <c r="F27" s="220"/>
      <c r="G27" s="221"/>
      <c r="H27" s="221"/>
      <c r="I27" s="205">
        <f>J27*F25</f>
        <v>749598.97244431847</v>
      </c>
      <c r="J27" s="205">
        <f>SUM($I$8:$I$9)*$F$23</f>
        <v>1499197.9448886369</v>
      </c>
      <c r="K27" s="205">
        <f>SUM($I$8:$I$9)*$F$23</f>
        <v>1499197.9448886369</v>
      </c>
    </row>
    <row r="28" spans="1:11" ht="21.75" customHeight="1">
      <c r="A28" s="463" t="s">
        <v>788</v>
      </c>
      <c r="B28" s="220"/>
      <c r="C28" s="220"/>
      <c r="D28" s="220"/>
      <c r="E28" s="220"/>
      <c r="F28" s="220"/>
      <c r="G28" s="221"/>
      <c r="H28" s="221"/>
      <c r="I28" s="221"/>
      <c r="J28" s="177">
        <f>K28*F25</f>
        <v>840773.55754266039</v>
      </c>
      <c r="K28" s="177">
        <f>SUM($J$8:$J$9)*$F$23</f>
        <v>1681547.1150853208</v>
      </c>
    </row>
    <row r="29" spans="1:11" ht="24" customHeight="1">
      <c r="A29" s="463" t="s">
        <v>789</v>
      </c>
      <c r="B29" s="220"/>
      <c r="C29" s="220"/>
      <c r="D29" s="220"/>
      <c r="E29" s="220"/>
      <c r="F29" s="220"/>
      <c r="G29" s="221"/>
      <c r="H29" s="221"/>
      <c r="I29" s="221"/>
      <c r="J29" s="177"/>
      <c r="K29" s="177">
        <f>F25*SUM(K8:K9)*F23</f>
        <v>926507.20629319793</v>
      </c>
    </row>
    <row r="30" spans="1:11" ht="20.25" customHeight="1">
      <c r="A30" s="463" t="s">
        <v>790</v>
      </c>
      <c r="B30" s="220"/>
      <c r="C30" s="220"/>
      <c r="D30" s="220"/>
      <c r="E30" s="220"/>
      <c r="F30" s="220"/>
      <c r="G30" s="177">
        <f>SUM(G24:G29)</f>
        <v>3255787.056690685</v>
      </c>
      <c r="H30" s="177">
        <f>SUM(H24:H29)</f>
        <v>3978428.2000361411</v>
      </c>
      <c r="I30" s="177">
        <f>SUM(I24:I29)</f>
        <v>4928296.9462780859</v>
      </c>
      <c r="J30" s="177">
        <f>SUM(J24:J29)</f>
        <v>6063100.1950745881</v>
      </c>
      <c r="K30" s="177">
        <f>SUM(K24:K29)</f>
        <v>7374811.6777199702</v>
      </c>
    </row>
    <row r="31" spans="1:11" ht="13.5" customHeight="1">
      <c r="A31" s="463"/>
      <c r="B31" s="220"/>
      <c r="C31" s="220"/>
      <c r="D31" s="220"/>
      <c r="E31" s="220"/>
      <c r="F31" s="220"/>
      <c r="G31" s="221"/>
      <c r="H31" s="221"/>
      <c r="I31" s="221"/>
      <c r="J31" s="221"/>
      <c r="K31" s="221"/>
    </row>
    <row r="32" spans="1:11" ht="13.5" customHeight="1">
      <c r="A32" s="462" t="s">
        <v>726</v>
      </c>
      <c r="B32" s="220"/>
      <c r="C32" s="220"/>
      <c r="D32" s="220"/>
      <c r="E32" s="220"/>
      <c r="F32" s="220"/>
      <c r="G32" s="221"/>
      <c r="H32" s="221"/>
      <c r="I32" s="221"/>
      <c r="J32" s="221"/>
      <c r="K32" s="221"/>
    </row>
    <row r="33" spans="1:11" ht="13.5" customHeight="1">
      <c r="A33" s="463" t="s">
        <v>791</v>
      </c>
      <c r="B33" s="176">
        <v>1780323.7109999999</v>
      </c>
      <c r="C33" s="176">
        <f t="shared" ref="C33:K33" si="2">B34</f>
        <v>3435848.3209999995</v>
      </c>
      <c r="D33" s="176">
        <f t="shared" si="2"/>
        <v>3304923.5190000003</v>
      </c>
      <c r="E33" s="176">
        <f t="shared" si="2"/>
        <v>5375279.1620000005</v>
      </c>
      <c r="F33" s="176">
        <f t="shared" si="2"/>
        <v>7267319.277999999</v>
      </c>
      <c r="G33" s="177">
        <f t="shared" si="2"/>
        <v>9566954.9049999975</v>
      </c>
      <c r="H33" s="177">
        <f t="shared" si="2"/>
        <v>12579624.282883257</v>
      </c>
      <c r="I33" s="177">
        <f t="shared" si="2"/>
        <v>16471264.742704347</v>
      </c>
      <c r="J33" s="177">
        <f t="shared" si="2"/>
        <v>20538155.465758085</v>
      </c>
      <c r="K33" s="177">
        <f t="shared" si="2"/>
        <v>24564337.961195424</v>
      </c>
    </row>
    <row r="34" spans="1:11" ht="13.5" customHeight="1">
      <c r="A34" s="463" t="s">
        <v>779</v>
      </c>
      <c r="B34" s="176">
        <f t="shared" ref="B34:K34" si="3">B13+B20</f>
        <v>3435848.3209999995</v>
      </c>
      <c r="C34" s="176">
        <f t="shared" si="3"/>
        <v>3304923.5190000003</v>
      </c>
      <c r="D34" s="176">
        <f t="shared" si="3"/>
        <v>5375279.1620000005</v>
      </c>
      <c r="E34" s="176">
        <f t="shared" si="3"/>
        <v>7267319.277999999</v>
      </c>
      <c r="F34" s="176">
        <f t="shared" si="3"/>
        <v>9566954.9049999975</v>
      </c>
      <c r="G34" s="177">
        <f t="shared" si="3"/>
        <v>12579624.282883257</v>
      </c>
      <c r="H34" s="177">
        <f t="shared" si="3"/>
        <v>16471264.742704347</v>
      </c>
      <c r="I34" s="177">
        <f t="shared" si="3"/>
        <v>20538155.465758085</v>
      </c>
      <c r="J34" s="177">
        <f t="shared" si="3"/>
        <v>24564337.961195424</v>
      </c>
      <c r="K34" s="177">
        <f t="shared" si="3"/>
        <v>28307612.758993827</v>
      </c>
    </row>
    <row r="35" spans="1:11" ht="13.5" customHeight="1" thickBot="1">
      <c r="A35" s="464"/>
      <c r="G35" s="221"/>
      <c r="H35" s="221"/>
      <c r="I35" s="221"/>
      <c r="J35" s="221"/>
      <c r="K35" s="221"/>
    </row>
    <row r="36" spans="1:11" ht="21" customHeight="1" thickBot="1">
      <c r="A36" s="459" t="s">
        <v>792</v>
      </c>
      <c r="G36" s="221"/>
      <c r="H36" s="221"/>
      <c r="I36" s="221"/>
      <c r="J36" s="221"/>
      <c r="K36" s="221"/>
    </row>
    <row r="37" spans="1:11" ht="13.5" customHeight="1">
      <c r="A37" s="470" t="s">
        <v>770</v>
      </c>
      <c r="B37" s="176">
        <f>DATA!C57</f>
        <v>32779.5</v>
      </c>
      <c r="C37" s="176">
        <f>DATA!D57</f>
        <v>33838.400000000001</v>
      </c>
      <c r="D37" s="176">
        <f>DATA!E57</f>
        <v>34852.199999999997</v>
      </c>
      <c r="E37" s="176">
        <f>DATA!F57</f>
        <v>35811.599999999999</v>
      </c>
      <c r="F37" s="176">
        <f>DATA!G57</f>
        <v>90297.8</v>
      </c>
      <c r="G37" s="177">
        <f>F37+G42</f>
        <v>91257.2</v>
      </c>
      <c r="H37" s="177">
        <f>G37+H42</f>
        <v>92216.599999999991</v>
      </c>
      <c r="I37" s="177">
        <f>H37+I42</f>
        <v>93175.999999999985</v>
      </c>
      <c r="J37" s="177">
        <f>I37+J42</f>
        <v>94135.39999999998</v>
      </c>
      <c r="K37" s="177">
        <f>J37+K42</f>
        <v>95094.799999999974</v>
      </c>
    </row>
    <row r="38" spans="1:11" ht="13.5" customHeight="1" thickBot="1">
      <c r="A38" s="470" t="s">
        <v>771</v>
      </c>
      <c r="B38" s="176">
        <f>DATA!C58</f>
        <v>-4969.8</v>
      </c>
      <c r="C38" s="176">
        <f>DATA!D58</f>
        <v>-5614.3</v>
      </c>
      <c r="D38" s="176">
        <f>DATA!E58</f>
        <v>-6354.4</v>
      </c>
      <c r="E38" s="176">
        <f>DATA!F58</f>
        <v>-8169.3</v>
      </c>
      <c r="F38" s="176">
        <f>DATA!G58</f>
        <v>-10083.799999999999</v>
      </c>
      <c r="G38" s="177">
        <f>G48+G73</f>
        <v>-15951.703600000001</v>
      </c>
      <c r="H38" s="177">
        <f>H48+H73</f>
        <v>-21990.581200000001</v>
      </c>
      <c r="I38" s="177">
        <f>I48+I73</f>
        <v>-28200.472800000003</v>
      </c>
      <c r="J38" s="177">
        <f>J48+J73</f>
        <v>-34581.378400000001</v>
      </c>
      <c r="K38" s="177">
        <f>K48+K73</f>
        <v>-40893.448000000004</v>
      </c>
    </row>
    <row r="39" spans="1:11" ht="13.5" customHeight="1" thickBot="1">
      <c r="A39" s="468" t="s">
        <v>793</v>
      </c>
      <c r="E39" s="229"/>
      <c r="G39" s="221"/>
      <c r="H39" s="221"/>
      <c r="I39" s="221"/>
      <c r="J39" s="221"/>
      <c r="K39" s="221"/>
    </row>
    <row r="40" spans="1:11" ht="13.5" customHeight="1">
      <c r="A40" s="462" t="s">
        <v>770</v>
      </c>
      <c r="B40" s="220"/>
      <c r="C40" s="220"/>
      <c r="D40" s="220"/>
      <c r="E40" s="220"/>
      <c r="F40" s="220"/>
      <c r="G40" s="221"/>
      <c r="H40" s="221"/>
      <c r="I40" s="221"/>
      <c r="J40" s="221"/>
      <c r="K40" s="221"/>
    </row>
    <row r="41" spans="1:11" ht="13.5" customHeight="1">
      <c r="A41" s="463" t="s">
        <v>773</v>
      </c>
      <c r="B41" s="176">
        <v>5109.2</v>
      </c>
      <c r="C41" s="176">
        <f t="shared" ref="C41:K41" si="4">B43</f>
        <v>6780.5</v>
      </c>
      <c r="D41" s="176">
        <f t="shared" si="4"/>
        <v>7839.45</v>
      </c>
      <c r="E41" s="176">
        <f t="shared" si="4"/>
        <v>8853.2199999999993</v>
      </c>
      <c r="F41" s="176">
        <f t="shared" si="4"/>
        <v>9812.65</v>
      </c>
      <c r="G41" s="177">
        <f t="shared" si="4"/>
        <v>10772.05</v>
      </c>
      <c r="H41" s="177">
        <f t="shared" si="4"/>
        <v>11731.449999999999</v>
      </c>
      <c r="I41" s="177">
        <f t="shared" si="4"/>
        <v>12690.849999999999</v>
      </c>
      <c r="J41" s="177">
        <f t="shared" si="4"/>
        <v>13650.249999999998</v>
      </c>
      <c r="K41" s="177">
        <f t="shared" si="4"/>
        <v>14609.649999999998</v>
      </c>
    </row>
    <row r="42" spans="1:11" ht="13.5" customHeight="1">
      <c r="A42" s="471" t="s">
        <v>774</v>
      </c>
      <c r="B42" s="176">
        <v>1671.3</v>
      </c>
      <c r="C42" s="176">
        <v>1058.95</v>
      </c>
      <c r="D42" s="176">
        <v>1013.77</v>
      </c>
      <c r="E42" s="176">
        <v>959.43</v>
      </c>
      <c r="F42" s="176">
        <v>959.4</v>
      </c>
      <c r="G42" s="205">
        <f>F42</f>
        <v>959.4</v>
      </c>
      <c r="H42" s="205">
        <f>G42</f>
        <v>959.4</v>
      </c>
      <c r="I42" s="205">
        <f>H42</f>
        <v>959.4</v>
      </c>
      <c r="J42" s="205">
        <f>I42</f>
        <v>959.4</v>
      </c>
      <c r="K42" s="205">
        <f>J42</f>
        <v>959.4</v>
      </c>
    </row>
    <row r="43" spans="1:11" ht="13.5" customHeight="1">
      <c r="A43" s="463" t="s">
        <v>779</v>
      </c>
      <c r="B43" s="176">
        <f t="shared" ref="B43:K43" si="5">B41+B42</f>
        <v>6780.5</v>
      </c>
      <c r="C43" s="176">
        <f t="shared" si="5"/>
        <v>7839.45</v>
      </c>
      <c r="D43" s="176">
        <f t="shared" si="5"/>
        <v>8853.2199999999993</v>
      </c>
      <c r="E43" s="176">
        <f t="shared" si="5"/>
        <v>9812.65</v>
      </c>
      <c r="F43" s="176">
        <f t="shared" si="5"/>
        <v>10772.05</v>
      </c>
      <c r="G43" s="177">
        <f t="shared" si="5"/>
        <v>11731.449999999999</v>
      </c>
      <c r="H43" s="177">
        <f t="shared" si="5"/>
        <v>12690.849999999999</v>
      </c>
      <c r="I43" s="177">
        <f t="shared" si="5"/>
        <v>13650.249999999998</v>
      </c>
      <c r="J43" s="177">
        <f t="shared" si="5"/>
        <v>14609.649999999998</v>
      </c>
      <c r="K43" s="177">
        <f t="shared" si="5"/>
        <v>15569.049999999997</v>
      </c>
    </row>
    <row r="44" spans="1:11" ht="13.5" customHeight="1">
      <c r="A44" s="463"/>
      <c r="B44" s="220"/>
      <c r="C44" s="220"/>
      <c r="D44" s="220"/>
      <c r="E44" s="220"/>
      <c r="F44" s="475"/>
      <c r="G44" s="221"/>
      <c r="H44" s="221"/>
      <c r="I44" s="221"/>
      <c r="J44" s="221"/>
      <c r="K44" s="221"/>
    </row>
    <row r="45" spans="1:11" ht="13.5" customHeight="1">
      <c r="A45" s="462" t="s">
        <v>771</v>
      </c>
      <c r="B45" s="220"/>
      <c r="C45" s="220"/>
      <c r="D45" s="220"/>
      <c r="E45" s="220"/>
      <c r="F45" s="220"/>
      <c r="G45" s="221"/>
      <c r="H45" s="221"/>
      <c r="I45" s="221"/>
      <c r="J45" s="221"/>
      <c r="K45" s="221"/>
    </row>
    <row r="46" spans="1:11" ht="13.5" customHeight="1">
      <c r="A46" s="463" t="s">
        <v>773</v>
      </c>
      <c r="B46" s="176">
        <v>-4493.66</v>
      </c>
      <c r="C46" s="176">
        <f t="shared" ref="C46:K46" si="6">B48</f>
        <v>-4969.8</v>
      </c>
      <c r="D46" s="176">
        <f t="shared" si="6"/>
        <v>-5614.2800000000007</v>
      </c>
      <c r="E46" s="176">
        <f t="shared" si="6"/>
        <v>-6354.3700000000008</v>
      </c>
      <c r="F46" s="176">
        <f t="shared" si="6"/>
        <v>-8169.27</v>
      </c>
      <c r="G46" s="177">
        <f t="shared" si="6"/>
        <v>-10083.84</v>
      </c>
      <c r="H46" s="177">
        <f t="shared" si="6"/>
        <v>-10599.034</v>
      </c>
      <c r="I46" s="177">
        <f t="shared" si="6"/>
        <v>-11285.242</v>
      </c>
      <c r="J46" s="177">
        <f t="shared" si="6"/>
        <v>-12142.464</v>
      </c>
      <c r="K46" s="177">
        <f t="shared" si="6"/>
        <v>-13170.7</v>
      </c>
    </row>
    <row r="47" spans="1:11" ht="13.5" customHeight="1">
      <c r="A47" s="471" t="s">
        <v>774</v>
      </c>
      <c r="B47" s="176">
        <v>-476.14</v>
      </c>
      <c r="C47" s="176">
        <v>-644.48</v>
      </c>
      <c r="D47" s="176">
        <v>-740.09</v>
      </c>
      <c r="E47" s="176">
        <v>-1814.9</v>
      </c>
      <c r="F47" s="176">
        <v>-1914.57</v>
      </c>
      <c r="G47" s="177">
        <f>-G58</f>
        <v>-515.19399999999996</v>
      </c>
      <c r="H47" s="177">
        <f>-H58</f>
        <v>-686.20799999999997</v>
      </c>
      <c r="I47" s="177">
        <f>-I58</f>
        <v>-857.22199999999998</v>
      </c>
      <c r="J47" s="177">
        <f>-J58</f>
        <v>-1028.2359999999999</v>
      </c>
      <c r="K47" s="177">
        <f>-K58</f>
        <v>-959.4</v>
      </c>
    </row>
    <row r="48" spans="1:11" ht="13.5" customHeight="1">
      <c r="A48" s="463" t="s">
        <v>779</v>
      </c>
      <c r="B48" s="176">
        <f t="shared" ref="B48:K48" si="7">SUM(B46:B47)</f>
        <v>-4969.8</v>
      </c>
      <c r="C48" s="176">
        <f t="shared" si="7"/>
        <v>-5614.2800000000007</v>
      </c>
      <c r="D48" s="176">
        <f t="shared" si="7"/>
        <v>-6354.3700000000008</v>
      </c>
      <c r="E48" s="176">
        <f t="shared" si="7"/>
        <v>-8169.27</v>
      </c>
      <c r="F48" s="176">
        <f t="shared" si="7"/>
        <v>-10083.84</v>
      </c>
      <c r="G48" s="177">
        <f t="shared" si="7"/>
        <v>-10599.034</v>
      </c>
      <c r="H48" s="177">
        <f t="shared" si="7"/>
        <v>-11285.242</v>
      </c>
      <c r="I48" s="177">
        <f t="shared" si="7"/>
        <v>-12142.464</v>
      </c>
      <c r="J48" s="177">
        <f t="shared" si="7"/>
        <v>-13170.7</v>
      </c>
      <c r="K48" s="177">
        <f t="shared" si="7"/>
        <v>-14130.1</v>
      </c>
    </row>
    <row r="49" spans="1:12" ht="13.5" customHeight="1">
      <c r="A49" s="463"/>
      <c r="B49" s="176"/>
      <c r="C49" s="176"/>
      <c r="D49" s="176"/>
      <c r="E49" s="176"/>
      <c r="F49" s="176"/>
      <c r="G49" s="177"/>
      <c r="H49" s="177"/>
      <c r="I49" s="177"/>
      <c r="J49" s="177"/>
      <c r="K49" s="177"/>
    </row>
    <row r="50" spans="1:12" ht="18.75" customHeight="1">
      <c r="A50" s="463" t="s">
        <v>781</v>
      </c>
      <c r="B50" s="220"/>
      <c r="C50" s="475"/>
      <c r="D50" s="220"/>
      <c r="E50" s="220"/>
      <c r="F50" s="220">
        <v>4</v>
      </c>
      <c r="G50" s="221"/>
      <c r="H50" s="221"/>
      <c r="I50" s="221"/>
      <c r="J50" s="221"/>
      <c r="K50" s="221"/>
    </row>
    <row r="51" spans="1:12" ht="13.5" customHeight="1">
      <c r="A51" s="463" t="s">
        <v>783</v>
      </c>
      <c r="B51" s="220"/>
      <c r="C51" s="475"/>
      <c r="D51" s="220"/>
      <c r="E51" s="220"/>
      <c r="F51" s="220">
        <f>1/F50</f>
        <v>0.25</v>
      </c>
      <c r="G51" s="205"/>
      <c r="H51" s="205"/>
      <c r="I51" s="205"/>
      <c r="J51" s="221"/>
      <c r="K51" s="221"/>
    </row>
    <row r="52" spans="1:12" ht="22.5" customHeight="1">
      <c r="A52" s="463" t="s">
        <v>794</v>
      </c>
      <c r="B52" s="220"/>
      <c r="C52" s="220"/>
      <c r="D52" s="220"/>
      <c r="E52" s="220"/>
      <c r="F52" s="176">
        <f>-F47</f>
        <v>1914.57</v>
      </c>
      <c r="G52" s="205">
        <f>SYD($F$62,0,$F$50,1)</f>
        <v>275.34399999999999</v>
      </c>
      <c r="H52" s="205">
        <f>SYD($F$62,0,$F$50,2)</f>
        <v>206.50799999999998</v>
      </c>
      <c r="I52" s="205">
        <f>SYD($F$62,0,$F$50,3)</f>
        <v>137.672</v>
      </c>
      <c r="J52" s="205">
        <f>SYD($F$62,0,$F$50,4)</f>
        <v>68.835999999999999</v>
      </c>
      <c r="K52" s="205">
        <v>0</v>
      </c>
    </row>
    <row r="53" spans="1:12" ht="18" customHeight="1">
      <c r="A53" s="463" t="s">
        <v>795</v>
      </c>
      <c r="B53" s="220"/>
      <c r="C53" s="220"/>
      <c r="D53" s="220"/>
      <c r="E53" s="220"/>
      <c r="F53" s="220"/>
      <c r="G53" s="482">
        <f>SLN($G$42,0,$F$50)</f>
        <v>239.85</v>
      </c>
      <c r="H53" s="482">
        <f>SLN($G$42,0,$F$50)</f>
        <v>239.85</v>
      </c>
      <c r="I53" s="482">
        <f>SLN($G$42,0,$F$50)</f>
        <v>239.85</v>
      </c>
      <c r="J53" s="482">
        <f>SLN($G$42,0,$F$50)</f>
        <v>239.85</v>
      </c>
      <c r="K53" s="205">
        <v>0</v>
      </c>
      <c r="L53" s="465"/>
    </row>
    <row r="54" spans="1:12" ht="20.25" customHeight="1">
      <c r="A54" s="463" t="s">
        <v>796</v>
      </c>
      <c r="B54" s="220"/>
      <c r="C54" s="220"/>
      <c r="D54" s="220"/>
      <c r="E54" s="220"/>
      <c r="F54" s="220"/>
      <c r="G54" s="221"/>
      <c r="H54" s="205">
        <f>$F$51*$H$42</f>
        <v>239.85</v>
      </c>
      <c r="I54" s="205">
        <f>$F$51*$H$42</f>
        <v>239.85</v>
      </c>
      <c r="J54" s="205">
        <f>$F$51*$H$42</f>
        <v>239.85</v>
      </c>
      <c r="K54" s="205">
        <f>$F$51*$H$42</f>
        <v>239.85</v>
      </c>
    </row>
    <row r="55" spans="1:12" ht="24" customHeight="1">
      <c r="A55" s="463" t="s">
        <v>797</v>
      </c>
      <c r="B55" s="220"/>
      <c r="C55" s="220"/>
      <c r="D55" s="220"/>
      <c r="E55" s="220"/>
      <c r="F55" s="220"/>
      <c r="G55" s="221"/>
      <c r="H55" s="221"/>
      <c r="I55" s="205">
        <f>F51*I42</f>
        <v>239.85</v>
      </c>
      <c r="J55" s="205">
        <f>I55</f>
        <v>239.85</v>
      </c>
      <c r="K55" s="205">
        <f>J55</f>
        <v>239.85</v>
      </c>
    </row>
    <row r="56" spans="1:12" ht="24" customHeight="1">
      <c r="A56" s="463" t="s">
        <v>798</v>
      </c>
      <c r="B56" s="220"/>
      <c r="C56" s="220"/>
      <c r="D56" s="220"/>
      <c r="E56" s="220"/>
      <c r="F56" s="220"/>
      <c r="G56" s="221"/>
      <c r="H56" s="221"/>
      <c r="I56" s="221"/>
      <c r="J56" s="205">
        <f>F51*J42</f>
        <v>239.85</v>
      </c>
      <c r="K56" s="205">
        <f>J56</f>
        <v>239.85</v>
      </c>
    </row>
    <row r="57" spans="1:12" ht="21" customHeight="1">
      <c r="A57" s="463" t="s">
        <v>799</v>
      </c>
      <c r="B57" s="220"/>
      <c r="C57" s="220"/>
      <c r="D57" s="220"/>
      <c r="E57" s="220"/>
      <c r="F57" s="220"/>
      <c r="G57" s="221"/>
      <c r="H57" s="221"/>
      <c r="I57" s="221"/>
      <c r="J57" s="221"/>
      <c r="K57" s="205">
        <f>F51*K42</f>
        <v>239.85</v>
      </c>
    </row>
    <row r="58" spans="1:12" ht="19.5" customHeight="1">
      <c r="A58" s="463" t="s">
        <v>800</v>
      </c>
      <c r="B58" s="220"/>
      <c r="C58" s="220"/>
      <c r="D58" s="220"/>
      <c r="E58" s="220"/>
      <c r="F58" s="176">
        <f t="shared" ref="F58:K58" si="8">SUM(F52:F57)</f>
        <v>1914.57</v>
      </c>
      <c r="G58" s="177">
        <f t="shared" si="8"/>
        <v>515.19399999999996</v>
      </c>
      <c r="H58" s="177">
        <f t="shared" si="8"/>
        <v>686.20799999999997</v>
      </c>
      <c r="I58" s="177">
        <f t="shared" si="8"/>
        <v>857.22199999999998</v>
      </c>
      <c r="J58" s="177">
        <f t="shared" si="8"/>
        <v>1028.2359999999999</v>
      </c>
      <c r="K58" s="177">
        <f t="shared" si="8"/>
        <v>959.4</v>
      </c>
    </row>
    <row r="59" spans="1:12" ht="13.5" customHeight="1">
      <c r="A59" s="463"/>
      <c r="B59" s="220"/>
      <c r="C59" s="220"/>
      <c r="D59" s="220"/>
      <c r="E59" s="220"/>
      <c r="F59" s="220"/>
      <c r="G59" s="221"/>
      <c r="H59" s="221"/>
      <c r="I59" s="221"/>
      <c r="J59" s="221"/>
      <c r="K59" s="221"/>
    </row>
    <row r="60" spans="1:12" ht="13.5" customHeight="1">
      <c r="A60" s="462" t="s">
        <v>726</v>
      </c>
      <c r="B60" s="220"/>
      <c r="C60" s="220"/>
      <c r="D60" s="220"/>
      <c r="E60" s="220"/>
      <c r="F60" s="220"/>
      <c r="G60" s="221"/>
      <c r="H60" s="221"/>
      <c r="I60" s="221"/>
      <c r="J60" s="221"/>
      <c r="K60" s="221"/>
    </row>
    <row r="61" spans="1:12" ht="13.5" customHeight="1">
      <c r="A61" s="463" t="s">
        <v>791</v>
      </c>
      <c r="B61" s="220">
        <v>615.58000000000004</v>
      </c>
      <c r="C61" s="475">
        <f t="shared" ref="C61:K61" si="9">B62</f>
        <v>1810.6999999999998</v>
      </c>
      <c r="D61" s="475">
        <f t="shared" si="9"/>
        <v>2225.25</v>
      </c>
      <c r="E61" s="475">
        <f t="shared" si="9"/>
        <v>2498.9369999999999</v>
      </c>
      <c r="F61" s="475">
        <f t="shared" si="9"/>
        <v>1643.499</v>
      </c>
      <c r="G61" s="205">
        <f t="shared" si="9"/>
        <v>688.36</v>
      </c>
      <c r="H61" s="205">
        <f t="shared" si="9"/>
        <v>1132.4159999999993</v>
      </c>
      <c r="I61" s="205">
        <f t="shared" si="9"/>
        <v>1405.6079999999984</v>
      </c>
      <c r="J61" s="205">
        <f t="shared" si="9"/>
        <v>1507.7859999999982</v>
      </c>
      <c r="K61" s="205">
        <f t="shared" si="9"/>
        <v>1438.9499999999971</v>
      </c>
    </row>
    <row r="62" spans="1:12" ht="13.5" customHeight="1">
      <c r="A62" s="463" t="s">
        <v>779</v>
      </c>
      <c r="B62" s="475">
        <f>B43+B48</f>
        <v>1810.6999999999998</v>
      </c>
      <c r="C62" s="475">
        <f>2225.25</f>
        <v>2225.25</v>
      </c>
      <c r="D62" s="475">
        <v>2498.9369999999999</v>
      </c>
      <c r="E62" s="475">
        <v>1643.499</v>
      </c>
      <c r="F62" s="475">
        <v>688.36</v>
      </c>
      <c r="G62" s="205">
        <f>G43+G48</f>
        <v>1132.4159999999993</v>
      </c>
      <c r="H62" s="205">
        <f>H43+H48</f>
        <v>1405.6079999999984</v>
      </c>
      <c r="I62" s="205">
        <f>I43+I48</f>
        <v>1507.7859999999982</v>
      </c>
      <c r="J62" s="205">
        <f>J43+J48</f>
        <v>1438.9499999999971</v>
      </c>
      <c r="K62" s="205">
        <f>K43+K48</f>
        <v>1438.9499999999971</v>
      </c>
    </row>
    <row r="63" spans="1:12" ht="13.5" customHeight="1" thickBot="1">
      <c r="A63" s="463"/>
    </row>
    <row r="64" spans="1:12" ht="13.5" customHeight="1" thickBot="1">
      <c r="A64" s="468" t="s">
        <v>801</v>
      </c>
    </row>
    <row r="65" spans="1:11" ht="13.5" customHeight="1">
      <c r="A65" s="462" t="s">
        <v>770</v>
      </c>
      <c r="B65" s="220"/>
      <c r="C65" s="220"/>
      <c r="D65" s="220"/>
      <c r="E65" s="220"/>
      <c r="F65" s="220"/>
      <c r="G65" s="221"/>
      <c r="H65" s="221"/>
      <c r="I65" s="221"/>
      <c r="J65" s="221"/>
      <c r="K65" s="221"/>
    </row>
    <row r="66" spans="1:11" ht="13.5" customHeight="1">
      <c r="A66" s="463" t="s">
        <v>773</v>
      </c>
      <c r="B66" s="475">
        <v>0</v>
      </c>
      <c r="C66" s="475">
        <v>0</v>
      </c>
      <c r="D66" s="475">
        <v>0</v>
      </c>
      <c r="E66" s="475">
        <v>0</v>
      </c>
      <c r="F66" s="475">
        <v>0</v>
      </c>
      <c r="G66" s="205">
        <f>F68</f>
        <v>53526.696000000004</v>
      </c>
      <c r="H66" s="205">
        <f>G68</f>
        <v>53526.696000000004</v>
      </c>
      <c r="I66" s="205">
        <f>H68</f>
        <v>53526.696000000004</v>
      </c>
      <c r="J66" s="205">
        <f>I68</f>
        <v>53526.696000000004</v>
      </c>
      <c r="K66" s="205">
        <f>J68</f>
        <v>53526.696000000004</v>
      </c>
    </row>
    <row r="67" spans="1:11" ht="13.5" customHeight="1">
      <c r="A67" s="471" t="s">
        <v>774</v>
      </c>
      <c r="B67" s="475">
        <v>0</v>
      </c>
      <c r="C67" s="475">
        <v>0</v>
      </c>
      <c r="D67" s="475">
        <v>0</v>
      </c>
      <c r="E67" s="475">
        <v>0</v>
      </c>
      <c r="F67" s="478">
        <v>53526.696000000004</v>
      </c>
      <c r="G67" s="205">
        <v>0</v>
      </c>
      <c r="H67" s="205">
        <v>0</v>
      </c>
      <c r="I67" s="205">
        <v>0</v>
      </c>
      <c r="J67" s="205">
        <v>0</v>
      </c>
      <c r="K67" s="205">
        <v>0</v>
      </c>
    </row>
    <row r="68" spans="1:11" ht="13.5" customHeight="1">
      <c r="A68" s="463" t="s">
        <v>779</v>
      </c>
      <c r="B68" s="475">
        <v>0</v>
      </c>
      <c r="C68" s="475">
        <v>0</v>
      </c>
      <c r="D68" s="475">
        <v>0</v>
      </c>
      <c r="E68" s="475">
        <v>0</v>
      </c>
      <c r="F68" s="478">
        <f t="shared" ref="F68:K68" si="10">SUM(F66:F67)</f>
        <v>53526.696000000004</v>
      </c>
      <c r="G68" s="483">
        <f t="shared" si="10"/>
        <v>53526.696000000004</v>
      </c>
      <c r="H68" s="483">
        <f t="shared" si="10"/>
        <v>53526.696000000004</v>
      </c>
      <c r="I68" s="483">
        <f t="shared" si="10"/>
        <v>53526.696000000004</v>
      </c>
      <c r="J68" s="483">
        <f t="shared" si="10"/>
        <v>53526.696000000004</v>
      </c>
      <c r="K68" s="483">
        <f t="shared" si="10"/>
        <v>53526.696000000004</v>
      </c>
    </row>
    <row r="69" spans="1:11" ht="13.5" customHeight="1">
      <c r="A69" s="463"/>
      <c r="B69" s="475"/>
      <c r="C69" s="475"/>
      <c r="D69" s="475"/>
      <c r="E69" s="475"/>
      <c r="F69" s="475"/>
      <c r="G69" s="205"/>
      <c r="H69" s="205"/>
      <c r="I69" s="205"/>
      <c r="J69" s="205"/>
      <c r="K69" s="205"/>
    </row>
    <row r="70" spans="1:11" ht="13.5" customHeight="1">
      <c r="A70" s="462" t="s">
        <v>771</v>
      </c>
      <c r="B70" s="176"/>
      <c r="C70" s="176"/>
      <c r="D70" s="176"/>
      <c r="E70" s="176"/>
      <c r="F70" s="176"/>
      <c r="G70" s="177"/>
      <c r="H70" s="177"/>
      <c r="I70" s="177"/>
      <c r="J70" s="177"/>
      <c r="K70" s="177"/>
    </row>
    <row r="71" spans="1:11" ht="13.5" customHeight="1">
      <c r="A71" s="463" t="s">
        <v>773</v>
      </c>
      <c r="B71" s="176">
        <v>0</v>
      </c>
      <c r="C71" s="176">
        <v>0</v>
      </c>
      <c r="D71" s="176">
        <v>0</v>
      </c>
      <c r="E71" s="176">
        <v>0</v>
      </c>
      <c r="F71" s="176">
        <v>0</v>
      </c>
      <c r="G71" s="177">
        <f>F73</f>
        <v>0</v>
      </c>
      <c r="H71" s="177">
        <f>G73</f>
        <v>-5352.6696000000011</v>
      </c>
      <c r="I71" s="177">
        <f>H73</f>
        <v>-10705.339200000002</v>
      </c>
      <c r="J71" s="177">
        <f>I73</f>
        <v>-16058.008800000003</v>
      </c>
      <c r="K71" s="177">
        <f>J73</f>
        <v>-21410.678400000004</v>
      </c>
    </row>
    <row r="72" spans="1:11" ht="13.5" customHeight="1">
      <c r="A72" s="471" t="s">
        <v>774</v>
      </c>
      <c r="B72" s="176">
        <v>0</v>
      </c>
      <c r="C72" s="176">
        <v>0</v>
      </c>
      <c r="D72" s="176">
        <v>0</v>
      </c>
      <c r="E72" s="176">
        <v>0</v>
      </c>
      <c r="F72" s="176">
        <v>0</v>
      </c>
      <c r="G72" s="177">
        <f>-G82</f>
        <v>-5352.6696000000011</v>
      </c>
      <c r="H72" s="177">
        <f>-H82</f>
        <v>-5352.6696000000011</v>
      </c>
      <c r="I72" s="177">
        <f>-I82</f>
        <v>-5352.6696000000011</v>
      </c>
      <c r="J72" s="177">
        <f>-J82</f>
        <v>-5352.6696000000011</v>
      </c>
      <c r="K72" s="177">
        <f>-K82</f>
        <v>-5352.6696000000011</v>
      </c>
    </row>
    <row r="73" spans="1:11" ht="13.5" customHeight="1">
      <c r="A73" s="463" t="s">
        <v>779</v>
      </c>
      <c r="B73" s="176">
        <v>0</v>
      </c>
      <c r="C73" s="176">
        <v>0</v>
      </c>
      <c r="D73" s="176">
        <v>0</v>
      </c>
      <c r="E73" s="176">
        <v>0</v>
      </c>
      <c r="F73" s="176">
        <v>0</v>
      </c>
      <c r="G73" s="177">
        <f>SUM(G71:G72)</f>
        <v>-5352.6696000000011</v>
      </c>
      <c r="H73" s="177">
        <f>SUM(H71:H72)</f>
        <v>-10705.339200000002</v>
      </c>
      <c r="I73" s="177">
        <f>SUM(I71:I72)</f>
        <v>-16058.008800000003</v>
      </c>
      <c r="J73" s="177">
        <f>SUM(J71:J72)</f>
        <v>-21410.678400000004</v>
      </c>
      <c r="K73" s="177">
        <f>SUM(K71:K72)</f>
        <v>-26763.348000000005</v>
      </c>
    </row>
    <row r="74" spans="1:11" ht="13.5" customHeight="1">
      <c r="A74" s="463" t="s">
        <v>781</v>
      </c>
      <c r="B74" s="220"/>
      <c r="C74" s="220"/>
      <c r="D74" s="220"/>
      <c r="E74" s="220"/>
      <c r="F74" s="176">
        <v>10</v>
      </c>
      <c r="G74" s="221"/>
      <c r="H74" s="221"/>
      <c r="I74" s="221"/>
      <c r="J74" s="221"/>
      <c r="K74" s="221"/>
    </row>
    <row r="75" spans="1:11" ht="13.5" customHeight="1">
      <c r="A75" s="463" t="s">
        <v>783</v>
      </c>
      <c r="B75" s="220"/>
      <c r="C75" s="220"/>
      <c r="D75" s="220"/>
      <c r="E75" s="220"/>
      <c r="F75" s="475">
        <f>1/F74</f>
        <v>0.1</v>
      </c>
      <c r="G75" s="221"/>
      <c r="H75" s="221"/>
      <c r="I75" s="221"/>
      <c r="J75" s="221"/>
      <c r="K75" s="221"/>
    </row>
    <row r="76" spans="1:11" ht="13.5" customHeight="1">
      <c r="A76" s="463" t="s">
        <v>802</v>
      </c>
      <c r="B76" s="220"/>
      <c r="C76" s="220"/>
      <c r="D76" s="220"/>
      <c r="E76" s="220"/>
      <c r="F76" s="176">
        <f>F71</f>
        <v>0</v>
      </c>
      <c r="G76" s="177">
        <f>G71</f>
        <v>0</v>
      </c>
      <c r="H76" s="177"/>
      <c r="I76" s="177"/>
      <c r="J76" s="177"/>
      <c r="K76" s="177"/>
    </row>
    <row r="77" spans="1:11" ht="13.5" customHeight="1">
      <c r="A77" s="463" t="s">
        <v>803</v>
      </c>
      <c r="B77" s="220"/>
      <c r="C77" s="220"/>
      <c r="D77" s="220"/>
      <c r="E77" s="220"/>
      <c r="F77" s="220"/>
      <c r="G77" s="205">
        <f>$F$67*$F$75</f>
        <v>5352.6696000000011</v>
      </c>
      <c r="H77" s="205"/>
      <c r="I77" s="205"/>
      <c r="J77" s="205"/>
      <c r="K77" s="205"/>
    </row>
    <row r="78" spans="1:11" ht="13.5" customHeight="1">
      <c r="A78" s="463" t="s">
        <v>804</v>
      </c>
      <c r="B78" s="220"/>
      <c r="C78" s="220"/>
      <c r="D78" s="220"/>
      <c r="E78" s="220"/>
      <c r="F78" s="220"/>
      <c r="G78" s="205">
        <v>0</v>
      </c>
      <c r="H78" s="205">
        <f>$F$67*$F$75</f>
        <v>5352.6696000000011</v>
      </c>
      <c r="I78" s="205">
        <v>0</v>
      </c>
      <c r="J78" s="205">
        <v>0</v>
      </c>
      <c r="K78" s="205">
        <v>0</v>
      </c>
    </row>
    <row r="79" spans="1:11" ht="13.5" customHeight="1">
      <c r="A79" s="463" t="s">
        <v>805</v>
      </c>
      <c r="B79" s="220"/>
      <c r="C79" s="220"/>
      <c r="D79" s="220"/>
      <c r="E79" s="220"/>
      <c r="F79" s="220"/>
      <c r="G79" s="205">
        <v>0</v>
      </c>
      <c r="H79" s="205">
        <v>0</v>
      </c>
      <c r="I79" s="205">
        <f>$F$67*$F$75</f>
        <v>5352.6696000000011</v>
      </c>
      <c r="J79" s="205">
        <v>0</v>
      </c>
      <c r="K79" s="205">
        <v>0</v>
      </c>
    </row>
    <row r="80" spans="1:11" ht="13.5" customHeight="1">
      <c r="A80" s="463" t="s">
        <v>806</v>
      </c>
      <c r="B80" s="220"/>
      <c r="C80" s="220"/>
      <c r="D80" s="220"/>
      <c r="E80" s="220"/>
      <c r="F80" s="220"/>
      <c r="G80" s="205">
        <v>0</v>
      </c>
      <c r="H80" s="205">
        <v>0</v>
      </c>
      <c r="I80" s="205">
        <v>0</v>
      </c>
      <c r="J80" s="205">
        <f>$F$67*$F$75</f>
        <v>5352.6696000000011</v>
      </c>
      <c r="K80" s="205">
        <v>0</v>
      </c>
    </row>
    <row r="81" spans="1:11" ht="13.5" customHeight="1">
      <c r="A81" s="463" t="s">
        <v>807</v>
      </c>
      <c r="B81" s="220"/>
      <c r="C81" s="220"/>
      <c r="D81" s="220"/>
      <c r="E81" s="220"/>
      <c r="F81" s="220"/>
      <c r="G81" s="205">
        <v>0</v>
      </c>
      <c r="H81" s="205">
        <v>0</v>
      </c>
      <c r="I81" s="205">
        <v>0</v>
      </c>
      <c r="J81" s="205">
        <v>0</v>
      </c>
      <c r="K81" s="205">
        <f>$F$67*$F$75</f>
        <v>5352.6696000000011</v>
      </c>
    </row>
    <row r="82" spans="1:11" ht="13.5" customHeight="1">
      <c r="A82" s="463" t="s">
        <v>808</v>
      </c>
      <c r="B82" s="220"/>
      <c r="C82" s="220"/>
      <c r="D82" s="220"/>
      <c r="E82" s="220"/>
      <c r="F82" s="220"/>
      <c r="G82" s="205">
        <f>SUM(G77:G81)</f>
        <v>5352.6696000000011</v>
      </c>
      <c r="H82" s="205">
        <f>SUM(H77:H81)</f>
        <v>5352.6696000000011</v>
      </c>
      <c r="I82" s="205">
        <f>SUM(I77:I81)</f>
        <v>5352.6696000000011</v>
      </c>
      <c r="J82" s="205">
        <f>SUM(J77:J81)</f>
        <v>5352.6696000000011</v>
      </c>
      <c r="K82" s="205">
        <f>SUM(K77:K81)</f>
        <v>5352.6696000000011</v>
      </c>
    </row>
    <row r="83" spans="1:11" ht="13.5" customHeight="1">
      <c r="A83" s="466"/>
      <c r="B83" s="220"/>
      <c r="C83" s="220"/>
      <c r="D83" s="220"/>
      <c r="E83" s="220"/>
      <c r="F83" s="220"/>
      <c r="G83" s="221"/>
      <c r="H83" s="221"/>
      <c r="I83" s="221"/>
      <c r="J83" s="221"/>
      <c r="K83" s="221"/>
    </row>
    <row r="84" spans="1:11" ht="13.5" customHeight="1">
      <c r="A84" s="462" t="s">
        <v>726</v>
      </c>
      <c r="B84" s="220"/>
      <c r="C84" s="220"/>
      <c r="D84" s="220"/>
      <c r="E84" s="220"/>
      <c r="F84" s="220"/>
      <c r="G84" s="221"/>
      <c r="H84" s="221"/>
      <c r="I84" s="221"/>
      <c r="J84" s="221"/>
      <c r="K84" s="221"/>
    </row>
    <row r="85" spans="1:11" ht="13.5" customHeight="1">
      <c r="A85" s="463" t="s">
        <v>791</v>
      </c>
      <c r="B85" s="176">
        <v>0</v>
      </c>
      <c r="C85" s="176">
        <v>0</v>
      </c>
      <c r="D85" s="176">
        <v>0</v>
      </c>
      <c r="E85" s="176">
        <v>0</v>
      </c>
      <c r="F85" s="176">
        <v>0</v>
      </c>
      <c r="G85" s="177">
        <f>F86</f>
        <v>53526.696000000004</v>
      </c>
      <c r="H85" s="177">
        <f>G86</f>
        <v>48174.026400000002</v>
      </c>
      <c r="I85" s="177">
        <f>H86</f>
        <v>42821.356800000001</v>
      </c>
      <c r="J85" s="177">
        <f>I86</f>
        <v>37468.6872</v>
      </c>
      <c r="K85" s="177">
        <f>J86</f>
        <v>32116.017599999999</v>
      </c>
    </row>
    <row r="86" spans="1:11" ht="13.5" customHeight="1">
      <c r="A86" s="463" t="s">
        <v>779</v>
      </c>
      <c r="B86" s="176">
        <v>0</v>
      </c>
      <c r="C86" s="176">
        <v>0</v>
      </c>
      <c r="D86" s="176">
        <v>0</v>
      </c>
      <c r="E86" s="176">
        <v>0</v>
      </c>
      <c r="F86" s="176">
        <f>F68</f>
        <v>53526.696000000004</v>
      </c>
      <c r="G86" s="177">
        <f>G68+G73</f>
        <v>48174.026400000002</v>
      </c>
      <c r="H86" s="177">
        <f>H68+H73</f>
        <v>42821.356800000001</v>
      </c>
      <c r="I86" s="177">
        <f>I68+I73</f>
        <v>37468.6872</v>
      </c>
      <c r="J86" s="177">
        <f>J68+J73</f>
        <v>32116.017599999999</v>
      </c>
      <c r="K86" s="177">
        <f>K68+K73</f>
        <v>26763.347999999998</v>
      </c>
    </row>
    <row r="87" spans="1:11" ht="13.5" customHeight="1">
      <c r="A87" s="467"/>
    </row>
    <row r="88" spans="1:11" ht="13.5" customHeight="1">
      <c r="A88" s="469" t="s">
        <v>809</v>
      </c>
    </row>
    <row r="89" spans="1:11" ht="13.5" customHeight="1">
      <c r="A89" s="466" t="s">
        <v>810</v>
      </c>
      <c r="B89" s="176"/>
      <c r="C89" s="176">
        <f t="shared" ref="C89:K89" si="11">B92</f>
        <v>35457.4</v>
      </c>
      <c r="D89" s="176">
        <f t="shared" si="11"/>
        <v>256832</v>
      </c>
      <c r="E89" s="176">
        <f t="shared" si="11"/>
        <v>87430.399999999994</v>
      </c>
      <c r="F89" s="176">
        <f t="shared" si="11"/>
        <v>132620.4</v>
      </c>
      <c r="G89" s="177">
        <f t="shared" si="11"/>
        <v>79697.899999999994</v>
      </c>
      <c r="H89" s="177">
        <f t="shared" si="11"/>
        <v>247550.34138295776</v>
      </c>
      <c r="I89" s="177">
        <f t="shared" si="11"/>
        <v>304900.73273897101</v>
      </c>
      <c r="J89" s="177">
        <f t="shared" si="11"/>
        <v>347611.47746371402</v>
      </c>
      <c r="K89" s="177">
        <f t="shared" si="11"/>
        <v>292250.13639144629</v>
      </c>
    </row>
    <row r="90" spans="1:11" ht="13.5" customHeight="1">
      <c r="A90" s="463" t="s">
        <v>811</v>
      </c>
      <c r="B90" s="176"/>
      <c r="C90" s="176"/>
      <c r="D90" s="176"/>
      <c r="E90" s="176"/>
      <c r="F90" s="176"/>
      <c r="G90" s="177">
        <f>-G89</f>
        <v>-79697.899999999994</v>
      </c>
      <c r="H90" s="177">
        <f>-H89</f>
        <v>-247550.34138295776</v>
      </c>
      <c r="I90" s="177">
        <f>-I89</f>
        <v>-304900.73273897101</v>
      </c>
      <c r="J90" s="177">
        <f>-J89</f>
        <v>-347611.47746371402</v>
      </c>
      <c r="K90" s="177">
        <f>-K89</f>
        <v>-292250.13639144629</v>
      </c>
    </row>
    <row r="91" spans="1:11" ht="13.5" customHeight="1">
      <c r="A91" s="472" t="s">
        <v>812</v>
      </c>
      <c r="B91" s="176">
        <f>B9</f>
        <v>84124.077000000005</v>
      </c>
      <c r="C91" s="176"/>
      <c r="D91" s="176"/>
      <c r="E91" s="176"/>
      <c r="F91" s="176"/>
      <c r="G91" s="205">
        <f>G8*4%</f>
        <v>247550.34138295776</v>
      </c>
      <c r="H91" s="205">
        <f>H8*4%</f>
        <v>304900.73273897101</v>
      </c>
      <c r="I91" s="205">
        <f>I8*4%</f>
        <v>347611.47746371402</v>
      </c>
      <c r="J91" s="205">
        <f>J8*3%</f>
        <v>292250.13639144629</v>
      </c>
      <c r="K91" s="205">
        <f>K8*3%</f>
        <v>324775.09017380787</v>
      </c>
    </row>
    <row r="92" spans="1:11" ht="13.5" customHeight="1">
      <c r="A92" s="21" t="s">
        <v>779</v>
      </c>
      <c r="B92" s="176">
        <f>DATA!C65</f>
        <v>35457.4</v>
      </c>
      <c r="C92" s="176">
        <f>DATA!D65</f>
        <v>256832</v>
      </c>
      <c r="D92" s="176">
        <f>DATA!E65</f>
        <v>87430.399999999994</v>
      </c>
      <c r="E92" s="176">
        <f>DATA!F65</f>
        <v>132620.4</v>
      </c>
      <c r="F92" s="176">
        <f>DATA!G65</f>
        <v>79697.899999999994</v>
      </c>
      <c r="G92" s="177">
        <f>SUM(G89:G91)</f>
        <v>247550.34138295776</v>
      </c>
      <c r="H92" s="177">
        <f>SUM(H89:H91)</f>
        <v>304900.73273897101</v>
      </c>
      <c r="I92" s="177">
        <f>SUM(I89:I91)</f>
        <v>347611.47746371402</v>
      </c>
      <c r="J92" s="177">
        <f>SUM(J89:J91)</f>
        <v>292250.13639144629</v>
      </c>
      <c r="K92" s="177">
        <f>SUM(K89:K91)</f>
        <v>324775.09017380787</v>
      </c>
    </row>
    <row r="93" spans="1:11" s="250" customFormat="1" ht="13.5" customHeight="1">
      <c r="A93" s="250" t="s">
        <v>813</v>
      </c>
      <c r="B93" s="247"/>
      <c r="C93" s="252">
        <f>SALE!C53</f>
        <v>0.30413841348057513</v>
      </c>
      <c r="D93" s="252">
        <f>SALE!D53</f>
        <v>0.1809827668633075</v>
      </c>
      <c r="E93" s="252">
        <f>SALE!E53</f>
        <v>6.2361858043207041E-2</v>
      </c>
      <c r="F93" s="252">
        <f>SALE!F53</f>
        <v>0.13277397402348035</v>
      </c>
      <c r="G93" s="253">
        <f>SALE!G53</f>
        <v>0.24405668947374703</v>
      </c>
      <c r="H93" s="253">
        <f>SALE!H53</f>
        <v>0.2316716310533895</v>
      </c>
      <c r="I93" s="253">
        <f>SALE!I53</f>
        <v>0.14008082021012447</v>
      </c>
      <c r="J93" s="253">
        <f>SALE!J53</f>
        <v>0.12098383909836352</v>
      </c>
      <c r="K93" s="253">
        <f>SALE!K53</f>
        <v>0.11129149222636103</v>
      </c>
    </row>
    <row r="94" spans="1:11" ht="13.5" customHeight="1"/>
    <row r="95" spans="1:11" ht="13.5" customHeight="1"/>
    <row r="96" spans="1:11"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54" type="noConversion"/>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2060"/>
  </sheetPr>
  <dimension ref="A1:L1001"/>
  <sheetViews>
    <sheetView showGridLines="0" workbookViewId="0">
      <pane xSplit="1" ySplit="1" topLeftCell="B6" activePane="bottomRight" state="frozen"/>
      <selection pane="topRight" activeCell="B1" sqref="B1"/>
      <selection pane="bottomLeft" activeCell="A2" sqref="A2"/>
      <selection pane="bottomRight" activeCell="F13" sqref="F13"/>
    </sheetView>
  </sheetViews>
  <sheetFormatPr defaultColWidth="11.25" defaultRowHeight="15" customHeight="1"/>
  <cols>
    <col min="1" max="1" width="32.25" style="21" customWidth="1"/>
    <col min="2" max="2" width="12.875" style="21" customWidth="1"/>
    <col min="3" max="3" width="12.75" style="21" customWidth="1"/>
    <col min="4" max="4" width="13.375" style="21" customWidth="1"/>
    <col min="5" max="5" width="13.5" style="21" customWidth="1"/>
    <col min="6" max="6" width="12.5" style="21" customWidth="1"/>
    <col min="7" max="7" width="14.25" style="21" customWidth="1"/>
    <col min="8" max="8" width="13.375" style="21" customWidth="1"/>
    <col min="9" max="9" width="12.125" style="21" customWidth="1"/>
    <col min="10" max="10" width="11.5" style="21" customWidth="1"/>
    <col min="11" max="11" width="12.25" style="21" customWidth="1"/>
    <col min="12" max="20" width="8.75" style="21" customWidth="1"/>
    <col min="21" max="26" width="8.5" style="21" customWidth="1"/>
    <col min="27" max="16384" width="11.25" style="21"/>
  </cols>
  <sheetData>
    <row r="1" spans="1:12" s="26" customFormat="1" ht="21" customHeight="1">
      <c r="A1" s="490" t="s">
        <v>67</v>
      </c>
      <c r="B1" s="23" t="s">
        <v>15</v>
      </c>
      <c r="C1" s="23" t="s">
        <v>16</v>
      </c>
      <c r="D1" s="23" t="s">
        <v>17</v>
      </c>
      <c r="E1" s="23" t="s">
        <v>18</v>
      </c>
      <c r="F1" s="23" t="s">
        <v>19</v>
      </c>
      <c r="G1" s="489" t="s">
        <v>4</v>
      </c>
      <c r="H1" s="489" t="s">
        <v>5</v>
      </c>
      <c r="I1" s="489" t="s">
        <v>6</v>
      </c>
      <c r="J1" s="489" t="s">
        <v>7</v>
      </c>
      <c r="K1" s="489" t="s">
        <v>8</v>
      </c>
    </row>
    <row r="2" spans="1:12" ht="13.5" customHeight="1" thickBot="1">
      <c r="C2" s="229"/>
      <c r="D2" s="229"/>
      <c r="E2" s="229"/>
      <c r="F2" s="229"/>
      <c r="G2" s="229"/>
      <c r="H2" s="229"/>
      <c r="I2" s="229"/>
      <c r="J2" s="229"/>
      <c r="K2" s="229"/>
    </row>
    <row r="3" spans="1:12" ht="21" customHeight="1">
      <c r="A3" s="492" t="s">
        <v>824</v>
      </c>
      <c r="B3" s="493"/>
      <c r="C3" s="494"/>
      <c r="D3" s="494"/>
      <c r="E3" s="494"/>
      <c r="F3" s="494"/>
      <c r="G3" s="494"/>
      <c r="H3" s="494"/>
      <c r="I3" s="494"/>
      <c r="J3" s="494"/>
      <c r="K3" s="495"/>
    </row>
    <row r="4" spans="1:12" s="26" customFormat="1" ht="13.5" customHeight="1">
      <c r="A4" s="496" t="s">
        <v>826</v>
      </c>
      <c r="B4" s="503">
        <f>DATA!C18</f>
        <v>1431776.8</v>
      </c>
      <c r="C4" s="503">
        <f>DATA!D18</f>
        <v>369573.7</v>
      </c>
      <c r="D4" s="503">
        <f>DATA!E18</f>
        <v>262268.40000000002</v>
      </c>
      <c r="E4" s="503">
        <f>DATA!F18</f>
        <v>196394.5</v>
      </c>
      <c r="F4" s="503">
        <f>DATA!G18</f>
        <v>384236.6</v>
      </c>
      <c r="G4" s="507">
        <f>(2*IS!G2/G5)-NWC!F4</f>
        <v>298005.72237965919</v>
      </c>
      <c r="H4" s="507">
        <f>(2*IS!H2/H5)-NWC!G4</f>
        <v>566280.27106786449</v>
      </c>
      <c r="I4" s="507">
        <f>(2*IS!I2/I5)-NWC!H4</f>
        <v>405209.35788888647</v>
      </c>
      <c r="J4" s="507">
        <f>(2*IS!J2/J5)-NWC!I4</f>
        <v>691531.6680560105</v>
      </c>
      <c r="K4" s="508">
        <f>(2*IS!K2/K5)-NWC!J4</f>
        <v>522964.32902610209</v>
      </c>
      <c r="L4" s="27"/>
    </row>
    <row r="5" spans="1:12" s="250" customFormat="1" ht="13.5" customHeight="1">
      <c r="A5" s="517" t="s">
        <v>827</v>
      </c>
      <c r="B5" s="518"/>
      <c r="C5" s="518">
        <f>IS!C2/AVERAGE(NWC!B4:C4)</f>
        <v>96.057138241558206</v>
      </c>
      <c r="D5" s="518">
        <f>IS!D2/AVERAGE(NWC!C4:D4)</f>
        <v>323.41701827086223</v>
      </c>
      <c r="E5" s="518">
        <f>IS!E2/AVERAGE(NWC!D4:E4)</f>
        <v>473.31501937479572</v>
      </c>
      <c r="F5" s="518">
        <f>IS!F2/AVERAGE(NWC!E4:F4)</f>
        <v>423.53262200388508</v>
      </c>
      <c r="G5" s="519">
        <f>AVERAGE(E5:F5)</f>
        <v>448.4238206893404</v>
      </c>
      <c r="H5" s="519">
        <f>AVERAGE(F5:G5)</f>
        <v>435.97822134661271</v>
      </c>
      <c r="I5" s="519">
        <f>AVERAGE(G5:H5)</f>
        <v>442.20102101797659</v>
      </c>
      <c r="J5" s="519">
        <f>AVERAGE(H5:I5)</f>
        <v>439.08962118229465</v>
      </c>
      <c r="K5" s="520">
        <f>AVERAGE(I5:J5)</f>
        <v>440.64532110013562</v>
      </c>
      <c r="L5" s="461"/>
    </row>
    <row r="6" spans="1:12" s="26" customFormat="1" ht="13.5" customHeight="1">
      <c r="A6" s="496" t="s">
        <v>728</v>
      </c>
      <c r="B6" s="503">
        <f>DATA!C28</f>
        <v>12309955.5</v>
      </c>
      <c r="C6" s="503">
        <f>DATA!D28</f>
        <v>17821137.600000001</v>
      </c>
      <c r="D6" s="503">
        <f>DATA!E28</f>
        <v>26195934.699999999</v>
      </c>
      <c r="E6" s="503">
        <f>DATA!F28</f>
        <v>19926363.5</v>
      </c>
      <c r="F6" s="503">
        <f>DATA!G28</f>
        <v>29850068.800000001</v>
      </c>
      <c r="G6" s="507">
        <f>(2*G7*IS!G3)/365-NWC!F6</f>
        <v>34305807.390776843</v>
      </c>
      <c r="H6" s="507">
        <f>(2*H7*IS!H3)/365-NWC!G6</f>
        <v>42470348.396641046</v>
      </c>
      <c r="I6" s="507">
        <f>(2*I7*IS!I3)/365-NWC!H6</f>
        <v>45697088.549351797</v>
      </c>
      <c r="J6" s="507">
        <f>(2*J7*IS!J3)/365-NWC!I6</f>
        <v>53320835.753335312</v>
      </c>
      <c r="K6" s="508">
        <f>(2*K7*IS!K3)/365-NWC!J6</f>
        <v>57138007.004596353</v>
      </c>
      <c r="L6" s="27"/>
    </row>
    <row r="7" spans="1:12" s="250" customFormat="1" ht="13.5" customHeight="1">
      <c r="A7" s="517" t="s">
        <v>815</v>
      </c>
      <c r="B7" s="518"/>
      <c r="C7" s="518">
        <f>(IS!C3/(AVERAGE(NWC!B6:C6)))</f>
        <v>4.7276186737480161</v>
      </c>
      <c r="D7" s="518">
        <f>365/(IS!D3/(AVERAGE(NWC!C6:D6)))</f>
        <v>97.151543084183416</v>
      </c>
      <c r="E7" s="518">
        <f>365/(IS!E3/(AVERAGE(NWC!D6:E6)))</f>
        <v>99.505472684340759</v>
      </c>
      <c r="F7" s="518">
        <f>365/(IS!F3/(AVERAGE(NWC!E6:F6)))</f>
        <v>95.296155958714721</v>
      </c>
      <c r="G7" s="519">
        <f>99</f>
        <v>99</v>
      </c>
      <c r="H7" s="519">
        <v>96</v>
      </c>
      <c r="I7" s="519">
        <v>97</v>
      </c>
      <c r="J7" s="519">
        <v>97.5</v>
      </c>
      <c r="K7" s="520">
        <v>98</v>
      </c>
      <c r="L7" s="461"/>
    </row>
    <row r="8" spans="1:12" ht="13.5" customHeight="1">
      <c r="A8" s="497" t="s">
        <v>640</v>
      </c>
      <c r="B8" s="504"/>
      <c r="C8" s="504">
        <f t="shared" ref="C8:K8" si="0">365/C7</f>
        <v>77.20588845856112</v>
      </c>
      <c r="D8" s="504">
        <f t="shared" si="0"/>
        <v>3.757017010874665</v>
      </c>
      <c r="E8" s="504">
        <f t="shared" si="0"/>
        <v>3.6681399540493844</v>
      </c>
      <c r="F8" s="504">
        <f t="shared" si="0"/>
        <v>3.8301649875376866</v>
      </c>
      <c r="G8" s="509">
        <f t="shared" si="0"/>
        <v>3.6868686868686869</v>
      </c>
      <c r="H8" s="509">
        <f t="shared" si="0"/>
        <v>3.8020833333333335</v>
      </c>
      <c r="I8" s="509">
        <f t="shared" si="0"/>
        <v>3.7628865979381443</v>
      </c>
      <c r="J8" s="509">
        <f t="shared" si="0"/>
        <v>3.7435897435897436</v>
      </c>
      <c r="K8" s="510">
        <f t="shared" si="0"/>
        <v>3.7244897959183674</v>
      </c>
      <c r="L8" s="28"/>
    </row>
    <row r="9" spans="1:12" s="26" customFormat="1" ht="13.5" customHeight="1">
      <c r="A9" s="496" t="s">
        <v>816</v>
      </c>
      <c r="B9" s="503">
        <f>BS!C19</f>
        <v>-259792.8</v>
      </c>
      <c r="C9" s="503">
        <f>BS!D19</f>
        <v>-375132.3</v>
      </c>
      <c r="D9" s="503">
        <f>BS!E19</f>
        <v>-450506.2</v>
      </c>
      <c r="E9" s="503">
        <f>BS!F19</f>
        <v>-504186</v>
      </c>
      <c r="F9" s="503">
        <f>BS!G19</f>
        <v>-682836.5</v>
      </c>
      <c r="G9" s="507">
        <f>G6*G10</f>
        <v>-823339.37737864419</v>
      </c>
      <c r="H9" s="507">
        <f>H6*H10</f>
        <v>-1019288.3615193851</v>
      </c>
      <c r="I9" s="507">
        <f>I6*I10</f>
        <v>-1096730.1251844431</v>
      </c>
      <c r="J9" s="507">
        <f>J6*J10</f>
        <v>-1279700.0580800476</v>
      </c>
      <c r="K9" s="508">
        <f>K6*K10</f>
        <v>-1371312.1681103124</v>
      </c>
      <c r="L9" s="27"/>
    </row>
    <row r="10" spans="1:12" s="250" customFormat="1" ht="13.5" customHeight="1">
      <c r="A10" s="513" t="s">
        <v>817</v>
      </c>
      <c r="B10" s="514">
        <f>B9/B6</f>
        <v>-2.1104284251880521E-2</v>
      </c>
      <c r="C10" s="514">
        <f>C9/C6</f>
        <v>-2.1049851497695633E-2</v>
      </c>
      <c r="D10" s="514">
        <f>D9/D6</f>
        <v>-1.7197561574315574E-2</v>
      </c>
      <c r="E10" s="514">
        <f>E9/E6</f>
        <v>-2.5302459226943241E-2</v>
      </c>
      <c r="F10" s="514">
        <f>F9/F6</f>
        <v>-2.2875541914998868E-2</v>
      </c>
      <c r="G10" s="515">
        <f>-2.4%</f>
        <v>-2.4E-2</v>
      </c>
      <c r="H10" s="515">
        <f>-2.4%</f>
        <v>-2.4E-2</v>
      </c>
      <c r="I10" s="515">
        <f>-2.4%</f>
        <v>-2.4E-2</v>
      </c>
      <c r="J10" s="515">
        <f>-2.4%</f>
        <v>-2.4E-2</v>
      </c>
      <c r="K10" s="516">
        <f>-2.4%</f>
        <v>-2.4E-2</v>
      </c>
      <c r="L10" s="461"/>
    </row>
    <row r="11" spans="1:12" s="26" customFormat="1" ht="13.5" customHeight="1">
      <c r="A11" s="496" t="s">
        <v>818</v>
      </c>
      <c r="B11" s="503">
        <f>DATA!C19</f>
        <v>117942</v>
      </c>
      <c r="C11" s="503">
        <f>DATA!D19</f>
        <v>21007.3</v>
      </c>
      <c r="D11" s="503">
        <f>DATA!E19</f>
        <v>195016.8</v>
      </c>
      <c r="E11" s="503">
        <f>DATA!F19</f>
        <v>287913.3</v>
      </c>
      <c r="F11" s="503">
        <f>DATA!G19</f>
        <v>390738.8</v>
      </c>
      <c r="G11" s="507">
        <f>G12*IS!G2</f>
        <v>486101.21797694452</v>
      </c>
      <c r="H11" s="507">
        <f>H12*IS!H2</f>
        <v>598717.08000270254</v>
      </c>
      <c r="I11" s="507">
        <f>I12*IS!I2</f>
        <v>682585.8596432918</v>
      </c>
      <c r="J11" s="507">
        <f>J12*IS!J2</f>
        <v>765167.717457194</v>
      </c>
      <c r="K11" s="508">
        <f>K12*IS!K2</f>
        <v>850324.37453644373</v>
      </c>
      <c r="L11" s="27"/>
    </row>
    <row r="12" spans="1:12" s="250" customFormat="1" ht="13.5" customHeight="1">
      <c r="A12" s="517" t="s">
        <v>819</v>
      </c>
      <c r="B12" s="521">
        <f>B11/IS!B2</f>
        <v>1.7778466702197471E-3</v>
      </c>
      <c r="C12" s="521">
        <f>C11/IS!C2</f>
        <v>2.4281324047112655E-4</v>
      </c>
      <c r="D12" s="521">
        <f>D11/IS!D2</f>
        <v>1.9086688813670105E-3</v>
      </c>
      <c r="E12" s="521">
        <f>E11/IS!E2</f>
        <v>2.6524537776303186E-3</v>
      </c>
      <c r="F12" s="521">
        <f>F11/IS!F2</f>
        <v>3.1778205796551386E-3</v>
      </c>
      <c r="G12" s="522">
        <f>F12</f>
        <v>3.1778205796551386E-3</v>
      </c>
      <c r="H12" s="522">
        <f>G12</f>
        <v>3.1778205796551386E-3</v>
      </c>
      <c r="I12" s="522">
        <f>H12</f>
        <v>3.1778205796551386E-3</v>
      </c>
      <c r="J12" s="522">
        <f>I12</f>
        <v>3.1778205796551386E-3</v>
      </c>
      <c r="K12" s="523">
        <f>J12</f>
        <v>3.1778205796551386E-3</v>
      </c>
      <c r="L12" s="461"/>
    </row>
    <row r="13" spans="1:12" s="26" customFormat="1" ht="13.5" customHeight="1">
      <c r="A13" s="496" t="s">
        <v>820</v>
      </c>
      <c r="B13" s="503">
        <f>DATA!C23</f>
        <v>1131428.8999999999</v>
      </c>
      <c r="C13" s="503">
        <f>DATA!D23</f>
        <v>1151948.8</v>
      </c>
      <c r="D13" s="503">
        <f>DATA!E23</f>
        <v>1357800.4</v>
      </c>
      <c r="E13" s="503">
        <f>DATA!F23</f>
        <v>1030943.1</v>
      </c>
      <c r="F13" s="503">
        <f>DATA!G23</f>
        <v>1425228.9</v>
      </c>
      <c r="G13" s="507">
        <f>G14*IS!G2</f>
        <v>1752897.8345598069</v>
      </c>
      <c r="H13" s="507">
        <f>H14*IS!H2</f>
        <v>2044084.0956204252</v>
      </c>
      <c r="I13" s="507">
        <f>I14*IS!I2</f>
        <v>2427199.0665555997</v>
      </c>
      <c r="J13" s="507">
        <f>J14*IS!J2</f>
        <v>2697478.8630267014</v>
      </c>
      <c r="K13" s="508">
        <f>K14*IS!K2</f>
        <v>2974814.0289919563</v>
      </c>
      <c r="L13" s="27"/>
    </row>
    <row r="14" spans="1:12" s="250" customFormat="1" ht="13.5" customHeight="1">
      <c r="A14" s="517" t="s">
        <v>821</v>
      </c>
      <c r="B14" s="521">
        <f>B13/IS!B2</f>
        <v>1.7055053352117065E-2</v>
      </c>
      <c r="C14" s="521">
        <f>C13/IS!C2</f>
        <v>1.33148201332311E-2</v>
      </c>
      <c r="D14" s="521">
        <f>D13/IS!D2</f>
        <v>1.3289067252604286E-2</v>
      </c>
      <c r="E14" s="521">
        <f>E13/IS!E2</f>
        <v>9.4977513026210016E-3</v>
      </c>
      <c r="F14" s="521">
        <f>F13/IS!F2</f>
        <v>1.1591174792826448E-2</v>
      </c>
      <c r="G14" s="522">
        <f>AVERAGE(D14:F14)</f>
        <v>1.1459331116017246E-2</v>
      </c>
      <c r="H14" s="522">
        <f>AVERAGE(E14:G14)</f>
        <v>1.0849419070488232E-2</v>
      </c>
      <c r="I14" s="522">
        <f>AVERAGE(F14:H14)</f>
        <v>1.1299974993110641E-2</v>
      </c>
      <c r="J14" s="522">
        <f>AVERAGE(G14:I14)</f>
        <v>1.1202908393205374E-2</v>
      </c>
      <c r="K14" s="523">
        <f>AVERAGE(H14:J14)</f>
        <v>1.1117434152268083E-2</v>
      </c>
      <c r="L14" s="461"/>
    </row>
    <row r="15" spans="1:12" s="26" customFormat="1" ht="13.5" customHeight="1">
      <c r="A15" s="496" t="s">
        <v>822</v>
      </c>
      <c r="B15" s="505">
        <f>DATA!C22</f>
        <v>84700</v>
      </c>
      <c r="C15" s="505">
        <f>DATA!D22</f>
        <v>0</v>
      </c>
      <c r="D15" s="505">
        <f>DATA!E22</f>
        <v>0</v>
      </c>
      <c r="E15" s="505">
        <f>DATA!F22</f>
        <v>80000</v>
      </c>
      <c r="F15" s="505">
        <f>DATA!G22</f>
        <v>961917.7</v>
      </c>
      <c r="G15" s="507">
        <f>G16*IS!G2</f>
        <v>1273163.5766175648</v>
      </c>
      <c r="H15" s="507">
        <f>H16*IS!H2</f>
        <v>1662321.9265498335</v>
      </c>
      <c r="I15" s="507">
        <f>I16*IS!I2</f>
        <v>1895181.3454742085</v>
      </c>
      <c r="J15" s="507">
        <f>J16*IS!J2</f>
        <v>2124467.6604372803</v>
      </c>
      <c r="K15" s="508">
        <f>K16*IS!K2</f>
        <v>2360902.8365539913</v>
      </c>
      <c r="L15" s="27"/>
    </row>
    <row r="16" spans="1:12" s="250" customFormat="1" ht="13.5" thickBot="1">
      <c r="A16" s="524" t="s">
        <v>823</v>
      </c>
      <c r="B16" s="525">
        <f>B15/IS!B2</f>
        <v>1.276759873222538E-3</v>
      </c>
      <c r="C16" s="525">
        <f>C15/IS!C2</f>
        <v>0</v>
      </c>
      <c r="D16" s="525">
        <f>D15/IS!D2</f>
        <v>0</v>
      </c>
      <c r="E16" s="525">
        <f>E15/IS!E2</f>
        <v>7.3701458810838364E-4</v>
      </c>
      <c r="F16" s="525">
        <f>F15/IS!F2</f>
        <v>7.8231336713798002E-3</v>
      </c>
      <c r="G16" s="526">
        <f>F16+0.05%</f>
        <v>8.3231336713798006E-3</v>
      </c>
      <c r="H16" s="526">
        <f>G16+0.05%</f>
        <v>8.8231336713798011E-3</v>
      </c>
      <c r="I16" s="526">
        <f>H16</f>
        <v>8.8231336713798011E-3</v>
      </c>
      <c r="J16" s="526">
        <f>I16</f>
        <v>8.8231336713798011E-3</v>
      </c>
      <c r="K16" s="527">
        <f>J16</f>
        <v>8.8231336713798011E-3</v>
      </c>
      <c r="L16" s="461"/>
    </row>
    <row r="17" spans="1:12" ht="13.5" customHeight="1" thickBot="1">
      <c r="A17" s="491"/>
      <c r="B17" s="28"/>
      <c r="C17" s="28"/>
      <c r="D17" s="28"/>
      <c r="E17" s="28"/>
      <c r="F17" s="28"/>
      <c r="G17" s="28"/>
      <c r="H17" s="28"/>
      <c r="I17" s="28"/>
      <c r="J17" s="28"/>
      <c r="K17" s="28"/>
      <c r="L17" s="28"/>
    </row>
    <row r="18" spans="1:12" ht="21" customHeight="1">
      <c r="A18" s="492" t="s">
        <v>825</v>
      </c>
      <c r="B18" s="499"/>
      <c r="C18" s="499"/>
      <c r="D18" s="499"/>
      <c r="E18" s="499"/>
      <c r="F18" s="499"/>
      <c r="G18" s="499"/>
      <c r="H18" s="499"/>
      <c r="I18" s="499"/>
      <c r="J18" s="499"/>
      <c r="K18" s="500"/>
      <c r="L18" s="28"/>
    </row>
    <row r="19" spans="1:12" s="26" customFormat="1" ht="13.5" customHeight="1">
      <c r="A19" s="496" t="s">
        <v>684</v>
      </c>
      <c r="B19" s="503">
        <f>DATA!C86</f>
        <v>7373229.7000000002</v>
      </c>
      <c r="C19" s="503">
        <f>DATA!D86</f>
        <v>8244614.2000000002</v>
      </c>
      <c r="D19" s="503">
        <f>DATA!E86</f>
        <v>12055385.5</v>
      </c>
      <c r="E19" s="503">
        <f>DATA!F86</f>
        <v>8728168.9000000004</v>
      </c>
      <c r="F19" s="503">
        <f>DATA!G86</f>
        <v>12179774.800000001</v>
      </c>
      <c r="G19" s="507">
        <f>(2*IS!G2/G20)-F19</f>
        <v>15135734.917629953</v>
      </c>
      <c r="H19" s="507">
        <f>(2*IS!H2/H20)-G19</f>
        <v>18702136.760814574</v>
      </c>
      <c r="I19" s="507">
        <f>(2*IS!I2/I20)-H19</f>
        <v>19094691.878892798</v>
      </c>
      <c r="J19" s="507">
        <f>(2*IS!J2/J20)-I19</f>
        <v>23772779.272539128</v>
      </c>
      <c r="K19" s="508">
        <f>(2*IS!K2/K20)-J19</f>
        <v>23817648.384141114</v>
      </c>
      <c r="L19" s="27"/>
    </row>
    <row r="20" spans="1:12" s="250" customFormat="1" ht="13.5" customHeight="1">
      <c r="A20" s="517" t="s">
        <v>814</v>
      </c>
      <c r="B20" s="518"/>
      <c r="C20" s="518">
        <f>IS!C2/AVERAGE(NWC!B19:C19)</f>
        <v>11.079158884409134</v>
      </c>
      <c r="D20" s="518">
        <f>IS!D2/AVERAGE(NWC!C19:D19)</f>
        <v>10.066428129060515</v>
      </c>
      <c r="E20" s="518">
        <f>IS!E2/AVERAGE(NWC!D19:E19)</f>
        <v>10.445375955519909</v>
      </c>
      <c r="F20" s="518">
        <f>IS!F2/AVERAGE(NWC!E19:F19)</f>
        <v>11.761855480795079</v>
      </c>
      <c r="G20" s="519">
        <f>11.2</f>
        <v>11.2</v>
      </c>
      <c r="H20" s="519">
        <f>AVERAGE(E20:G20)</f>
        <v>11.135743812104996</v>
      </c>
      <c r="I20" s="519">
        <f>AVERAGE(F20:H20)</f>
        <v>11.365866430966692</v>
      </c>
      <c r="J20" s="519">
        <f>AVERAGE(G20:I20)</f>
        <v>11.233870081023895</v>
      </c>
      <c r="K20" s="520">
        <f>AVERAGE(H20:J20)</f>
        <v>11.245160108031861</v>
      </c>
      <c r="L20" s="461"/>
    </row>
    <row r="21" spans="1:12" s="26" customFormat="1" ht="13.5" customHeight="1">
      <c r="A21" s="496" t="s">
        <v>828</v>
      </c>
      <c r="B21" s="503">
        <f>DATA!C87</f>
        <v>22475.5</v>
      </c>
      <c r="C21" s="503">
        <f>DATA!D87</f>
        <v>38061.599999999999</v>
      </c>
      <c r="D21" s="503">
        <f>DATA!E87</f>
        <v>81194.100000000006</v>
      </c>
      <c r="E21" s="503">
        <f>DATA!F87</f>
        <v>86907.4</v>
      </c>
      <c r="F21" s="503">
        <f>DATA!G87</f>
        <v>98379.3</v>
      </c>
      <c r="G21" s="507">
        <f>G22*IS!G2</f>
        <v>122389.42627074459</v>
      </c>
      <c r="H21" s="507">
        <f>H22*IS!H2</f>
        <v>150743.58427857654</v>
      </c>
      <c r="I21" s="507">
        <f>I22*IS!I2</f>
        <v>171859.86920573359</v>
      </c>
      <c r="J21" s="507">
        <f>J22*IS!J2</f>
        <v>192652.13596918585</v>
      </c>
      <c r="K21" s="508">
        <f>K22*IS!K2</f>
        <v>214092.67966179235</v>
      </c>
      <c r="L21" s="27"/>
    </row>
    <row r="22" spans="1:12" s="250" customFormat="1" ht="13.5" customHeight="1">
      <c r="A22" s="517" t="s">
        <v>831</v>
      </c>
      <c r="B22" s="521">
        <f>B21/IS!B2</f>
        <v>3.3879358359637727E-4</v>
      </c>
      <c r="C22" s="521">
        <f>C21/IS!C2</f>
        <v>4.3993566205632472E-4</v>
      </c>
      <c r="D22" s="521">
        <f>D21/IS!D2</f>
        <v>7.9466308554237996E-4</v>
      </c>
      <c r="E22" s="521">
        <f>E21/IS!E2</f>
        <v>8.0065027018213174E-4</v>
      </c>
      <c r="F22" s="521">
        <f>F21/IS!F2</f>
        <v>8.0010422346607696E-4</v>
      </c>
      <c r="G22" s="522">
        <f>F22</f>
        <v>8.0010422346607696E-4</v>
      </c>
      <c r="H22" s="522">
        <f>G22</f>
        <v>8.0010422346607696E-4</v>
      </c>
      <c r="I22" s="522">
        <f>H22</f>
        <v>8.0010422346607696E-4</v>
      </c>
      <c r="J22" s="522">
        <f>I22</f>
        <v>8.0010422346607696E-4</v>
      </c>
      <c r="K22" s="523">
        <f>J22</f>
        <v>8.0010422346607696E-4</v>
      </c>
      <c r="L22" s="461"/>
    </row>
    <row r="23" spans="1:12" s="26" customFormat="1" ht="13.5" customHeight="1">
      <c r="A23" s="496" t="s">
        <v>829</v>
      </c>
      <c r="B23" s="503">
        <f>DATA!C88</f>
        <v>137421.6</v>
      </c>
      <c r="C23" s="503">
        <f>DATA!D88</f>
        <v>217699.6</v>
      </c>
      <c r="D23" s="503">
        <f>DATA!E88</f>
        <v>374623.3</v>
      </c>
      <c r="E23" s="503">
        <f>DATA!F88</f>
        <v>634917.9</v>
      </c>
      <c r="F23" s="503">
        <f>DATA!G88</f>
        <v>696559</v>
      </c>
      <c r="G23" s="507">
        <f>G24*IS!G2</f>
        <v>887207.75562862074</v>
      </c>
      <c r="H23" s="507">
        <f>H24*IS!H2</f>
        <v>1092748.6234583203</v>
      </c>
      <c r="I23" s="507">
        <f>I24*IS!I2</f>
        <v>1267301.4322074989</v>
      </c>
      <c r="J23" s="507">
        <f>J24*IS!J2</f>
        <v>1420624.4247708167</v>
      </c>
      <c r="K23" s="508">
        <f>K24*IS!K2</f>
        <v>1578727.8368967767</v>
      </c>
      <c r="L23" s="27"/>
    </row>
    <row r="24" spans="1:12" s="250" customFormat="1" ht="13.5" customHeight="1">
      <c r="A24" s="517" t="s">
        <v>832</v>
      </c>
      <c r="B24" s="521">
        <f>B23/IS!B2</f>
        <v>2.0714803375919519E-3</v>
      </c>
      <c r="C24" s="521">
        <f>C23/IS!C2</f>
        <v>2.5162845927495709E-3</v>
      </c>
      <c r="D24" s="521">
        <f>D23/IS!D2</f>
        <v>3.6665140385085697E-3</v>
      </c>
      <c r="E24" s="521">
        <f>E23/IS!E2</f>
        <v>5.8492969318892493E-3</v>
      </c>
      <c r="F24" s="521">
        <f>F23/IS!F2</f>
        <v>5.665010808099947E-3</v>
      </c>
      <c r="G24" s="522">
        <f>0.58%</f>
        <v>5.7999999999999996E-3</v>
      </c>
      <c r="H24" s="522">
        <f>0.58%</f>
        <v>5.7999999999999996E-3</v>
      </c>
      <c r="I24" s="522">
        <f>0.59%</f>
        <v>5.8999999999999999E-3</v>
      </c>
      <c r="J24" s="522">
        <f>0.59%</f>
        <v>5.8999999999999999E-3</v>
      </c>
      <c r="K24" s="523">
        <f>0.59%</f>
        <v>5.8999999999999999E-3</v>
      </c>
      <c r="L24" s="461"/>
    </row>
    <row r="25" spans="1:12" s="26" customFormat="1" ht="13.5" customHeight="1">
      <c r="A25" s="496" t="s">
        <v>830</v>
      </c>
      <c r="B25" s="503">
        <f>DATA!C89</f>
        <v>133725.1</v>
      </c>
      <c r="C25" s="503">
        <f>DATA!D89</f>
        <v>149775</v>
      </c>
      <c r="D25" s="503">
        <f>DATA!E89</f>
        <v>258242.3</v>
      </c>
      <c r="E25" s="503">
        <f>DATA!F89</f>
        <v>533572.30000000005</v>
      </c>
      <c r="F25" s="503">
        <f>DATA!G89</f>
        <v>531987.4</v>
      </c>
      <c r="G25" s="507">
        <f>G26*IS!G3</f>
        <v>697776.15846887848</v>
      </c>
      <c r="H25" s="507">
        <f>H26*IS!H3</f>
        <v>875728.02695023536</v>
      </c>
      <c r="I25" s="507">
        <f>I26*IS!I3</f>
        <v>1011880.4039188303</v>
      </c>
      <c r="J25" s="507">
        <f>J26*IS!J3</f>
        <v>1149115.7061383638</v>
      </c>
      <c r="K25" s="508">
        <f>K26*IS!K3</f>
        <v>1295918.9230707341</v>
      </c>
      <c r="L25" s="27"/>
    </row>
    <row r="26" spans="1:12" s="250" customFormat="1" ht="13.5" customHeight="1">
      <c r="A26" s="517" t="s">
        <v>833</v>
      </c>
      <c r="B26" s="521">
        <f>B25/IS!B3</f>
        <v>2.4226428435123229E-3</v>
      </c>
      <c r="C26" s="521">
        <f>C25/IS!C3</f>
        <v>2.1028679268705218E-3</v>
      </c>
      <c r="D26" s="521">
        <f>D25/IS!D3</f>
        <v>3.1231515750489145E-3</v>
      </c>
      <c r="E26" s="521">
        <f>E25/IS!E3</f>
        <v>6.3076332575851598E-3</v>
      </c>
      <c r="F26" s="521">
        <f>F25/IS!F3</f>
        <v>5.5807182147640921E-3</v>
      </c>
      <c r="G26" s="522">
        <f>0.59%</f>
        <v>5.8999999999999999E-3</v>
      </c>
      <c r="H26" s="522">
        <f>G26+0.01%</f>
        <v>6.0000000000000001E-3</v>
      </c>
      <c r="I26" s="522">
        <f>H26+0.01%</f>
        <v>6.1000000000000004E-3</v>
      </c>
      <c r="J26" s="522">
        <f>I26+0.01%</f>
        <v>6.2000000000000006E-3</v>
      </c>
      <c r="K26" s="523">
        <f>J26+0.01%</f>
        <v>6.3000000000000009E-3</v>
      </c>
      <c r="L26" s="461"/>
    </row>
    <row r="27" spans="1:12" s="26" customFormat="1" ht="13.5" customHeight="1">
      <c r="A27" s="496" t="s">
        <v>834</v>
      </c>
      <c r="B27" s="503">
        <f>BS!C70</f>
        <v>1585372.4</v>
      </c>
      <c r="C27" s="503">
        <f>BS!D70</f>
        <v>2173064.9</v>
      </c>
      <c r="D27" s="503">
        <f>BS!E70</f>
        <v>1851967</v>
      </c>
      <c r="E27" s="503">
        <f>BS!F70</f>
        <v>3191005.4</v>
      </c>
      <c r="F27" s="503">
        <f>BS!G70</f>
        <v>3885356.4</v>
      </c>
      <c r="G27" s="507">
        <f>G28*IS!G3</f>
        <v>4640870.977557851</v>
      </c>
      <c r="H27" s="507">
        <f>H28*IS!H3</f>
        <v>5838129.1668881085</v>
      </c>
      <c r="I27" s="507">
        <f>I28*IS!I3</f>
        <v>6572261.2076321868</v>
      </c>
      <c r="J27" s="507">
        <f>J28*IS!J3</f>
        <v>7378406.6625234028</v>
      </c>
      <c r="K27" s="508">
        <f>K28*IS!K3</f>
        <v>8169425.4187673833</v>
      </c>
      <c r="L27" s="27"/>
    </row>
    <row r="28" spans="1:12" s="250" customFormat="1" ht="13.5" customHeight="1">
      <c r="A28" s="513" t="s">
        <v>835</v>
      </c>
      <c r="B28" s="521">
        <f>B27/IS!B3</f>
        <v>2.8721542172426534E-2</v>
      </c>
      <c r="C28" s="521">
        <f>C27/IS!C3</f>
        <v>3.0510221874265379E-2</v>
      </c>
      <c r="D28" s="521">
        <f>D27/IS!D3</f>
        <v>2.239746800965068E-2</v>
      </c>
      <c r="E28" s="521">
        <f>E27/IS!E3</f>
        <v>3.7722520052434941E-2</v>
      </c>
      <c r="F28" s="521">
        <f>F27/IS!F3</f>
        <v>4.0758633065990355E-2</v>
      </c>
      <c r="G28" s="515">
        <f>AVERAGE(E28:F28)</f>
        <v>3.9240576559212648E-2</v>
      </c>
      <c r="H28" s="515">
        <f>AVERAGE(F28:G28)</f>
        <v>3.9999604812601501E-2</v>
      </c>
      <c r="I28" s="515">
        <f>AVERAGE(G28:H28)</f>
        <v>3.9620090685907078E-2</v>
      </c>
      <c r="J28" s="515">
        <f>AVERAGE(H28:I28)</f>
        <v>3.9809847749254293E-2</v>
      </c>
      <c r="K28" s="516">
        <f>AVERAGE(I28:J28)</f>
        <v>3.9714969217580685E-2</v>
      </c>
      <c r="L28" s="461"/>
    </row>
    <row r="29" spans="1:12" s="26" customFormat="1" ht="13.5" customHeight="1">
      <c r="A29" s="501" t="s">
        <v>836</v>
      </c>
      <c r="B29" s="503">
        <f>BS!C76</f>
        <v>45824.5</v>
      </c>
      <c r="C29" s="503">
        <f>BS!D76</f>
        <v>56568.6</v>
      </c>
      <c r="D29" s="503">
        <f>BS!E76</f>
        <v>71690.5</v>
      </c>
      <c r="E29" s="503">
        <f>BS!F76</f>
        <v>76377.399999999994</v>
      </c>
      <c r="F29" s="503">
        <f>BS!G76</f>
        <v>77277.600000000006</v>
      </c>
      <c r="G29" s="507">
        <f>G30*G19</f>
        <v>103281.56374809332</v>
      </c>
      <c r="H29" s="507">
        <f>H30*H19</f>
        <v>129894.40761493015</v>
      </c>
      <c r="I29" s="507">
        <f>I30*I19</f>
        <v>132942.24422287423</v>
      </c>
      <c r="J29" s="507">
        <f>J30*J19</f>
        <v>170340.56739134601</v>
      </c>
      <c r="K29" s="508">
        <f>K30*K19</f>
        <v>163110.36821694896</v>
      </c>
      <c r="L29" s="27"/>
    </row>
    <row r="30" spans="1:12" s="250" customFormat="1" ht="13.5" customHeight="1">
      <c r="A30" s="513" t="s">
        <v>837</v>
      </c>
      <c r="B30" s="521">
        <f>B29/B19</f>
        <v>6.214983374246431E-3</v>
      </c>
      <c r="C30" s="521">
        <f>C29/C19</f>
        <v>6.861279209401939E-3</v>
      </c>
      <c r="D30" s="521">
        <f>D29/D19</f>
        <v>5.9467613043149882E-3</v>
      </c>
      <c r="E30" s="521">
        <f>E29/E19</f>
        <v>8.7506785071494193E-3</v>
      </c>
      <c r="F30" s="521">
        <f>F29/F19</f>
        <v>6.3447478519881991E-3</v>
      </c>
      <c r="G30" s="522">
        <f>AVERAGE(B30:F30)</f>
        <v>6.8236900494201957E-3</v>
      </c>
      <c r="H30" s="522">
        <f>AVERAGE(C30:G30)</f>
        <v>6.945431384454949E-3</v>
      </c>
      <c r="I30" s="522">
        <f>AVERAGE(D30:H30)</f>
        <v>6.9622618194655501E-3</v>
      </c>
      <c r="J30" s="522">
        <f>AVERAGE(E30:I30)</f>
        <v>7.1653619224956626E-3</v>
      </c>
      <c r="K30" s="523">
        <f>AVERAGE(F30:J30)</f>
        <v>6.8482986055649116E-3</v>
      </c>
      <c r="L30" s="461"/>
    </row>
    <row r="31" spans="1:12" s="26" customFormat="1" ht="12.75">
      <c r="A31" s="501" t="s">
        <v>838</v>
      </c>
      <c r="B31" s="503">
        <f>BS!C74</f>
        <v>807310.1</v>
      </c>
      <c r="C31" s="503">
        <f>BS!D74</f>
        <v>1208214.3</v>
      </c>
      <c r="D31" s="503">
        <f>BS!E74</f>
        <v>717884.7</v>
      </c>
      <c r="E31" s="503">
        <f>BS!F74</f>
        <v>546045.4</v>
      </c>
      <c r="F31" s="503">
        <f>BS!G74</f>
        <v>476319.9</v>
      </c>
      <c r="G31" s="507">
        <f>G32*IS!G2</f>
        <v>681037.6345301104</v>
      </c>
      <c r="H31" s="507">
        <f>H32*IS!H2</f>
        <v>784332.55452443892</v>
      </c>
      <c r="I31" s="507">
        <f>I32*IS!I2</f>
        <v>925259.54608574894</v>
      </c>
      <c r="J31" s="507">
        <f>J32*IS!J2</f>
        <v>1019793.7759231521</v>
      </c>
      <c r="K31" s="508">
        <f>K32*IS!K2</f>
        <v>1142960.3959816841</v>
      </c>
      <c r="L31" s="27"/>
    </row>
    <row r="32" spans="1:12" ht="13.5" thickBot="1">
      <c r="A32" s="502" t="s">
        <v>839</v>
      </c>
      <c r="B32" s="506">
        <f>B31/IS!B2</f>
        <v>1.2169316894064634E-2</v>
      </c>
      <c r="C32" s="506">
        <f>C31/IS!C2</f>
        <v>1.396516588836042E-2</v>
      </c>
      <c r="D32" s="506">
        <f>D31/IS!D2</f>
        <v>7.0260828159394058E-3</v>
      </c>
      <c r="E32" s="506">
        <f>E31/IS!E2</f>
        <v>5.0305428196184701E-3</v>
      </c>
      <c r="F32" s="506">
        <f>F31/IS!F2</f>
        <v>3.8738389448892143E-3</v>
      </c>
      <c r="G32" s="511">
        <f>AVERAGE(E32:F32)</f>
        <v>4.452190882253842E-3</v>
      </c>
      <c r="H32" s="511">
        <f>AVERAGE(F32:G32)</f>
        <v>4.1630149135715279E-3</v>
      </c>
      <c r="I32" s="511">
        <f>AVERAGE(G32:H32)</f>
        <v>4.307602897912685E-3</v>
      </c>
      <c r="J32" s="511">
        <f>AVERAGE(H32:I32)</f>
        <v>4.2353089057421064E-3</v>
      </c>
      <c r="K32" s="512">
        <f>AVERAGE(I32:J32)</f>
        <v>4.2714559018273961E-3</v>
      </c>
      <c r="L32" s="28"/>
    </row>
    <row r="33" spans="1:12" ht="13.5" customHeight="1" thickBot="1">
      <c r="A33" s="466"/>
      <c r="B33" s="28"/>
      <c r="C33" s="28"/>
      <c r="D33" s="28"/>
      <c r="E33" s="28"/>
      <c r="F33" s="28"/>
      <c r="G33" s="28"/>
      <c r="H33" s="28"/>
      <c r="I33" s="28"/>
      <c r="J33" s="28"/>
      <c r="K33" s="28"/>
      <c r="L33" s="28"/>
    </row>
    <row r="34" spans="1:12" ht="17.25" customHeight="1">
      <c r="A34" s="492" t="s">
        <v>729</v>
      </c>
      <c r="B34" s="499"/>
      <c r="C34" s="499"/>
      <c r="D34" s="499"/>
      <c r="E34" s="499"/>
      <c r="F34" s="499"/>
      <c r="G34" s="499"/>
      <c r="H34" s="499"/>
      <c r="I34" s="499"/>
      <c r="J34" s="499"/>
      <c r="K34" s="500"/>
      <c r="L34" s="28"/>
    </row>
    <row r="35" spans="1:12" ht="13.5" customHeight="1">
      <c r="A35" s="497" t="s">
        <v>840</v>
      </c>
      <c r="B35" s="504"/>
      <c r="C35" s="504">
        <f t="shared" ref="C35:K35" si="1">B37</f>
        <v>635867.5</v>
      </c>
      <c r="D35" s="504">
        <f t="shared" si="1"/>
        <v>582987</v>
      </c>
      <c r="E35" s="504">
        <f t="shared" si="1"/>
        <v>1199146.1000000001</v>
      </c>
      <c r="F35" s="504">
        <f t="shared" si="1"/>
        <v>894629.3</v>
      </c>
      <c r="G35" s="509">
        <f t="shared" si="1"/>
        <v>1247261.3999999999</v>
      </c>
      <c r="H35" s="509">
        <f t="shared" si="1"/>
        <v>1547427.6226076835</v>
      </c>
      <c r="I35" s="509">
        <f t="shared" si="1"/>
        <v>1909695.9585701351</v>
      </c>
      <c r="J35" s="509">
        <f t="shared" si="1"/>
        <v>2170428.9854185292</v>
      </c>
      <c r="K35" s="510">
        <f t="shared" si="1"/>
        <v>2425036.6210425356</v>
      </c>
      <c r="L35" s="28"/>
    </row>
    <row r="36" spans="1:12" ht="13.5" customHeight="1">
      <c r="A36" s="497" t="s">
        <v>841</v>
      </c>
      <c r="B36" s="504"/>
      <c r="C36" s="504">
        <f t="shared" ref="C36:K36" si="2">C37-C35</f>
        <v>-52880.5</v>
      </c>
      <c r="D36" s="504">
        <f t="shared" si="2"/>
        <v>616159.10000000009</v>
      </c>
      <c r="E36" s="504">
        <f t="shared" si="2"/>
        <v>-304516.80000000005</v>
      </c>
      <c r="F36" s="504">
        <f t="shared" si="2"/>
        <v>352632.09999999986</v>
      </c>
      <c r="G36" s="509">
        <f t="shared" si="2"/>
        <v>300166.22260768362</v>
      </c>
      <c r="H36" s="509">
        <f t="shared" si="2"/>
        <v>362268.33596245153</v>
      </c>
      <c r="I36" s="509">
        <f t="shared" si="2"/>
        <v>260733.02684839419</v>
      </c>
      <c r="J36" s="509">
        <f t="shared" si="2"/>
        <v>254607.63562400639</v>
      </c>
      <c r="K36" s="510">
        <f t="shared" si="2"/>
        <v>266396.00237397943</v>
      </c>
      <c r="L36" s="28"/>
    </row>
    <row r="37" spans="1:12" s="26" customFormat="1" ht="13.5" customHeight="1">
      <c r="A37" s="528" t="s">
        <v>779</v>
      </c>
      <c r="B37" s="531">
        <f>BS!C20</f>
        <v>635867.5</v>
      </c>
      <c r="C37" s="531">
        <f>BS!D20</f>
        <v>582987</v>
      </c>
      <c r="D37" s="531">
        <f>BS!E20</f>
        <v>1199146.1000000001</v>
      </c>
      <c r="E37" s="531">
        <f>BS!F20</f>
        <v>894629.3</v>
      </c>
      <c r="F37" s="531">
        <f>BS!G20</f>
        <v>1247261.3999999999</v>
      </c>
      <c r="G37" s="534">
        <f>G35*(1+G38)</f>
        <v>1547427.6226076835</v>
      </c>
      <c r="H37" s="534">
        <f>H35*(1+H38)</f>
        <v>1909695.9585701351</v>
      </c>
      <c r="I37" s="534">
        <f>I35*(1+I38)</f>
        <v>2170428.9854185292</v>
      </c>
      <c r="J37" s="534">
        <f>J35*(1+J38)</f>
        <v>2425036.6210425356</v>
      </c>
      <c r="K37" s="535">
        <f>K35*(1+K38)</f>
        <v>2691432.6234165151</v>
      </c>
    </row>
    <row r="38" spans="1:12" s="530" customFormat="1" ht="13.5" customHeight="1" thickBot="1">
      <c r="A38" s="529" t="s">
        <v>842</v>
      </c>
      <c r="B38" s="532"/>
      <c r="C38" s="533">
        <f>IS!C3/IS!B3-1</f>
        <v>0.29033890848511157</v>
      </c>
      <c r="D38" s="533">
        <f>IS!D3/IS!C3-1</f>
        <v>0.16093254913425503</v>
      </c>
      <c r="E38" s="533">
        <f>IS!E3/IS!D3-1</f>
        <v>2.3039782480815729E-2</v>
      </c>
      <c r="F38" s="533">
        <f>IS!F3/IS!E3-1</f>
        <v>0.12689748801589107</v>
      </c>
      <c r="G38" s="536">
        <f>IS!G3/IS!F3-1</f>
        <v>0.24066023578352036</v>
      </c>
      <c r="H38" s="536">
        <f>IS!H3/IS!G3-1</f>
        <v>0.23411003569392586</v>
      </c>
      <c r="I38" s="536">
        <f>IS!I3/IS!H3-1</f>
        <v>0.1365311717178348</v>
      </c>
      <c r="J38" s="536">
        <f>IS!J3/IS!I3-1</f>
        <v>0.11730751723945931</v>
      </c>
      <c r="K38" s="537">
        <f>IS!K3/IS!J3-1</f>
        <v>0.10985236266636433</v>
      </c>
    </row>
    <row r="39" spans="1:12" ht="13.5" customHeight="1">
      <c r="A39" s="484"/>
      <c r="B39" s="487"/>
      <c r="C39" s="487"/>
      <c r="D39" s="487"/>
      <c r="E39" s="487"/>
      <c r="F39" s="487"/>
      <c r="G39" s="487"/>
      <c r="H39" s="487"/>
      <c r="I39" s="487"/>
      <c r="J39" s="487"/>
      <c r="K39" s="487"/>
    </row>
    <row r="40" spans="1:12" ht="13.5" customHeight="1">
      <c r="A40" s="235"/>
      <c r="B40" s="30"/>
      <c r="C40" s="30"/>
      <c r="D40" s="30"/>
      <c r="E40" s="30"/>
      <c r="F40" s="30"/>
      <c r="G40" s="30"/>
      <c r="H40" s="30"/>
      <c r="I40" s="30"/>
      <c r="J40" s="30"/>
      <c r="K40" s="30"/>
    </row>
    <row r="41" spans="1:12" ht="13.5" customHeight="1">
      <c r="A41" s="235"/>
      <c r="B41" s="30"/>
      <c r="C41" s="30"/>
      <c r="D41" s="30"/>
      <c r="E41" s="30"/>
      <c r="F41" s="30"/>
      <c r="G41" s="30"/>
      <c r="H41" s="30"/>
      <c r="I41" s="30"/>
      <c r="J41" s="30"/>
      <c r="K41" s="30"/>
    </row>
    <row r="42" spans="1:12" ht="13.5" customHeight="1">
      <c r="A42" s="235"/>
      <c r="B42" s="30"/>
      <c r="C42" s="30"/>
      <c r="D42" s="30"/>
      <c r="E42" s="30"/>
      <c r="F42" s="30"/>
      <c r="G42" s="30"/>
      <c r="H42" s="30"/>
      <c r="I42" s="30"/>
      <c r="J42" s="30"/>
      <c r="K42" s="30"/>
    </row>
    <row r="43" spans="1:12" ht="13.5" customHeight="1">
      <c r="A43" s="235"/>
      <c r="B43" s="30"/>
      <c r="C43" s="30"/>
      <c r="D43" s="30"/>
      <c r="E43" s="30"/>
      <c r="F43" s="30"/>
      <c r="G43" s="30"/>
      <c r="H43" s="30"/>
      <c r="I43" s="30"/>
      <c r="J43" s="30"/>
      <c r="K43" s="30"/>
    </row>
    <row r="44" spans="1:12" ht="13.5" customHeight="1">
      <c r="A44" s="235"/>
      <c r="B44" s="30"/>
      <c r="C44" s="30"/>
      <c r="D44" s="30"/>
      <c r="E44" s="30"/>
      <c r="F44" s="30"/>
      <c r="G44" s="30"/>
      <c r="H44" s="30"/>
      <c r="I44" s="30"/>
      <c r="J44" s="30"/>
      <c r="K44" s="30"/>
    </row>
    <row r="45" spans="1:12" ht="13.5" customHeight="1">
      <c r="A45" s="235"/>
      <c r="B45" s="30"/>
      <c r="C45" s="30"/>
      <c r="D45" s="30"/>
      <c r="E45" s="30"/>
      <c r="F45" s="30"/>
      <c r="G45" s="30"/>
      <c r="H45" s="30"/>
      <c r="I45" s="30"/>
      <c r="J45" s="30"/>
      <c r="K45" s="30"/>
    </row>
    <row r="46" spans="1:12" ht="13.5" customHeight="1">
      <c r="A46" s="235"/>
      <c r="B46" s="30"/>
      <c r="C46" s="30"/>
      <c r="D46" s="30"/>
      <c r="E46" s="30"/>
      <c r="F46" s="30"/>
      <c r="G46" s="30"/>
      <c r="H46" s="30"/>
      <c r="I46" s="30"/>
      <c r="J46" s="30"/>
      <c r="K46" s="30"/>
    </row>
    <row r="47" spans="1:12" ht="13.5" customHeight="1">
      <c r="A47" s="232"/>
      <c r="B47" s="30"/>
      <c r="C47" s="30"/>
      <c r="D47" s="30"/>
      <c r="E47" s="30"/>
      <c r="F47" s="30"/>
      <c r="G47" s="30"/>
      <c r="H47" s="30"/>
      <c r="I47" s="30"/>
      <c r="J47" s="30"/>
      <c r="K47" s="30"/>
    </row>
    <row r="48" spans="1:12" ht="13.5" customHeight="1">
      <c r="A48" s="235"/>
      <c r="B48" s="30"/>
      <c r="C48" s="30"/>
      <c r="D48" s="30"/>
      <c r="E48" s="30"/>
      <c r="F48" s="30"/>
      <c r="G48" s="30"/>
      <c r="H48" s="30"/>
      <c r="I48" s="30"/>
      <c r="J48" s="30"/>
      <c r="K48" s="30"/>
    </row>
    <row r="49" spans="1:11" ht="13.5" customHeight="1">
      <c r="A49" s="235"/>
      <c r="B49" s="30"/>
      <c r="C49" s="30"/>
      <c r="D49" s="30"/>
      <c r="E49" s="30"/>
      <c r="F49" s="30"/>
      <c r="G49" s="30"/>
      <c r="H49" s="30"/>
      <c r="I49" s="30"/>
      <c r="J49" s="30"/>
      <c r="K49" s="30"/>
    </row>
    <row r="50" spans="1:11" ht="13.5" customHeight="1">
      <c r="A50" s="235"/>
      <c r="B50" s="30"/>
      <c r="C50" s="30"/>
      <c r="D50" s="30"/>
      <c r="E50" s="30"/>
      <c r="F50" s="30"/>
      <c r="G50" s="30"/>
      <c r="H50" s="30"/>
      <c r="I50" s="30"/>
      <c r="J50" s="30"/>
      <c r="K50" s="30"/>
    </row>
    <row r="51" spans="1:11" ht="13.5" customHeight="1">
      <c r="A51" s="235"/>
    </row>
    <row r="52" spans="1:11" ht="13.5" customHeight="1">
      <c r="A52" s="235"/>
    </row>
    <row r="53" spans="1:11" ht="13.5" customHeight="1">
      <c r="A53" s="232"/>
    </row>
    <row r="54" spans="1:11" ht="13.5" customHeight="1">
      <c r="A54" s="485"/>
    </row>
    <row r="55" spans="1:11" ht="13.5" customHeight="1"/>
    <row r="56" spans="1:11" ht="13.5" customHeight="1"/>
    <row r="57" spans="1:11" ht="13.5" customHeight="1"/>
    <row r="58" spans="1:11" ht="13.5" customHeight="1"/>
    <row r="59" spans="1:11" ht="13.5" customHeight="1"/>
    <row r="60" spans="1:11" ht="13.5" customHeight="1"/>
    <row r="61" spans="1:11" ht="13.5" customHeight="1"/>
    <row r="62" spans="1:11" ht="13.5" customHeight="1"/>
    <row r="63" spans="1:11" ht="13.5" customHeight="1"/>
    <row r="64" spans="1:11"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2060"/>
  </sheetPr>
  <dimension ref="A1:Z1001"/>
  <sheetViews>
    <sheetView showGridLines="0" workbookViewId="0">
      <pane ySplit="1" topLeftCell="A2" activePane="bottomLeft" state="frozen"/>
      <selection pane="bottomLeft" activeCell="J49" sqref="J49"/>
    </sheetView>
  </sheetViews>
  <sheetFormatPr defaultColWidth="11.25" defaultRowHeight="15" customHeight="1"/>
  <cols>
    <col min="1" max="1" width="34.5" style="226" bestFit="1" customWidth="1"/>
    <col min="2" max="2" width="13.875" style="226" customWidth="1"/>
    <col min="3" max="3" width="13.5" style="226" customWidth="1"/>
    <col min="4" max="4" width="12.75" style="226" customWidth="1"/>
    <col min="5" max="5" width="13.875" style="226" customWidth="1"/>
    <col min="6" max="6" width="13.625" style="226" customWidth="1"/>
    <col min="7" max="7" width="13" style="226" customWidth="1"/>
    <col min="8" max="8" width="12.875" style="226" customWidth="1"/>
    <col min="9" max="9" width="13.5" style="226" customWidth="1"/>
    <col min="10" max="11" width="12.5" style="226" customWidth="1"/>
    <col min="12" max="15" width="8.75" style="226" customWidth="1"/>
    <col min="16" max="26" width="8.5" style="226" customWidth="1"/>
    <col min="27" max="16384" width="11.25" style="226"/>
  </cols>
  <sheetData>
    <row r="1" spans="1:26" s="225" customFormat="1" ht="13.5" customHeight="1">
      <c r="A1" s="548"/>
      <c r="B1" s="547" t="s">
        <v>15</v>
      </c>
      <c r="C1" s="332" t="s">
        <v>16</v>
      </c>
      <c r="D1" s="332" t="s">
        <v>17</v>
      </c>
      <c r="E1" s="332" t="s">
        <v>18</v>
      </c>
      <c r="F1" s="332" t="s">
        <v>19</v>
      </c>
      <c r="G1" s="333" t="s">
        <v>4</v>
      </c>
      <c r="H1" s="333" t="s">
        <v>5</v>
      </c>
      <c r="I1" s="333" t="s">
        <v>6</v>
      </c>
      <c r="J1" s="333" t="s">
        <v>7</v>
      </c>
      <c r="K1" s="334" t="s">
        <v>8</v>
      </c>
      <c r="L1" s="26"/>
      <c r="M1" s="26"/>
      <c r="N1" s="26"/>
      <c r="O1" s="26"/>
      <c r="P1" s="26"/>
      <c r="Q1" s="26"/>
      <c r="R1" s="26"/>
      <c r="S1" s="26"/>
      <c r="T1" s="26"/>
      <c r="U1" s="26"/>
      <c r="V1" s="26"/>
      <c r="W1" s="26"/>
      <c r="X1" s="26"/>
      <c r="Y1" s="26"/>
      <c r="Z1" s="26"/>
    </row>
    <row r="2" spans="1:26" ht="13.5" customHeight="1">
      <c r="A2" s="498" t="s">
        <v>843</v>
      </c>
      <c r="B2" s="220"/>
      <c r="C2" s="220"/>
      <c r="D2" s="220"/>
      <c r="E2" s="220"/>
      <c r="F2" s="220"/>
      <c r="G2" s="221"/>
      <c r="H2" s="221"/>
      <c r="I2" s="221"/>
      <c r="J2" s="221"/>
      <c r="K2" s="221"/>
      <c r="L2" s="21"/>
      <c r="M2" s="21"/>
      <c r="N2" s="21"/>
      <c r="O2" s="21"/>
      <c r="P2" s="21"/>
      <c r="Q2" s="21"/>
      <c r="R2" s="21"/>
      <c r="S2" s="21"/>
      <c r="T2" s="21"/>
      <c r="U2" s="21"/>
      <c r="V2" s="21"/>
      <c r="W2" s="21"/>
      <c r="X2" s="21"/>
      <c r="Y2" s="21"/>
      <c r="Z2" s="21"/>
    </row>
    <row r="3" spans="1:26" ht="13.5" customHeight="1">
      <c r="A3" s="538" t="s">
        <v>844</v>
      </c>
      <c r="B3" s="176">
        <f>DATA!C119</f>
        <v>3169884.4</v>
      </c>
      <c r="C3" s="176">
        <f>DATA!D119</f>
        <v>4434961.8</v>
      </c>
      <c r="D3" s="176">
        <f>DATA!E119</f>
        <v>4435461.8</v>
      </c>
      <c r="E3" s="176">
        <f>DATA!F119</f>
        <v>4532099.9000000004</v>
      </c>
      <c r="F3" s="230">
        <f>DATA!G119</f>
        <v>7130655</v>
      </c>
      <c r="G3" s="177">
        <f>G22</f>
        <v>14645794.814903997</v>
      </c>
      <c r="H3" s="177">
        <f>H22</f>
        <v>14645794.814903997</v>
      </c>
      <c r="I3" s="177">
        <f>I22</f>
        <v>14645794.814903997</v>
      </c>
      <c r="J3" s="177">
        <f>J22</f>
        <v>14645794.814903997</v>
      </c>
      <c r="K3" s="177">
        <f>K22</f>
        <v>14645794.814903997</v>
      </c>
      <c r="L3" s="28"/>
      <c r="M3" s="21"/>
      <c r="N3" s="21"/>
      <c r="O3" s="21"/>
      <c r="P3" s="21"/>
      <c r="Q3" s="21"/>
      <c r="R3" s="21"/>
      <c r="S3" s="21"/>
      <c r="T3" s="21"/>
      <c r="U3" s="21"/>
      <c r="V3" s="21"/>
      <c r="W3" s="21"/>
      <c r="X3" s="21"/>
      <c r="Y3" s="21"/>
      <c r="Z3" s="21"/>
    </row>
    <row r="4" spans="1:26" ht="13.5" customHeight="1">
      <c r="A4" s="538" t="s">
        <v>845</v>
      </c>
      <c r="B4" s="176">
        <f>DATA!C122</f>
        <v>36717.699999999997</v>
      </c>
      <c r="C4" s="176">
        <f>DATA!D122</f>
        <v>551452</v>
      </c>
      <c r="D4" s="176">
        <f>DATA!E122</f>
        <v>555207</v>
      </c>
      <c r="E4" s="176">
        <f>DATA!F122</f>
        <v>558110.4</v>
      </c>
      <c r="F4" s="176">
        <f>DATA!G122</f>
        <v>558110.4</v>
      </c>
      <c r="G4" s="177">
        <f>G28</f>
        <v>558110.41399999999</v>
      </c>
      <c r="H4" s="177">
        <f>H28</f>
        <v>558110.41399999999</v>
      </c>
      <c r="I4" s="177">
        <f>I28</f>
        <v>558110.41399999999</v>
      </c>
      <c r="J4" s="177">
        <f>J28</f>
        <v>558110.41399999999</v>
      </c>
      <c r="K4" s="177">
        <f>K28</f>
        <v>558110.41399999999</v>
      </c>
      <c r="L4" s="28"/>
      <c r="M4" s="21"/>
      <c r="N4" s="21"/>
      <c r="O4" s="21"/>
      <c r="P4" s="21"/>
      <c r="Q4" s="21"/>
      <c r="R4" s="21"/>
      <c r="S4" s="21"/>
      <c r="T4" s="21"/>
      <c r="U4" s="21"/>
      <c r="V4" s="21"/>
      <c r="W4" s="21"/>
      <c r="X4" s="21"/>
      <c r="Y4" s="21"/>
      <c r="Z4" s="21"/>
    </row>
    <row r="5" spans="1:26" ht="13.5" customHeight="1">
      <c r="A5" s="538" t="s">
        <v>846</v>
      </c>
      <c r="B5" s="176">
        <f>DATA!C124</f>
        <v>1130.5</v>
      </c>
      <c r="C5" s="176">
        <f>DATA!D124</f>
        <v>1130.5</v>
      </c>
      <c r="D5" s="176">
        <f>DATA!E124</f>
        <v>1130.5</v>
      </c>
      <c r="E5" s="176">
        <f>DATA!F124</f>
        <v>0</v>
      </c>
      <c r="F5" s="176">
        <f>DATA!G124</f>
        <v>0</v>
      </c>
      <c r="G5" s="177">
        <f>DATA!H124</f>
        <v>0</v>
      </c>
      <c r="H5" s="177">
        <f>DATA!I124</f>
        <v>0</v>
      </c>
      <c r="I5" s="177">
        <f>DATA!J124</f>
        <v>0</v>
      </c>
      <c r="J5" s="177">
        <f>DATA!K124</f>
        <v>0</v>
      </c>
      <c r="K5" s="177">
        <f>DATA!L124</f>
        <v>0</v>
      </c>
      <c r="L5" s="28"/>
      <c r="M5" s="21"/>
      <c r="N5" s="21"/>
      <c r="O5" s="21"/>
      <c r="P5" s="21"/>
      <c r="Q5" s="21"/>
      <c r="R5" s="21"/>
      <c r="S5" s="21"/>
      <c r="T5" s="21"/>
      <c r="U5" s="21"/>
      <c r="V5" s="21"/>
      <c r="W5" s="21"/>
      <c r="X5" s="21"/>
      <c r="Y5" s="21"/>
      <c r="Z5" s="21"/>
    </row>
    <row r="6" spans="1:26" ht="13.5" customHeight="1">
      <c r="A6" s="538" t="s">
        <v>847</v>
      </c>
      <c r="B6" s="176">
        <f>DATA!C125</f>
        <v>-79.2</v>
      </c>
      <c r="C6" s="176">
        <f>DATA!D125</f>
        <v>-808.9</v>
      </c>
      <c r="D6" s="176">
        <f>DATA!E125</f>
        <v>-5658.9</v>
      </c>
      <c r="E6" s="176">
        <f>DATA!F125</f>
        <v>-6040.9</v>
      </c>
      <c r="F6" s="176">
        <f>DATA!G125</f>
        <v>-2320</v>
      </c>
      <c r="G6" s="177">
        <f>G36</f>
        <v>-2320.0000000000009</v>
      </c>
      <c r="H6" s="177">
        <f>H36</f>
        <v>-2320.0000000000009</v>
      </c>
      <c r="I6" s="177">
        <f>I36</f>
        <v>-2320.0000000000009</v>
      </c>
      <c r="J6" s="177">
        <f>J36</f>
        <v>-2320.0000000000009</v>
      </c>
      <c r="K6" s="177">
        <f>K36</f>
        <v>-2320.0000000000009</v>
      </c>
      <c r="L6" s="28"/>
      <c r="M6" s="21"/>
      <c r="N6" s="21"/>
      <c r="O6" s="21"/>
      <c r="P6" s="21"/>
      <c r="Q6" s="21"/>
      <c r="R6" s="21"/>
      <c r="S6" s="21"/>
      <c r="T6" s="21"/>
      <c r="U6" s="21"/>
      <c r="V6" s="21"/>
      <c r="W6" s="21"/>
      <c r="X6" s="21"/>
      <c r="Y6" s="21"/>
      <c r="Z6" s="21"/>
    </row>
    <row r="7" spans="1:26" ht="12.75">
      <c r="A7" s="538" t="s">
        <v>848</v>
      </c>
      <c r="B7" s="475">
        <f>DATA!C127</f>
        <v>-86.1</v>
      </c>
      <c r="C7" s="475">
        <f>DATA!D127</f>
        <v>446.6</v>
      </c>
      <c r="D7" s="475">
        <f>DATA!E127</f>
        <v>-28.4</v>
      </c>
      <c r="E7" s="475">
        <f>DATA!F127</f>
        <v>-1443.8</v>
      </c>
      <c r="F7" s="475">
        <f>DATA!G127</f>
        <v>5388.4</v>
      </c>
      <c r="G7" s="177">
        <f>G40</f>
        <v>5388.4250000000002</v>
      </c>
      <c r="H7" s="177">
        <f>H40</f>
        <v>5388.4250000000002</v>
      </c>
      <c r="I7" s="177">
        <f>I40</f>
        <v>5388.4250000000002</v>
      </c>
      <c r="J7" s="177">
        <f>J40</f>
        <v>5388.4250000000002</v>
      </c>
      <c r="K7" s="177">
        <f>K40</f>
        <v>5388.4250000000002</v>
      </c>
      <c r="L7" s="28"/>
      <c r="M7" s="21"/>
      <c r="N7" s="21"/>
      <c r="O7" s="21"/>
      <c r="P7" s="21"/>
      <c r="Q7" s="21"/>
      <c r="R7" s="21"/>
      <c r="S7" s="21"/>
      <c r="T7" s="21"/>
      <c r="U7" s="21"/>
      <c r="V7" s="21"/>
      <c r="W7" s="21"/>
      <c r="X7" s="21"/>
      <c r="Y7" s="21"/>
      <c r="Z7" s="21"/>
    </row>
    <row r="8" spans="1:26" ht="12.75">
      <c r="A8" s="538" t="s">
        <v>849</v>
      </c>
      <c r="B8" s="176">
        <f>DATA!C131</f>
        <v>2698572.7</v>
      </c>
      <c r="C8" s="176">
        <f>DATA!D131</f>
        <v>3989603.9</v>
      </c>
      <c r="D8" s="176">
        <f>DATA!E131</f>
        <v>7149694.2000000002</v>
      </c>
      <c r="E8" s="176">
        <f>DATA!F131</f>
        <v>10389683.6</v>
      </c>
      <c r="F8" s="176">
        <f>DATA!G131</f>
        <v>12674574.199999999</v>
      </c>
      <c r="G8" s="177">
        <f>G53</f>
        <v>18594096.139613025</v>
      </c>
      <c r="H8" s="177">
        <f>H53</f>
        <v>25407832.106827062</v>
      </c>
      <c r="I8" s="177">
        <f>I53</f>
        <v>34695099.641009524</v>
      </c>
      <c r="J8" s="177">
        <f>J53</f>
        <v>46174883.673073232</v>
      </c>
      <c r="K8" s="177">
        <f>K53</f>
        <v>59237757.40257138</v>
      </c>
      <c r="L8" s="28"/>
      <c r="M8" s="21"/>
      <c r="N8" s="21"/>
      <c r="O8" s="21"/>
      <c r="P8" s="21"/>
      <c r="Q8" s="21"/>
      <c r="R8" s="21"/>
      <c r="S8" s="21"/>
      <c r="T8" s="21"/>
      <c r="U8" s="21"/>
      <c r="V8" s="21"/>
      <c r="W8" s="21"/>
      <c r="X8" s="21"/>
      <c r="Y8" s="21"/>
      <c r="Z8" s="21"/>
    </row>
    <row r="9" spans="1:26" ht="13.5" customHeight="1">
      <c r="A9" s="538" t="s">
        <v>850</v>
      </c>
      <c r="B9" s="176">
        <f>DATA!C135</f>
        <v>2776.3</v>
      </c>
      <c r="C9" s="176">
        <f>DATA!D135</f>
        <v>6249.4</v>
      </c>
      <c r="D9" s="176">
        <f>DATA!E135</f>
        <v>7786.1</v>
      </c>
      <c r="E9" s="176">
        <f>DATA!F135</f>
        <v>9280.6</v>
      </c>
      <c r="F9" s="176">
        <f>DATA!G135</f>
        <v>11838</v>
      </c>
      <c r="G9" s="177">
        <f>G62</f>
        <v>14911.924706726148</v>
      </c>
      <c r="H9" s="177">
        <f>H62</f>
        <v>18764.270429993274</v>
      </c>
      <c r="I9" s="177">
        <f>I62</f>
        <v>23118.473699913175</v>
      </c>
      <c r="J9" s="177">
        <f>J62</f>
        <v>28020.641816563857</v>
      </c>
      <c r="K9" s="177">
        <f>K62</f>
        <v>33456.612839840447</v>
      </c>
      <c r="L9" s="28"/>
      <c r="M9" s="21"/>
      <c r="N9" s="21"/>
      <c r="O9" s="21"/>
      <c r="P9" s="21"/>
      <c r="Q9" s="21"/>
      <c r="R9" s="21"/>
      <c r="S9" s="21"/>
      <c r="T9" s="21"/>
      <c r="U9" s="21"/>
      <c r="V9" s="21"/>
      <c r="W9" s="21"/>
      <c r="X9" s="21"/>
      <c r="Y9" s="21"/>
      <c r="Z9" s="21"/>
    </row>
    <row r="10" spans="1:26" ht="13.5" customHeight="1" thickBot="1">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row>
    <row r="11" spans="1:26" ht="13.5" customHeight="1" thickBot="1">
      <c r="A11" s="540" t="s">
        <v>851</v>
      </c>
      <c r="B11" s="21"/>
      <c r="C11" s="21"/>
      <c r="D11" s="21"/>
      <c r="E11" s="21"/>
      <c r="F11" s="21"/>
      <c r="G11" s="21"/>
      <c r="H11" s="21"/>
      <c r="I11" s="21"/>
      <c r="J11" s="21"/>
      <c r="K11" s="21"/>
      <c r="L11" s="21"/>
      <c r="M11" s="21"/>
      <c r="N11" s="21"/>
      <c r="O11" s="21"/>
      <c r="P11" s="21"/>
      <c r="Q11" s="21"/>
      <c r="R11" s="21"/>
      <c r="S11" s="21"/>
      <c r="T11" s="21"/>
      <c r="U11" s="21"/>
      <c r="V11" s="21"/>
      <c r="W11" s="21"/>
      <c r="X11" s="21"/>
      <c r="Y11" s="21"/>
      <c r="Z11" s="21"/>
    </row>
    <row r="12" spans="1:26" ht="13.5" customHeight="1">
      <c r="A12" s="488"/>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spans="1:26" ht="13.5" customHeight="1">
      <c r="A13" s="543" t="s">
        <v>852</v>
      </c>
      <c r="B13" s="220"/>
      <c r="C13" s="220"/>
      <c r="D13" s="220"/>
      <c r="E13" s="220"/>
      <c r="F13" s="220"/>
      <c r="G13" s="221"/>
      <c r="H13" s="221"/>
      <c r="I13" s="221"/>
      <c r="J13" s="221"/>
      <c r="K13" s="221"/>
      <c r="L13" s="21"/>
      <c r="M13" s="21"/>
      <c r="N13" s="21"/>
      <c r="O13" s="21"/>
      <c r="P13" s="21"/>
      <c r="Q13" s="21"/>
      <c r="R13" s="21"/>
      <c r="S13" s="21"/>
      <c r="T13" s="21"/>
      <c r="U13" s="21"/>
      <c r="V13" s="21"/>
      <c r="W13" s="21"/>
      <c r="X13" s="21"/>
      <c r="Y13" s="21"/>
      <c r="Z13" s="21"/>
    </row>
    <row r="14" spans="1:26" ht="13.5" customHeight="1">
      <c r="A14" s="488"/>
      <c r="B14" s="220"/>
      <c r="C14" s="220"/>
      <c r="D14" s="220"/>
      <c r="E14" s="220"/>
      <c r="F14" s="220"/>
      <c r="G14" s="221"/>
      <c r="H14" s="221"/>
      <c r="I14" s="221"/>
      <c r="J14" s="221"/>
      <c r="K14" s="221"/>
      <c r="L14" s="21"/>
      <c r="M14" s="21"/>
      <c r="N14" s="21"/>
      <c r="O14" s="21"/>
      <c r="P14" s="21"/>
      <c r="Q14" s="21"/>
      <c r="R14" s="21"/>
      <c r="S14" s="21"/>
      <c r="T14" s="21"/>
      <c r="U14" s="21"/>
      <c r="V14" s="21"/>
      <c r="W14" s="21"/>
      <c r="X14" s="21"/>
      <c r="Y14" s="21"/>
      <c r="Z14" s="21"/>
    </row>
    <row r="15" spans="1:26" s="225" customFormat="1" ht="13.5" customHeight="1">
      <c r="A15" s="498" t="s">
        <v>791</v>
      </c>
      <c r="B15" s="172">
        <v>1539509.27</v>
      </c>
      <c r="C15" s="172">
        <f t="shared" ref="C15:K15" si="0">B22</f>
        <v>3169884.37</v>
      </c>
      <c r="D15" s="545">
        <f t="shared" si="0"/>
        <v>4434961.7799999993</v>
      </c>
      <c r="E15" s="545">
        <f t="shared" si="0"/>
        <v>4435461.7799999993</v>
      </c>
      <c r="F15" s="172">
        <f t="shared" si="0"/>
        <v>4532099.8699999992</v>
      </c>
      <c r="G15" s="184">
        <f t="shared" si="0"/>
        <v>7130654.9499999993</v>
      </c>
      <c r="H15" s="184">
        <f t="shared" si="0"/>
        <v>14645794.814903997</v>
      </c>
      <c r="I15" s="184">
        <f t="shared" si="0"/>
        <v>14645794.814903997</v>
      </c>
      <c r="J15" s="184">
        <f t="shared" si="0"/>
        <v>14645794.814903997</v>
      </c>
      <c r="K15" s="184">
        <f t="shared" si="0"/>
        <v>14645794.814903997</v>
      </c>
      <c r="L15" s="26"/>
      <c r="M15" s="26"/>
      <c r="N15" s="26"/>
      <c r="O15" s="26"/>
      <c r="P15" s="26"/>
      <c r="Q15" s="26"/>
      <c r="R15" s="26"/>
      <c r="S15" s="26"/>
      <c r="T15" s="26"/>
      <c r="U15" s="26"/>
      <c r="V15" s="26"/>
      <c r="W15" s="26"/>
      <c r="X15" s="26"/>
      <c r="Y15" s="26"/>
      <c r="Z15" s="26"/>
    </row>
    <row r="16" spans="1:26" ht="13.5" customHeight="1">
      <c r="A16" s="538" t="s">
        <v>853</v>
      </c>
      <c r="B16" s="176">
        <v>0</v>
      </c>
      <c r="C16" s="176">
        <v>61810.84</v>
      </c>
      <c r="D16" s="176">
        <v>500</v>
      </c>
      <c r="E16" s="176">
        <v>96638.09</v>
      </c>
      <c r="F16" s="176">
        <v>0</v>
      </c>
      <c r="G16" s="177"/>
      <c r="H16" s="177"/>
      <c r="I16" s="177"/>
      <c r="J16" s="177"/>
      <c r="K16" s="221"/>
      <c r="L16" s="21"/>
      <c r="M16" s="21"/>
      <c r="N16" s="21"/>
      <c r="O16" s="21"/>
      <c r="P16" s="21"/>
      <c r="Q16" s="21"/>
      <c r="R16" s="21"/>
      <c r="S16" s="21"/>
      <c r="T16" s="21"/>
      <c r="U16" s="21"/>
      <c r="V16" s="21"/>
      <c r="W16" s="21"/>
      <c r="X16" s="21"/>
      <c r="Y16" s="21"/>
      <c r="Z16" s="21"/>
    </row>
    <row r="17" spans="1:26" ht="13.5" customHeight="1">
      <c r="A17" s="538" t="s">
        <v>854</v>
      </c>
      <c r="B17" s="176">
        <v>1538148.62</v>
      </c>
      <c r="C17" s="176">
        <v>0</v>
      </c>
      <c r="D17" s="176">
        <v>0</v>
      </c>
      <c r="E17" s="176">
        <v>0</v>
      </c>
      <c r="F17" s="176">
        <v>0</v>
      </c>
      <c r="G17" s="177"/>
      <c r="H17" s="177"/>
      <c r="I17" s="177"/>
      <c r="J17" s="177"/>
      <c r="K17" s="221"/>
      <c r="L17" s="21"/>
      <c r="M17" s="21"/>
      <c r="N17" s="21"/>
      <c r="O17" s="21"/>
      <c r="P17" s="21"/>
      <c r="Q17" s="21"/>
      <c r="R17" s="21"/>
      <c r="S17" s="21"/>
      <c r="T17" s="21"/>
      <c r="U17" s="21"/>
      <c r="V17" s="21"/>
      <c r="W17" s="21"/>
      <c r="X17" s="21"/>
      <c r="Y17" s="21"/>
      <c r="Z17" s="21"/>
    </row>
    <row r="18" spans="1:26" ht="13.5" customHeight="1">
      <c r="A18" s="538" t="s">
        <v>596</v>
      </c>
      <c r="B18" s="176">
        <v>92226.48</v>
      </c>
      <c r="C18" s="176">
        <v>127295.11</v>
      </c>
      <c r="D18" s="176">
        <v>0</v>
      </c>
      <c r="E18" s="176">
        <v>0</v>
      </c>
      <c r="F18" s="176">
        <v>222212.1</v>
      </c>
      <c r="G18" s="177">
        <f>G15*2.696%</f>
        <v>192242.457452</v>
      </c>
      <c r="H18" s="177"/>
      <c r="I18" s="177"/>
      <c r="J18" s="177"/>
      <c r="K18" s="221"/>
      <c r="L18" s="21"/>
      <c r="M18" s="21"/>
      <c r="N18" s="21"/>
      <c r="O18" s="21"/>
      <c r="P18" s="21"/>
      <c r="Q18" s="21"/>
      <c r="R18" s="21"/>
      <c r="S18" s="21"/>
      <c r="T18" s="21"/>
      <c r="U18" s="21"/>
      <c r="V18" s="21"/>
      <c r="W18" s="21"/>
      <c r="X18" s="21"/>
      <c r="Y18" s="21"/>
      <c r="Z18" s="21"/>
    </row>
    <row r="19" spans="1:26" ht="13.5" customHeight="1">
      <c r="A19" s="538" t="s">
        <v>855</v>
      </c>
      <c r="B19" s="176">
        <v>0</v>
      </c>
      <c r="C19" s="176">
        <f>C20</f>
        <v>1075971.46</v>
      </c>
      <c r="D19" s="176">
        <v>0</v>
      </c>
      <c r="E19" s="176">
        <v>0</v>
      </c>
      <c r="F19" s="176">
        <v>2376342.98</v>
      </c>
      <c r="G19" s="177">
        <f>G21+G20</f>
        <v>7322897.4074519994</v>
      </c>
      <c r="H19" s="177"/>
      <c r="I19" s="177"/>
      <c r="J19" s="177"/>
      <c r="K19" s="221"/>
      <c r="L19" s="21"/>
      <c r="M19" s="21"/>
      <c r="N19" s="21"/>
      <c r="O19" s="21"/>
      <c r="P19" s="21"/>
      <c r="Q19" s="21"/>
      <c r="R19" s="21"/>
      <c r="S19" s="21"/>
      <c r="T19" s="21"/>
      <c r="U19" s="21"/>
      <c r="V19" s="21"/>
      <c r="W19" s="21"/>
      <c r="X19" s="21"/>
      <c r="Y19" s="21"/>
      <c r="Z19" s="21"/>
    </row>
    <row r="20" spans="1:26" s="251" customFormat="1" ht="13.5" customHeight="1">
      <c r="A20" s="541" t="s">
        <v>857</v>
      </c>
      <c r="B20" s="473">
        <v>0</v>
      </c>
      <c r="C20" s="473">
        <v>1075971.46</v>
      </c>
      <c r="D20" s="473">
        <v>0</v>
      </c>
      <c r="E20" s="473">
        <v>0</v>
      </c>
      <c r="F20" s="473">
        <v>0</v>
      </c>
      <c r="G20" s="479">
        <f>G15+G18</f>
        <v>7322897.4074519994</v>
      </c>
      <c r="H20" s="479"/>
      <c r="I20" s="479"/>
      <c r="J20" s="479"/>
      <c r="K20" s="546"/>
      <c r="L20" s="250"/>
      <c r="M20" s="250"/>
      <c r="N20" s="250"/>
      <c r="O20" s="250"/>
      <c r="P20" s="250"/>
      <c r="Q20" s="250"/>
      <c r="R20" s="250"/>
      <c r="S20" s="250"/>
      <c r="T20" s="250"/>
      <c r="U20" s="250"/>
      <c r="V20" s="250"/>
      <c r="W20" s="250"/>
      <c r="X20" s="250"/>
      <c r="Y20" s="250"/>
      <c r="Z20" s="250"/>
    </row>
    <row r="21" spans="1:26" s="251" customFormat="1" ht="13.5" customHeight="1">
      <c r="A21" s="541" t="s">
        <v>856</v>
      </c>
      <c r="B21" s="473">
        <v>0</v>
      </c>
      <c r="C21" s="473">
        <v>0</v>
      </c>
      <c r="D21" s="473">
        <v>0</v>
      </c>
      <c r="E21" s="473">
        <v>0</v>
      </c>
      <c r="F21" s="473">
        <f>F19</f>
        <v>2376342.98</v>
      </c>
      <c r="G21" s="479"/>
      <c r="H21" s="479"/>
      <c r="I21" s="479"/>
      <c r="J21" s="479"/>
      <c r="K21" s="546"/>
      <c r="L21" s="250"/>
      <c r="M21" s="250"/>
      <c r="N21" s="250"/>
      <c r="O21" s="250"/>
      <c r="P21" s="250"/>
      <c r="Q21" s="250"/>
      <c r="R21" s="250"/>
      <c r="S21" s="250"/>
      <c r="T21" s="250"/>
      <c r="U21" s="250"/>
      <c r="V21" s="250"/>
      <c r="W21" s="250"/>
      <c r="X21" s="250"/>
      <c r="Y21" s="250"/>
      <c r="Z21" s="250"/>
    </row>
    <row r="22" spans="1:26" s="225" customFormat="1" ht="13.5" customHeight="1">
      <c r="A22" s="498" t="s">
        <v>779</v>
      </c>
      <c r="B22" s="172">
        <f>SUM(B15:B19)</f>
        <v>3169884.37</v>
      </c>
      <c r="C22" s="172">
        <f>SUM(C15:C18,C20)</f>
        <v>4434961.7799999993</v>
      </c>
      <c r="D22" s="172">
        <f>SUM(D15:D18,D20)</f>
        <v>4435461.7799999993</v>
      </c>
      <c r="E22" s="172">
        <f>SUM(E15:E18,E20)</f>
        <v>4532099.8699999992</v>
      </c>
      <c r="F22" s="172">
        <f>SUM(F15:F19)</f>
        <v>7130654.9499999993</v>
      </c>
      <c r="G22" s="184">
        <f>G15+G19+G18</f>
        <v>14645794.814903997</v>
      </c>
      <c r="H22" s="184">
        <f>H15+H19+H18</f>
        <v>14645794.814903997</v>
      </c>
      <c r="I22" s="184">
        <f>I15+I19+I18</f>
        <v>14645794.814903997</v>
      </c>
      <c r="J22" s="184">
        <f>J15+J19+J18</f>
        <v>14645794.814903997</v>
      </c>
      <c r="K22" s="184">
        <f>K15+K19+K18</f>
        <v>14645794.814903997</v>
      </c>
      <c r="L22" s="26"/>
      <c r="M22" s="26"/>
      <c r="N22" s="26"/>
      <c r="O22" s="26"/>
      <c r="P22" s="26"/>
      <c r="Q22" s="26"/>
      <c r="R22" s="26"/>
      <c r="S22" s="26"/>
      <c r="T22" s="26"/>
      <c r="U22" s="26"/>
      <c r="V22" s="26"/>
      <c r="W22" s="26"/>
      <c r="X22" s="26"/>
      <c r="Y22" s="26"/>
      <c r="Z22" s="26"/>
    </row>
    <row r="23" spans="1:26" ht="13.5" customHeight="1">
      <c r="A23" s="488"/>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spans="1:26" ht="13.5" customHeight="1">
      <c r="A24" s="543" t="s">
        <v>845</v>
      </c>
      <c r="B24" s="220"/>
      <c r="C24" s="220"/>
      <c r="D24" s="220"/>
      <c r="E24" s="220"/>
      <c r="F24" s="220"/>
      <c r="G24" s="221"/>
      <c r="H24" s="221"/>
      <c r="I24" s="221"/>
      <c r="J24" s="221"/>
      <c r="K24" s="221"/>
      <c r="L24" s="21"/>
      <c r="M24" s="21"/>
      <c r="N24" s="21"/>
      <c r="O24" s="21"/>
      <c r="P24" s="21"/>
      <c r="Q24" s="21"/>
      <c r="R24" s="21"/>
      <c r="S24" s="21"/>
      <c r="T24" s="21"/>
      <c r="U24" s="21"/>
      <c r="V24" s="21"/>
      <c r="W24" s="21"/>
      <c r="X24" s="21"/>
      <c r="Y24" s="21"/>
      <c r="Z24" s="21"/>
    </row>
    <row r="25" spans="1:26" ht="13.5" customHeight="1">
      <c r="A25" s="488"/>
      <c r="B25" s="220"/>
      <c r="C25" s="220"/>
      <c r="D25" s="220"/>
      <c r="E25" s="220"/>
      <c r="F25" s="220"/>
      <c r="G25" s="221"/>
      <c r="H25" s="221"/>
      <c r="I25" s="221"/>
      <c r="J25" s="221"/>
      <c r="K25" s="221"/>
      <c r="L25" s="21"/>
      <c r="M25" s="21"/>
      <c r="N25" s="21"/>
      <c r="O25" s="21"/>
      <c r="P25" s="21"/>
      <c r="Q25" s="21"/>
      <c r="R25" s="21"/>
      <c r="S25" s="21"/>
      <c r="T25" s="21"/>
      <c r="U25" s="21"/>
      <c r="V25" s="21"/>
      <c r="W25" s="21"/>
      <c r="X25" s="21"/>
      <c r="Y25" s="21"/>
      <c r="Z25" s="21"/>
    </row>
    <row r="26" spans="1:26" ht="13.5" customHeight="1">
      <c r="A26" s="488" t="s">
        <v>791</v>
      </c>
      <c r="B26" s="475">
        <f>B4</f>
        <v>36717.699999999997</v>
      </c>
      <c r="C26" s="475">
        <f t="shared" ref="C26:K26" si="1">B28</f>
        <v>36717.699999999997</v>
      </c>
      <c r="D26" s="475">
        <f t="shared" si="1"/>
        <v>551451.97899999993</v>
      </c>
      <c r="E26" s="475">
        <f t="shared" si="1"/>
        <v>555206.97899999993</v>
      </c>
      <c r="F26" s="176">
        <f t="shared" si="1"/>
        <v>558110.41399999999</v>
      </c>
      <c r="G26" s="205">
        <f t="shared" si="1"/>
        <v>558110.41399999999</v>
      </c>
      <c r="H26" s="205">
        <f t="shared" si="1"/>
        <v>558110.41399999999</v>
      </c>
      <c r="I26" s="205">
        <f t="shared" si="1"/>
        <v>558110.41399999999</v>
      </c>
      <c r="J26" s="205">
        <f t="shared" si="1"/>
        <v>558110.41399999999</v>
      </c>
      <c r="K26" s="205">
        <f t="shared" si="1"/>
        <v>558110.41399999999</v>
      </c>
      <c r="L26" s="229"/>
      <c r="M26" s="229"/>
      <c r="N26" s="21"/>
      <c r="O26" s="21"/>
      <c r="P26" s="21"/>
      <c r="Q26" s="21"/>
      <c r="R26" s="21"/>
      <c r="S26" s="21"/>
      <c r="T26" s="21"/>
      <c r="U26" s="21"/>
      <c r="V26" s="21"/>
      <c r="W26" s="21"/>
      <c r="X26" s="21"/>
      <c r="Y26" s="21"/>
      <c r="Z26" s="21"/>
    </row>
    <row r="27" spans="1:26" ht="13.5" customHeight="1">
      <c r="A27" s="538" t="s">
        <v>858</v>
      </c>
      <c r="B27" s="475"/>
      <c r="C27" s="475">
        <v>514734.27899999998</v>
      </c>
      <c r="D27" s="475">
        <v>3755</v>
      </c>
      <c r="E27" s="475">
        <v>2903.4349999999999</v>
      </c>
      <c r="F27" s="475"/>
      <c r="G27" s="205"/>
      <c r="H27" s="205"/>
      <c r="I27" s="205"/>
      <c r="J27" s="205"/>
      <c r="K27" s="205"/>
      <c r="L27" s="229"/>
      <c r="M27" s="229"/>
      <c r="N27" s="21"/>
      <c r="O27" s="21"/>
      <c r="P27" s="21"/>
      <c r="Q27" s="21"/>
      <c r="R27" s="21"/>
      <c r="S27" s="21"/>
      <c r="T27" s="21"/>
      <c r="U27" s="21"/>
      <c r="V27" s="21"/>
      <c r="W27" s="21"/>
      <c r="X27" s="21"/>
      <c r="Y27" s="21"/>
      <c r="Z27" s="21"/>
    </row>
    <row r="28" spans="1:26" ht="13.5" customHeight="1">
      <c r="A28" s="488" t="s">
        <v>779</v>
      </c>
      <c r="B28" s="475">
        <f>B26</f>
        <v>36717.699999999997</v>
      </c>
      <c r="C28" s="475">
        <f>SUM(C26:C27)</f>
        <v>551451.97899999993</v>
      </c>
      <c r="D28" s="475">
        <f>SUM(D26:D27)</f>
        <v>555206.97899999993</v>
      </c>
      <c r="E28" s="176">
        <f>SUM(E26:E27)</f>
        <v>558110.41399999999</v>
      </c>
      <c r="F28" s="475">
        <f t="shared" ref="F28:K28" si="2">F26</f>
        <v>558110.41399999999</v>
      </c>
      <c r="G28" s="205">
        <f t="shared" si="2"/>
        <v>558110.41399999999</v>
      </c>
      <c r="H28" s="205">
        <f t="shared" si="2"/>
        <v>558110.41399999999</v>
      </c>
      <c r="I28" s="205">
        <f t="shared" si="2"/>
        <v>558110.41399999999</v>
      </c>
      <c r="J28" s="205">
        <f t="shared" si="2"/>
        <v>558110.41399999999</v>
      </c>
      <c r="K28" s="205">
        <f t="shared" si="2"/>
        <v>558110.41399999999</v>
      </c>
      <c r="L28" s="229"/>
      <c r="M28" s="229"/>
      <c r="N28" s="21"/>
      <c r="O28" s="21"/>
      <c r="P28" s="21"/>
      <c r="Q28" s="21"/>
      <c r="R28" s="21"/>
      <c r="S28" s="21"/>
      <c r="T28" s="21"/>
      <c r="U28" s="21"/>
      <c r="V28" s="21"/>
      <c r="W28" s="21"/>
      <c r="X28" s="21"/>
      <c r="Y28" s="21"/>
      <c r="Z28" s="21"/>
    </row>
    <row r="29" spans="1:26" ht="13.5" customHeight="1">
      <c r="A29" s="488"/>
      <c r="B29" s="229"/>
      <c r="C29" s="229"/>
      <c r="D29" s="229"/>
      <c r="E29" s="229"/>
      <c r="F29" s="229"/>
      <c r="G29" s="229"/>
      <c r="H29" s="229"/>
      <c r="I29" s="229"/>
      <c r="J29" s="229"/>
      <c r="K29" s="229"/>
      <c r="L29" s="229"/>
      <c r="M29" s="229"/>
      <c r="N29" s="21"/>
      <c r="O29" s="21"/>
      <c r="P29" s="21"/>
      <c r="Q29" s="21"/>
      <c r="R29" s="21"/>
      <c r="S29" s="21"/>
      <c r="T29" s="21"/>
      <c r="U29" s="21"/>
      <c r="V29" s="21"/>
      <c r="W29" s="21"/>
      <c r="X29" s="21"/>
      <c r="Y29" s="21"/>
      <c r="Z29" s="21"/>
    </row>
    <row r="30" spans="1:26" ht="13.5" customHeight="1">
      <c r="A30" s="543" t="s">
        <v>859</v>
      </c>
      <c r="B30" s="220"/>
      <c r="C30" s="220"/>
      <c r="D30" s="220"/>
      <c r="E30" s="220"/>
      <c r="F30" s="220"/>
      <c r="G30" s="221"/>
      <c r="H30" s="221"/>
      <c r="I30" s="221"/>
      <c r="J30" s="221"/>
      <c r="K30" s="221"/>
      <c r="L30" s="21"/>
      <c r="M30" s="21"/>
      <c r="N30" s="21"/>
      <c r="O30" s="21"/>
      <c r="P30" s="21"/>
      <c r="Q30" s="21"/>
      <c r="R30" s="21"/>
      <c r="S30" s="21"/>
      <c r="T30" s="21"/>
      <c r="U30" s="21"/>
      <c r="V30" s="21"/>
      <c r="W30" s="21"/>
      <c r="X30" s="21"/>
      <c r="Y30" s="21"/>
      <c r="Z30" s="21"/>
    </row>
    <row r="31" spans="1:26" ht="13.5" customHeight="1">
      <c r="A31" s="488"/>
      <c r="B31" s="220"/>
      <c r="C31" s="220"/>
      <c r="D31" s="220"/>
      <c r="E31" s="220"/>
      <c r="F31" s="220"/>
      <c r="G31" s="221"/>
      <c r="H31" s="221"/>
      <c r="I31" s="221"/>
      <c r="J31" s="221"/>
      <c r="K31" s="221"/>
      <c r="L31" s="21"/>
      <c r="M31" s="21"/>
      <c r="N31" s="21"/>
      <c r="O31" s="21"/>
      <c r="P31" s="21"/>
      <c r="Q31" s="21"/>
      <c r="R31" s="21"/>
      <c r="S31" s="21"/>
      <c r="T31" s="21"/>
      <c r="U31" s="21"/>
      <c r="V31" s="21"/>
      <c r="W31" s="21"/>
      <c r="X31" s="21"/>
      <c r="Y31" s="21"/>
      <c r="Z31" s="21"/>
    </row>
    <row r="32" spans="1:26" ht="13.5" customHeight="1">
      <c r="A32" s="488" t="s">
        <v>791</v>
      </c>
      <c r="B32" s="176">
        <v>-79.164000000000001</v>
      </c>
      <c r="C32" s="176">
        <f t="shared" ref="C32:K32" si="3">B36</f>
        <v>-79.164000000000001</v>
      </c>
      <c r="D32" s="176">
        <f t="shared" si="3"/>
        <v>-808.86400000000003</v>
      </c>
      <c r="E32" s="176">
        <f t="shared" si="3"/>
        <v>-5658.9240000000009</v>
      </c>
      <c r="F32" s="176">
        <f t="shared" si="3"/>
        <v>-6040.9300000000012</v>
      </c>
      <c r="G32" s="177">
        <f t="shared" si="3"/>
        <v>-2320.0000000000009</v>
      </c>
      <c r="H32" s="177">
        <f t="shared" si="3"/>
        <v>-2320.0000000000009</v>
      </c>
      <c r="I32" s="177">
        <f t="shared" si="3"/>
        <v>-2320.0000000000009</v>
      </c>
      <c r="J32" s="177">
        <f t="shared" si="3"/>
        <v>-2320.0000000000009</v>
      </c>
      <c r="K32" s="177">
        <f t="shared" si="3"/>
        <v>-2320.0000000000009</v>
      </c>
      <c r="L32" s="21"/>
      <c r="M32" s="21"/>
      <c r="N32" s="21"/>
      <c r="O32" s="21"/>
      <c r="P32" s="21"/>
      <c r="Q32" s="21"/>
      <c r="R32" s="21"/>
      <c r="S32" s="21"/>
      <c r="T32" s="21"/>
      <c r="U32" s="21"/>
      <c r="V32" s="21"/>
      <c r="W32" s="21"/>
      <c r="X32" s="21"/>
      <c r="Y32" s="21"/>
      <c r="Z32" s="21"/>
    </row>
    <row r="33" spans="1:26" ht="13.5" customHeight="1">
      <c r="A33" s="538" t="s">
        <v>860</v>
      </c>
      <c r="B33" s="176"/>
      <c r="C33" s="176"/>
      <c r="D33" s="176"/>
      <c r="E33" s="176">
        <v>5658.924</v>
      </c>
      <c r="F33" s="176">
        <v>0</v>
      </c>
      <c r="G33" s="177"/>
      <c r="H33" s="177"/>
      <c r="I33" s="177"/>
      <c r="J33" s="177"/>
      <c r="K33" s="177"/>
      <c r="L33" s="21"/>
      <c r="M33" s="21"/>
      <c r="N33" s="21"/>
      <c r="O33" s="21"/>
      <c r="P33" s="21"/>
      <c r="Q33" s="21"/>
      <c r="R33" s="21"/>
      <c r="S33" s="21"/>
      <c r="T33" s="21"/>
      <c r="U33" s="21"/>
      <c r="V33" s="21"/>
      <c r="W33" s="21"/>
      <c r="X33" s="21"/>
      <c r="Y33" s="21"/>
      <c r="Z33" s="21"/>
    </row>
    <row r="34" spans="1:26" ht="13.5" customHeight="1">
      <c r="A34" s="538" t="s">
        <v>596</v>
      </c>
      <c r="B34" s="176"/>
      <c r="C34" s="176"/>
      <c r="D34" s="176"/>
      <c r="E34" s="176"/>
      <c r="F34" s="176">
        <v>6040.93</v>
      </c>
      <c r="G34" s="177"/>
      <c r="H34" s="177"/>
      <c r="I34" s="177"/>
      <c r="J34" s="177"/>
      <c r="K34" s="177"/>
      <c r="L34" s="21"/>
      <c r="M34" s="21"/>
      <c r="N34" s="21"/>
      <c r="O34" s="21"/>
      <c r="P34" s="21"/>
      <c r="Q34" s="21"/>
      <c r="R34" s="21"/>
      <c r="S34" s="21"/>
      <c r="T34" s="21"/>
      <c r="U34" s="21"/>
      <c r="V34" s="21"/>
      <c r="W34" s="21"/>
      <c r="X34" s="21"/>
      <c r="Y34" s="21"/>
      <c r="Z34" s="21"/>
    </row>
    <row r="35" spans="1:26" ht="13.5" customHeight="1">
      <c r="A35" s="538" t="s">
        <v>861</v>
      </c>
      <c r="B35" s="176"/>
      <c r="C35" s="176">
        <v>-729.7</v>
      </c>
      <c r="D35" s="176">
        <v>-4850.0600000000004</v>
      </c>
      <c r="E35" s="176">
        <v>-6040.93</v>
      </c>
      <c r="F35" s="176">
        <v>-2320</v>
      </c>
      <c r="G35" s="177"/>
      <c r="H35" s="177"/>
      <c r="I35" s="177"/>
      <c r="J35" s="177"/>
      <c r="K35" s="177"/>
      <c r="L35" s="21"/>
      <c r="M35" s="21"/>
      <c r="N35" s="21"/>
      <c r="O35" s="21"/>
      <c r="P35" s="21"/>
      <c r="Q35" s="21"/>
      <c r="R35" s="21"/>
      <c r="S35" s="21"/>
      <c r="T35" s="21"/>
      <c r="U35" s="21"/>
      <c r="V35" s="21"/>
      <c r="W35" s="21"/>
      <c r="X35" s="21"/>
      <c r="Y35" s="21"/>
      <c r="Z35" s="21"/>
    </row>
    <row r="36" spans="1:26" ht="13.5" customHeight="1">
      <c r="A36" s="488" t="s">
        <v>779</v>
      </c>
      <c r="B36" s="176">
        <f>B32</f>
        <v>-79.164000000000001</v>
      </c>
      <c r="C36" s="176">
        <f>SUM(C32:C35)</f>
        <v>-808.86400000000003</v>
      </c>
      <c r="D36" s="176">
        <f>SUM(D32:D35)</f>
        <v>-5658.9240000000009</v>
      </c>
      <c r="E36" s="176">
        <f>SUM(E32:E35)</f>
        <v>-6040.9300000000012</v>
      </c>
      <c r="F36" s="176">
        <f>SUM(F32:F35)</f>
        <v>-2320.0000000000009</v>
      </c>
      <c r="G36" s="177">
        <f>G32</f>
        <v>-2320.0000000000009</v>
      </c>
      <c r="H36" s="177">
        <f>H32</f>
        <v>-2320.0000000000009</v>
      </c>
      <c r="I36" s="177">
        <f>I32</f>
        <v>-2320.0000000000009</v>
      </c>
      <c r="J36" s="177">
        <f>J32</f>
        <v>-2320.0000000000009</v>
      </c>
      <c r="K36" s="177">
        <f>K32</f>
        <v>-2320.0000000000009</v>
      </c>
      <c r="L36" s="21"/>
      <c r="M36" s="21"/>
      <c r="N36" s="21"/>
      <c r="O36" s="21"/>
      <c r="P36" s="21"/>
      <c r="Q36" s="21"/>
      <c r="R36" s="21"/>
      <c r="S36" s="21"/>
      <c r="T36" s="21"/>
      <c r="U36" s="21"/>
      <c r="V36" s="21"/>
      <c r="W36" s="21"/>
      <c r="X36" s="21"/>
      <c r="Y36" s="21"/>
      <c r="Z36" s="21"/>
    </row>
    <row r="37" spans="1:26" ht="13.5" customHeight="1">
      <c r="A37" s="539" t="s">
        <v>862</v>
      </c>
      <c r="B37" s="176"/>
      <c r="C37" s="176"/>
      <c r="D37" s="176"/>
      <c r="E37" s="176"/>
      <c r="F37" s="176"/>
      <c r="G37" s="177"/>
      <c r="H37" s="177"/>
      <c r="I37" s="177"/>
      <c r="J37" s="177"/>
      <c r="K37" s="177"/>
      <c r="L37" s="21"/>
      <c r="M37" s="21"/>
      <c r="N37" s="21"/>
      <c r="O37" s="21"/>
      <c r="P37" s="21"/>
      <c r="Q37" s="21"/>
      <c r="R37" s="21"/>
      <c r="S37" s="21"/>
      <c r="T37" s="21"/>
      <c r="U37" s="21"/>
      <c r="V37" s="21"/>
      <c r="W37" s="21"/>
      <c r="X37" s="21"/>
      <c r="Y37" s="21"/>
      <c r="Z37" s="21"/>
    </row>
    <row r="38" spans="1:26" ht="13.5" customHeight="1">
      <c r="A38" s="488" t="s">
        <v>791</v>
      </c>
      <c r="B38" s="176">
        <v>0</v>
      </c>
      <c r="C38" s="176">
        <f t="shared" ref="C38:K38" si="4">B40</f>
        <v>-86.063000000000002</v>
      </c>
      <c r="D38" s="176">
        <f t="shared" si="4"/>
        <v>446.57299999999998</v>
      </c>
      <c r="E38" s="176">
        <f t="shared" si="4"/>
        <v>-28.37700000000001</v>
      </c>
      <c r="F38" s="176">
        <f t="shared" si="4"/>
        <v>-1443.7549999999999</v>
      </c>
      <c r="G38" s="177">
        <f t="shared" si="4"/>
        <v>5388.4250000000002</v>
      </c>
      <c r="H38" s="177">
        <f t="shared" si="4"/>
        <v>5388.4250000000002</v>
      </c>
      <c r="I38" s="177">
        <f t="shared" si="4"/>
        <v>5388.4250000000002</v>
      </c>
      <c r="J38" s="177">
        <f t="shared" si="4"/>
        <v>5388.4250000000002</v>
      </c>
      <c r="K38" s="177">
        <f t="shared" si="4"/>
        <v>5388.4250000000002</v>
      </c>
      <c r="L38" s="21"/>
      <c r="M38" s="21"/>
      <c r="N38" s="21"/>
      <c r="O38" s="21"/>
      <c r="P38" s="21"/>
      <c r="Q38" s="21"/>
      <c r="R38" s="21"/>
      <c r="S38" s="21"/>
      <c r="T38" s="21"/>
      <c r="U38" s="21"/>
      <c r="V38" s="21"/>
      <c r="W38" s="21"/>
      <c r="X38" s="21"/>
      <c r="Y38" s="21"/>
      <c r="Z38" s="21"/>
    </row>
    <row r="39" spans="1:26" ht="15" customHeight="1">
      <c r="A39" s="538" t="s">
        <v>862</v>
      </c>
      <c r="B39" s="176">
        <v>-86.063000000000002</v>
      </c>
      <c r="C39" s="176">
        <v>532.63599999999997</v>
      </c>
      <c r="D39" s="176">
        <v>-474.95</v>
      </c>
      <c r="E39" s="176">
        <v>-1415.3779999999999</v>
      </c>
      <c r="F39" s="176">
        <v>6832.18</v>
      </c>
      <c r="G39" s="177"/>
      <c r="H39" s="177"/>
      <c r="I39" s="177"/>
      <c r="J39" s="177"/>
      <c r="K39" s="177"/>
      <c r="L39" s="21"/>
      <c r="M39" s="21"/>
      <c r="N39" s="21"/>
      <c r="O39" s="21"/>
      <c r="P39" s="21"/>
      <c r="Q39" s="21"/>
      <c r="R39" s="21"/>
      <c r="S39" s="21"/>
      <c r="T39" s="21"/>
      <c r="U39" s="21"/>
      <c r="V39" s="21"/>
      <c r="W39" s="21"/>
      <c r="X39" s="21"/>
      <c r="Y39" s="21"/>
      <c r="Z39" s="21"/>
    </row>
    <row r="40" spans="1:26" ht="13.5" customHeight="1">
      <c r="A40" s="488" t="s">
        <v>779</v>
      </c>
      <c r="B40" s="176">
        <f>B39</f>
        <v>-86.063000000000002</v>
      </c>
      <c r="C40" s="478">
        <f>SUM(C38:C39)</f>
        <v>446.57299999999998</v>
      </c>
      <c r="D40" s="478">
        <f>SUM(D38:D39)</f>
        <v>-28.37700000000001</v>
      </c>
      <c r="E40" s="176">
        <f>SUM(E38:E39)</f>
        <v>-1443.7549999999999</v>
      </c>
      <c r="F40" s="176">
        <f>SUM(F38:F39)</f>
        <v>5388.4250000000002</v>
      </c>
      <c r="G40" s="177">
        <f>F40</f>
        <v>5388.4250000000002</v>
      </c>
      <c r="H40" s="177">
        <f>G40</f>
        <v>5388.4250000000002</v>
      </c>
      <c r="I40" s="177">
        <f>H40</f>
        <v>5388.4250000000002</v>
      </c>
      <c r="J40" s="177">
        <f>I40</f>
        <v>5388.4250000000002</v>
      </c>
      <c r="K40" s="177">
        <f>J40</f>
        <v>5388.4250000000002</v>
      </c>
      <c r="L40" s="21"/>
      <c r="M40" s="21"/>
      <c r="N40" s="21"/>
      <c r="O40" s="21"/>
      <c r="P40" s="21"/>
      <c r="Q40" s="21"/>
      <c r="R40" s="21"/>
      <c r="S40" s="21"/>
      <c r="T40" s="21"/>
      <c r="U40" s="21"/>
      <c r="V40" s="21"/>
      <c r="W40" s="21"/>
      <c r="X40" s="21"/>
      <c r="Y40" s="21"/>
      <c r="Z40" s="21"/>
    </row>
    <row r="41" spans="1:26" ht="13.5" customHeight="1">
      <c r="A41" s="488"/>
      <c r="B41" s="176"/>
      <c r="C41" s="478"/>
      <c r="D41" s="478"/>
      <c r="E41" s="176"/>
      <c r="F41" s="176"/>
      <c r="G41" s="177"/>
      <c r="H41" s="177"/>
      <c r="I41" s="177"/>
      <c r="J41" s="177"/>
      <c r="K41" s="177"/>
      <c r="L41" s="21"/>
      <c r="M41" s="21"/>
      <c r="N41" s="21"/>
      <c r="O41" s="21"/>
      <c r="P41" s="21"/>
      <c r="Q41" s="21"/>
      <c r="R41" s="21"/>
      <c r="S41" s="21"/>
      <c r="T41" s="21"/>
      <c r="U41" s="21"/>
      <c r="V41" s="21"/>
      <c r="W41" s="21"/>
      <c r="X41" s="21"/>
      <c r="Y41" s="21"/>
      <c r="Z41" s="21"/>
    </row>
    <row r="42" spans="1:26" ht="13.5" customHeight="1">
      <c r="A42" s="543" t="s">
        <v>849</v>
      </c>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spans="1:26" ht="13.5" customHeight="1">
      <c r="A43" s="488"/>
      <c r="B43" s="220"/>
      <c r="C43" s="220"/>
      <c r="D43" s="220"/>
      <c r="E43" s="220"/>
      <c r="F43" s="220"/>
      <c r="G43" s="221"/>
      <c r="H43" s="221"/>
      <c r="I43" s="221"/>
      <c r="J43" s="221"/>
      <c r="K43" s="221"/>
      <c r="L43" s="21"/>
      <c r="M43" s="21"/>
      <c r="N43" s="21"/>
      <c r="O43" s="21"/>
      <c r="P43" s="21"/>
      <c r="Q43" s="21"/>
      <c r="R43" s="21"/>
      <c r="S43" s="21"/>
      <c r="T43" s="21"/>
      <c r="U43" s="21"/>
      <c r="V43" s="21"/>
      <c r="W43" s="21"/>
      <c r="X43" s="21"/>
      <c r="Y43" s="21"/>
      <c r="Z43" s="21"/>
    </row>
    <row r="44" spans="1:26" ht="13.5" customHeight="1">
      <c r="A44" s="488" t="s">
        <v>791</v>
      </c>
      <c r="B44" s="176">
        <v>2261763.398</v>
      </c>
      <c r="C44" s="176">
        <f t="shared" ref="C44:K44" si="5">B53</f>
        <v>2698572.7179999994</v>
      </c>
      <c r="D44" s="176">
        <f t="shared" si="5"/>
        <v>3989603.8499999996</v>
      </c>
      <c r="E44" s="176">
        <f t="shared" si="5"/>
        <v>7149694.2000000002</v>
      </c>
      <c r="F44" s="176">
        <f t="shared" si="5"/>
        <v>10389683.653000001</v>
      </c>
      <c r="G44" s="177">
        <f t="shared" si="5"/>
        <v>12674574.241</v>
      </c>
      <c r="H44" s="177">
        <f t="shared" si="5"/>
        <v>18594096.139613025</v>
      </c>
      <c r="I44" s="177">
        <f t="shared" si="5"/>
        <v>25407832.106827062</v>
      </c>
      <c r="J44" s="177">
        <f t="shared" si="5"/>
        <v>34695099.641009524</v>
      </c>
      <c r="K44" s="177">
        <f t="shared" si="5"/>
        <v>46174883.673073232</v>
      </c>
      <c r="L44" s="28"/>
      <c r="M44" s="28"/>
      <c r="N44" s="28"/>
      <c r="O44" s="28"/>
      <c r="P44" s="21"/>
      <c r="Q44" s="21"/>
      <c r="R44" s="21"/>
      <c r="S44" s="21"/>
      <c r="T44" s="21"/>
      <c r="U44" s="21"/>
      <c r="V44" s="21"/>
      <c r="W44" s="21"/>
      <c r="X44" s="21"/>
      <c r="Y44" s="21"/>
      <c r="Z44" s="21"/>
    </row>
    <row r="45" spans="1:26" ht="13.5" customHeight="1">
      <c r="A45" s="538" t="s">
        <v>863</v>
      </c>
      <c r="B45" s="176">
        <f>DATA!C186</f>
        <v>2205679.6</v>
      </c>
      <c r="C45" s="176">
        <f>DATA!D186</f>
        <v>2878724.1</v>
      </c>
      <c r="D45" s="176">
        <f>DATA!E186</f>
        <v>3834269.5</v>
      </c>
      <c r="E45" s="176">
        <f>DATA!F186</f>
        <v>3917767.8</v>
      </c>
      <c r="F45" s="176">
        <f>DATA!G186</f>
        <v>4898869.3</v>
      </c>
      <c r="G45" s="177">
        <f>IS!G20</f>
        <v>6651811.6393582271</v>
      </c>
      <c r="H45" s="177">
        <f>IS!H20</f>
        <v>8278315.4487044374</v>
      </c>
      <c r="I45" s="177">
        <f>IS!I20</f>
        <v>10751847.015672857</v>
      </c>
      <c r="J45" s="177">
        <f>IS!J20</f>
        <v>12944363.513554115</v>
      </c>
      <c r="K45" s="177">
        <f>IS!K20</f>
        <v>14527453.210988542</v>
      </c>
      <c r="L45" s="28"/>
      <c r="M45" s="28"/>
      <c r="N45" s="28"/>
      <c r="O45" s="28"/>
      <c r="P45" s="21"/>
      <c r="Q45" s="21"/>
      <c r="R45" s="21"/>
      <c r="S45" s="21"/>
      <c r="T45" s="21"/>
      <c r="U45" s="21"/>
      <c r="V45" s="21"/>
      <c r="W45" s="21"/>
      <c r="X45" s="21"/>
      <c r="Y45" s="21"/>
      <c r="Z45" s="21"/>
    </row>
    <row r="46" spans="1:26" ht="13.5" customHeight="1">
      <c r="A46" s="538" t="s">
        <v>864</v>
      </c>
      <c r="B46" s="176">
        <v>0</v>
      </c>
      <c r="C46" s="176">
        <v>0</v>
      </c>
      <c r="D46" s="176">
        <v>-10000</v>
      </c>
      <c r="E46" s="176">
        <v>0</v>
      </c>
      <c r="F46" s="176">
        <v>0</v>
      </c>
      <c r="G46" s="177"/>
      <c r="H46" s="177"/>
      <c r="I46" s="177"/>
      <c r="J46" s="177"/>
      <c r="K46" s="177"/>
      <c r="L46" s="28"/>
      <c r="M46" s="28"/>
      <c r="N46" s="28"/>
      <c r="O46" s="28"/>
      <c r="P46" s="21"/>
      <c r="Q46" s="21"/>
      <c r="R46" s="21"/>
      <c r="S46" s="21"/>
      <c r="T46" s="21"/>
      <c r="U46" s="21"/>
      <c r="V46" s="21"/>
      <c r="W46" s="21"/>
      <c r="X46" s="21"/>
      <c r="Y46" s="21"/>
      <c r="Z46" s="21"/>
    </row>
    <row r="47" spans="1:26" ht="13.5" customHeight="1">
      <c r="A47" s="538" t="s">
        <v>865</v>
      </c>
      <c r="B47" s="176">
        <v>-230721.66</v>
      </c>
      <c r="C47" s="176">
        <v>-484310.571</v>
      </c>
      <c r="D47" s="176">
        <v>-664179.29500000004</v>
      </c>
      <c r="E47" s="176">
        <v>-678908.84100000001</v>
      </c>
      <c r="F47" s="220"/>
      <c r="G47" s="177"/>
      <c r="H47" s="177"/>
      <c r="I47" s="177"/>
      <c r="J47" s="177"/>
      <c r="K47" s="177"/>
      <c r="L47" s="28"/>
      <c r="M47" s="28"/>
      <c r="N47" s="28"/>
      <c r="O47" s="28"/>
      <c r="P47" s="21"/>
      <c r="Q47" s="21"/>
      <c r="R47" s="21"/>
      <c r="S47" s="21"/>
      <c r="T47" s="21"/>
      <c r="U47" s="21"/>
      <c r="V47" s="21"/>
      <c r="W47" s="21"/>
      <c r="X47" s="21"/>
      <c r="Y47" s="21"/>
      <c r="Z47" s="21"/>
    </row>
    <row r="48" spans="1:26" ht="13.5" customHeight="1">
      <c r="A48" s="538" t="s">
        <v>866</v>
      </c>
      <c r="B48" s="176">
        <v>0</v>
      </c>
      <c r="C48" s="475">
        <f>-C20</f>
        <v>-1075971.46</v>
      </c>
      <c r="D48" s="176">
        <v>0</v>
      </c>
      <c r="E48" s="176">
        <v>0</v>
      </c>
      <c r="F48" s="176">
        <f>-237635.732</f>
        <v>-237635.73199999999</v>
      </c>
      <c r="G48" s="177"/>
      <c r="H48" s="177"/>
      <c r="I48" s="177"/>
      <c r="J48" s="177"/>
      <c r="K48" s="177"/>
      <c r="L48" s="28"/>
      <c r="M48" s="28"/>
      <c r="N48" s="28"/>
      <c r="O48" s="28"/>
      <c r="P48" s="21"/>
      <c r="Q48" s="21"/>
      <c r="R48" s="21"/>
      <c r="S48" s="21"/>
      <c r="T48" s="21"/>
      <c r="U48" s="21"/>
      <c r="V48" s="21"/>
      <c r="W48" s="21"/>
      <c r="X48" s="21"/>
      <c r="Y48" s="21"/>
      <c r="Z48" s="21"/>
    </row>
    <row r="49" spans="1:26" ht="13.5" customHeight="1">
      <c r="A49" s="538" t="s">
        <v>867</v>
      </c>
      <c r="B49" s="176">
        <v>0</v>
      </c>
      <c r="C49" s="176">
        <v>0</v>
      </c>
      <c r="D49" s="176">
        <v>0</v>
      </c>
      <c r="E49" s="176">
        <v>0</v>
      </c>
      <c r="F49" s="176">
        <f>-F21</f>
        <v>-2376342.98</v>
      </c>
      <c r="G49" s="177">
        <f>-0.1*G19</f>
        <v>-732289.74074519996</v>
      </c>
      <c r="H49" s="177">
        <f>-0.1*H22</f>
        <v>-1464579.4814903997</v>
      </c>
      <c r="I49" s="177">
        <f>-0.1*I22</f>
        <v>-1464579.4814903997</v>
      </c>
      <c r="J49" s="177">
        <f>-0.1*J22</f>
        <v>-1464579.4814903997</v>
      </c>
      <c r="K49" s="177">
        <f>-0.1*K22</f>
        <v>-1464579.4814903997</v>
      </c>
      <c r="L49" s="28"/>
      <c r="M49" s="28"/>
      <c r="N49" s="28"/>
      <c r="O49" s="28"/>
      <c r="P49" s="21"/>
      <c r="Q49" s="21"/>
      <c r="R49" s="21"/>
      <c r="S49" s="21"/>
      <c r="T49" s="21"/>
      <c r="U49" s="21"/>
      <c r="V49" s="21"/>
      <c r="W49" s="21"/>
      <c r="X49" s="21"/>
      <c r="Y49" s="21"/>
      <c r="Z49" s="21"/>
    </row>
    <row r="50" spans="1:26" ht="13.5" customHeight="1">
      <c r="A50" s="538" t="s">
        <v>854</v>
      </c>
      <c r="B50" s="176">
        <v>-1538148.62</v>
      </c>
      <c r="C50" s="176">
        <v>0</v>
      </c>
      <c r="D50" s="176">
        <v>0</v>
      </c>
      <c r="E50" s="176">
        <v>0</v>
      </c>
      <c r="F50" s="176">
        <v>0</v>
      </c>
      <c r="G50" s="177"/>
      <c r="H50" s="177"/>
      <c r="I50" s="177"/>
      <c r="J50" s="177"/>
      <c r="K50" s="177"/>
      <c r="L50" s="28"/>
      <c r="M50" s="28"/>
      <c r="N50" s="28"/>
      <c r="O50" s="28"/>
      <c r="P50" s="21"/>
      <c r="Q50" s="21"/>
      <c r="R50" s="21"/>
      <c r="S50" s="21"/>
      <c r="T50" s="21"/>
      <c r="U50" s="21"/>
      <c r="V50" s="21"/>
      <c r="W50" s="21"/>
      <c r="X50" s="21"/>
      <c r="Y50" s="21"/>
      <c r="Z50" s="21"/>
    </row>
    <row r="51" spans="1:26" ht="13.5" customHeight="1">
      <c r="A51" s="538" t="s">
        <v>777</v>
      </c>
      <c r="B51" s="176">
        <v>0</v>
      </c>
      <c r="C51" s="176">
        <v>0</v>
      </c>
      <c r="D51" s="176">
        <v>0</v>
      </c>
      <c r="E51" s="176">
        <v>1130.4939999999999</v>
      </c>
      <c r="F51" s="176">
        <v>0</v>
      </c>
      <c r="G51" s="177"/>
      <c r="H51" s="177"/>
      <c r="I51" s="177"/>
      <c r="J51" s="177"/>
      <c r="K51" s="177"/>
      <c r="L51" s="28"/>
      <c r="M51" s="28"/>
      <c r="N51" s="28"/>
      <c r="O51" s="28"/>
      <c r="P51" s="21"/>
      <c r="Q51" s="21"/>
      <c r="R51" s="21"/>
      <c r="S51" s="21"/>
      <c r="T51" s="21"/>
      <c r="U51" s="21"/>
      <c r="V51" s="21"/>
      <c r="W51" s="21"/>
      <c r="X51" s="21"/>
      <c r="Y51" s="21"/>
      <c r="Z51" s="21"/>
    </row>
    <row r="52" spans="1:26" ht="13.5" customHeight="1">
      <c r="A52" s="538" t="s">
        <v>868</v>
      </c>
      <c r="B52" s="176">
        <v>0</v>
      </c>
      <c r="C52" s="176">
        <v>-27410.937000000002</v>
      </c>
      <c r="D52" s="176">
        <v>0</v>
      </c>
      <c r="E52" s="176">
        <v>0</v>
      </c>
      <c r="F52" s="176">
        <v>0</v>
      </c>
      <c r="G52" s="177"/>
      <c r="H52" s="177"/>
      <c r="I52" s="177"/>
      <c r="J52" s="177"/>
      <c r="K52" s="177"/>
      <c r="L52" s="28"/>
      <c r="M52" s="28"/>
      <c r="N52" s="28"/>
      <c r="O52" s="28"/>
      <c r="P52" s="21"/>
      <c r="Q52" s="21"/>
      <c r="R52" s="21"/>
      <c r="S52" s="21"/>
      <c r="T52" s="21"/>
      <c r="U52" s="21"/>
      <c r="V52" s="21"/>
      <c r="W52" s="21"/>
      <c r="X52" s="21"/>
      <c r="Y52" s="21"/>
      <c r="Z52" s="21"/>
    </row>
    <row r="53" spans="1:26" ht="13.5" customHeight="1">
      <c r="A53" s="488" t="s">
        <v>779</v>
      </c>
      <c r="B53" s="176">
        <f>SUM(B44:B47,B50)</f>
        <v>2698572.7179999994</v>
      </c>
      <c r="C53" s="176">
        <f>SUM(C44:C52)</f>
        <v>3989603.8499999996</v>
      </c>
      <c r="D53" s="176">
        <f>D8</f>
        <v>7149694.2000000002</v>
      </c>
      <c r="E53" s="475">
        <f>SUM(E44:E52)</f>
        <v>10389683.653000001</v>
      </c>
      <c r="F53" s="176">
        <f>SUM(F44:F51)</f>
        <v>12674574.241</v>
      </c>
      <c r="G53" s="177">
        <f>SUM(G44:G49)</f>
        <v>18594096.139613025</v>
      </c>
      <c r="H53" s="177">
        <f>SUM(H44:H49)</f>
        <v>25407832.106827062</v>
      </c>
      <c r="I53" s="177">
        <f>SUM(I44:I49)</f>
        <v>34695099.641009524</v>
      </c>
      <c r="J53" s="177">
        <f>SUM(J44:J49)</f>
        <v>46174883.673073232</v>
      </c>
      <c r="K53" s="177">
        <f>SUM(K44:K49)</f>
        <v>59237757.40257138</v>
      </c>
      <c r="L53" s="28"/>
      <c r="M53" s="28"/>
      <c r="N53" s="28"/>
      <c r="O53" s="28"/>
      <c r="P53" s="21"/>
      <c r="Q53" s="21"/>
      <c r="R53" s="21"/>
      <c r="S53" s="21"/>
      <c r="T53" s="21"/>
      <c r="U53" s="21"/>
      <c r="V53" s="21"/>
      <c r="W53" s="21"/>
      <c r="X53" s="21"/>
      <c r="Y53" s="21"/>
      <c r="Z53" s="21"/>
    </row>
    <row r="54" spans="1:26" ht="13.5" customHeight="1">
      <c r="A54" s="488"/>
      <c r="B54" s="220"/>
      <c r="C54" s="220"/>
      <c r="D54" s="220"/>
      <c r="E54" s="220"/>
      <c r="F54" s="220"/>
      <c r="G54" s="221"/>
      <c r="H54" s="221"/>
      <c r="I54" s="221"/>
      <c r="J54" s="221"/>
      <c r="K54" s="221"/>
      <c r="L54" s="21"/>
      <c r="M54" s="21"/>
      <c r="N54" s="21"/>
      <c r="O54" s="21"/>
      <c r="P54" s="21"/>
      <c r="Q54" s="21"/>
      <c r="R54" s="21"/>
      <c r="S54" s="21"/>
      <c r="T54" s="21"/>
      <c r="U54" s="21"/>
      <c r="V54" s="21"/>
      <c r="W54" s="21"/>
      <c r="X54" s="21"/>
      <c r="Y54" s="21"/>
      <c r="Z54" s="21"/>
    </row>
    <row r="55" spans="1:26" ht="13.5" customHeight="1">
      <c r="A55" s="544" t="s">
        <v>869</v>
      </c>
      <c r="B55" s="220"/>
      <c r="C55" s="220"/>
      <c r="D55" s="220"/>
      <c r="E55" s="220"/>
      <c r="F55" s="220"/>
      <c r="G55" s="221"/>
      <c r="H55" s="221"/>
      <c r="I55" s="221"/>
      <c r="J55" s="221"/>
      <c r="K55" s="221"/>
      <c r="L55" s="21"/>
      <c r="M55" s="21"/>
      <c r="N55" s="21"/>
      <c r="O55" s="21"/>
      <c r="P55" s="21"/>
      <c r="Q55" s="21"/>
      <c r="R55" s="21"/>
      <c r="S55" s="21"/>
      <c r="T55" s="21"/>
      <c r="U55" s="21"/>
      <c r="V55" s="21"/>
      <c r="W55" s="21"/>
      <c r="X55" s="21"/>
      <c r="Y55" s="21"/>
      <c r="Z55" s="21"/>
    </row>
    <row r="56" spans="1:26" ht="13.5" customHeight="1">
      <c r="A56" s="491" t="s">
        <v>791</v>
      </c>
      <c r="B56" s="176">
        <f>B5</f>
        <v>1130.5</v>
      </c>
      <c r="C56" s="230">
        <f>B58</f>
        <v>1130.5</v>
      </c>
      <c r="D56" s="230">
        <f>C58</f>
        <v>1130.5</v>
      </c>
      <c r="E56" s="176">
        <f>D58</f>
        <v>1130.5</v>
      </c>
      <c r="F56" s="230">
        <f>E58</f>
        <v>0</v>
      </c>
      <c r="G56" s="205">
        <v>0</v>
      </c>
      <c r="H56" s="205">
        <v>0</v>
      </c>
      <c r="I56" s="205">
        <v>0</v>
      </c>
      <c r="J56" s="205">
        <v>0</v>
      </c>
      <c r="K56" s="205">
        <v>0</v>
      </c>
      <c r="L56" s="229"/>
      <c r="M56" s="21"/>
      <c r="N56" s="21"/>
      <c r="O56" s="21"/>
      <c r="P56" s="21"/>
      <c r="Q56" s="21"/>
      <c r="R56" s="21"/>
      <c r="S56" s="21"/>
      <c r="T56" s="21"/>
      <c r="U56" s="21"/>
      <c r="V56" s="21"/>
      <c r="W56" s="21"/>
      <c r="X56" s="21"/>
      <c r="Y56" s="21"/>
      <c r="Z56" s="21"/>
    </row>
    <row r="57" spans="1:26" ht="13.5" customHeight="1">
      <c r="A57" s="538" t="s">
        <v>777</v>
      </c>
      <c r="B57" s="230">
        <v>0</v>
      </c>
      <c r="C57" s="230">
        <v>0</v>
      </c>
      <c r="D57" s="230">
        <v>0</v>
      </c>
      <c r="E57" s="230">
        <f>-E56</f>
        <v>-1130.5</v>
      </c>
      <c r="F57" s="230">
        <v>0</v>
      </c>
      <c r="G57" s="205">
        <v>0</v>
      </c>
      <c r="H57" s="205">
        <v>0</v>
      </c>
      <c r="I57" s="205">
        <v>0</v>
      </c>
      <c r="J57" s="205">
        <v>0</v>
      </c>
      <c r="K57" s="205">
        <v>0</v>
      </c>
      <c r="L57" s="229"/>
      <c r="M57" s="21"/>
      <c r="N57" s="21"/>
      <c r="O57" s="21"/>
      <c r="P57" s="21"/>
      <c r="Q57" s="21"/>
      <c r="R57" s="21"/>
      <c r="S57" s="21"/>
      <c r="T57" s="21"/>
      <c r="U57" s="21"/>
      <c r="V57" s="21"/>
      <c r="W57" s="21"/>
      <c r="X57" s="21"/>
      <c r="Y57" s="21"/>
      <c r="Z57" s="21"/>
    </row>
    <row r="58" spans="1:26" ht="13.5" customHeight="1">
      <c r="A58" s="491" t="s">
        <v>779</v>
      </c>
      <c r="B58" s="230">
        <f>B56</f>
        <v>1130.5</v>
      </c>
      <c r="C58" s="230">
        <f>C56</f>
        <v>1130.5</v>
      </c>
      <c r="D58" s="230">
        <f>D56</f>
        <v>1130.5</v>
      </c>
      <c r="E58" s="230">
        <f>SUM(E56:E57)</f>
        <v>0</v>
      </c>
      <c r="F58" s="230">
        <f>F56</f>
        <v>0</v>
      </c>
      <c r="G58" s="205">
        <v>0</v>
      </c>
      <c r="H58" s="205">
        <v>0</v>
      </c>
      <c r="I58" s="205">
        <v>0</v>
      </c>
      <c r="J58" s="205">
        <v>0</v>
      </c>
      <c r="K58" s="205">
        <v>0</v>
      </c>
      <c r="L58" s="229"/>
      <c r="M58" s="21"/>
      <c r="N58" s="21"/>
      <c r="O58" s="21"/>
      <c r="P58" s="21"/>
      <c r="Q58" s="21"/>
      <c r="R58" s="21"/>
      <c r="S58" s="21"/>
      <c r="T58" s="21"/>
      <c r="U58" s="21"/>
      <c r="V58" s="21"/>
      <c r="W58" s="21"/>
      <c r="X58" s="21"/>
      <c r="Y58" s="21"/>
      <c r="Z58" s="21"/>
    </row>
    <row r="59" spans="1:26" ht="13.5" customHeight="1">
      <c r="A59" s="539" t="s">
        <v>850</v>
      </c>
      <c r="B59" s="220"/>
      <c r="C59" s="220"/>
      <c r="D59" s="220"/>
      <c r="E59" s="220"/>
      <c r="F59" s="220"/>
      <c r="G59" s="221"/>
      <c r="H59" s="221"/>
      <c r="I59" s="221"/>
      <c r="J59" s="221"/>
      <c r="K59" s="221"/>
      <c r="L59" s="21"/>
      <c r="M59" s="21"/>
      <c r="N59" s="21"/>
      <c r="O59" s="21"/>
      <c r="P59" s="21"/>
      <c r="Q59" s="21"/>
      <c r="R59" s="21"/>
      <c r="S59" s="21"/>
      <c r="T59" s="21"/>
      <c r="U59" s="21"/>
      <c r="V59" s="21"/>
      <c r="W59" s="21"/>
      <c r="X59" s="21"/>
      <c r="Y59" s="21"/>
      <c r="Z59" s="21"/>
    </row>
    <row r="60" spans="1:26" ht="13.5" customHeight="1">
      <c r="A60" s="491" t="s">
        <v>791</v>
      </c>
      <c r="B60" s="220"/>
      <c r="C60" s="220"/>
      <c r="D60" s="220"/>
      <c r="E60" s="220"/>
      <c r="F60" s="176">
        <f t="shared" ref="F60:K60" si="6">E62</f>
        <v>9280.6</v>
      </c>
      <c r="G60" s="177">
        <f t="shared" si="6"/>
        <v>11838</v>
      </c>
      <c r="H60" s="177">
        <f t="shared" si="6"/>
        <v>14911.924706726148</v>
      </c>
      <c r="I60" s="177">
        <f t="shared" si="6"/>
        <v>18764.270429993274</v>
      </c>
      <c r="J60" s="177">
        <f t="shared" si="6"/>
        <v>23118.473699913175</v>
      </c>
      <c r="K60" s="177">
        <f t="shared" si="6"/>
        <v>28020.641816563857</v>
      </c>
      <c r="L60" s="21"/>
      <c r="M60" s="21"/>
      <c r="N60" s="21"/>
      <c r="O60" s="21"/>
      <c r="P60" s="21"/>
      <c r="Q60" s="21"/>
      <c r="R60" s="21"/>
      <c r="S60" s="21"/>
      <c r="T60" s="21"/>
      <c r="U60" s="21"/>
      <c r="V60" s="21"/>
      <c r="W60" s="21"/>
      <c r="X60" s="21"/>
      <c r="Y60" s="21"/>
      <c r="Z60" s="21"/>
    </row>
    <row r="61" spans="1:26" ht="13.5" customHeight="1">
      <c r="A61" s="542" t="s">
        <v>870</v>
      </c>
      <c r="B61" s="220"/>
      <c r="C61" s="176"/>
      <c r="D61" s="176"/>
      <c r="E61" s="176"/>
      <c r="F61" s="176">
        <f>DATA!G185</f>
        <v>2557.4</v>
      </c>
      <c r="G61" s="205">
        <f>IS!G19</f>
        <v>3073.9247067261472</v>
      </c>
      <c r="H61" s="205">
        <f>IS!H19</f>
        <v>3852.3457232671249</v>
      </c>
      <c r="I61" s="205">
        <f>IS!I19</f>
        <v>4354.2032699199017</v>
      </c>
      <c r="J61" s="205">
        <f>IS!J19</f>
        <v>4902.1681166506824</v>
      </c>
      <c r="K61" s="205">
        <f>IS!K19</f>
        <v>5435.9710232765892</v>
      </c>
      <c r="L61" s="21"/>
      <c r="M61" s="21"/>
      <c r="N61" s="21"/>
      <c r="O61" s="21"/>
      <c r="P61" s="21"/>
      <c r="Q61" s="21"/>
      <c r="R61" s="21"/>
      <c r="S61" s="21"/>
      <c r="T61" s="21"/>
      <c r="U61" s="21"/>
      <c r="V61" s="21"/>
      <c r="W61" s="21"/>
      <c r="X61" s="21"/>
      <c r="Y61" s="21"/>
      <c r="Z61" s="21"/>
    </row>
    <row r="62" spans="1:26" ht="13.5" customHeight="1">
      <c r="A62" s="491" t="s">
        <v>779</v>
      </c>
      <c r="B62" s="176">
        <f>B9</f>
        <v>2776.3</v>
      </c>
      <c r="C62" s="176">
        <f>C9</f>
        <v>6249.4</v>
      </c>
      <c r="D62" s="176">
        <f>D9</f>
        <v>7786.1</v>
      </c>
      <c r="E62" s="176">
        <f>E9</f>
        <v>9280.6</v>
      </c>
      <c r="F62" s="176">
        <f>F9</f>
        <v>11838</v>
      </c>
      <c r="G62" s="177">
        <f>SUM(G60:G61)</f>
        <v>14911.924706726148</v>
      </c>
      <c r="H62" s="177">
        <f>SUM(H60:H61)</f>
        <v>18764.270429993274</v>
      </c>
      <c r="I62" s="177">
        <f>SUM(I60:I61)</f>
        <v>23118.473699913175</v>
      </c>
      <c r="J62" s="177">
        <f>SUM(J60:J61)</f>
        <v>28020.641816563857</v>
      </c>
      <c r="K62" s="177">
        <f>SUM(K60:K61)</f>
        <v>33456.612839840447</v>
      </c>
      <c r="L62" s="21"/>
      <c r="M62" s="21"/>
      <c r="N62" s="21"/>
      <c r="O62" s="21"/>
      <c r="P62" s="21"/>
      <c r="Q62" s="21"/>
      <c r="R62" s="21"/>
      <c r="S62" s="21"/>
      <c r="T62" s="21"/>
      <c r="U62" s="21"/>
      <c r="V62" s="21"/>
      <c r="W62" s="21"/>
      <c r="X62" s="21"/>
      <c r="Y62" s="21"/>
      <c r="Z62" s="21"/>
    </row>
    <row r="63" spans="1:26" ht="13.5" customHeight="1">
      <c r="A63" s="460"/>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spans="1:26" ht="13.5" customHeight="1">
      <c r="A64" s="460"/>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spans="1:26" ht="13.5" customHeight="1">
      <c r="A65" s="460"/>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spans="1:26" ht="13.5" customHeight="1">
      <c r="A66" s="460"/>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spans="1:26" ht="13.5" customHeight="1">
      <c r="A67" s="460"/>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spans="1:26" ht="13.5" customHeight="1">
      <c r="A68" s="460"/>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spans="1:26" ht="13.5" customHeight="1">
      <c r="A69" s="460"/>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spans="1:26" ht="13.5" customHeight="1">
      <c r="A70" s="460"/>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spans="1:26" ht="13.5" customHeight="1">
      <c r="A71" s="460"/>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spans="1:26" ht="13.5" customHeight="1">
      <c r="A72" s="460"/>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spans="1:26" ht="13.5" customHeight="1">
      <c r="A73" s="460"/>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spans="1:26" ht="13.5" customHeight="1">
      <c r="A74" s="460"/>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spans="1:26" ht="13.5" customHeight="1">
      <c r="A75" s="460"/>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spans="1:26" ht="13.5" customHeight="1">
      <c r="A76" s="460"/>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spans="1:26" ht="13.5" customHeight="1">
      <c r="A77" s="460"/>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spans="1:26" ht="13.5" customHeight="1">
      <c r="A78" s="460"/>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spans="1:26" ht="13.5" customHeight="1">
      <c r="A79" s="460"/>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spans="1:26" ht="13.5" customHeight="1">
      <c r="A80" s="460"/>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spans="1:26" ht="13.5" customHeight="1">
      <c r="A81" s="460"/>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spans="1:26" ht="13.5" customHeight="1">
      <c r="A82" s="460"/>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spans="1:26" ht="13.5" customHeight="1">
      <c r="A83" s="460"/>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spans="1:26" ht="13.5" customHeight="1">
      <c r="A84" s="460"/>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spans="1:26" ht="13.5" customHeight="1">
      <c r="A85" s="460"/>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spans="1:26" ht="13.5" customHeight="1">
      <c r="A86" s="460"/>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spans="1:26" ht="13.5" customHeight="1">
      <c r="A87" s="460"/>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spans="1:26" ht="13.5" customHeight="1">
      <c r="A88" s="460"/>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spans="1:26" ht="13.5" customHeight="1">
      <c r="A89" s="460"/>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spans="1:26" ht="13.5" customHeight="1">
      <c r="A90" s="460"/>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spans="1:26" ht="13.5" customHeight="1">
      <c r="A91" s="460"/>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spans="1:26" ht="13.5" customHeight="1">
      <c r="A92" s="460"/>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spans="1:26" ht="13.5" customHeight="1">
      <c r="A93" s="460"/>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spans="1:26" ht="13.5" customHeight="1">
      <c r="A94" s="460"/>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spans="1:26" ht="13.5" customHeight="1">
      <c r="A95" s="460"/>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spans="1:26" ht="13.5" customHeight="1">
      <c r="A96" s="460"/>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spans="1:26" ht="13.5" customHeight="1">
      <c r="A97" s="460"/>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spans="1:26" ht="13.5" customHeight="1">
      <c r="A98" s="460"/>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spans="1:26" ht="13.5" customHeight="1">
      <c r="A99" s="460"/>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spans="1:26" ht="13.5" customHeight="1">
      <c r="A100" s="460"/>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spans="1:26" ht="13.5" customHeight="1">
      <c r="A101" s="460"/>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spans="1:26" ht="13.5" customHeight="1">
      <c r="A102" s="460"/>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spans="1:26" ht="13.5" customHeight="1">
      <c r="A103" s="460"/>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spans="1:26" ht="13.5" customHeight="1">
      <c r="A104" s="460"/>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spans="1:26" ht="13.5" customHeight="1">
      <c r="A105" s="460"/>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spans="1:26" ht="13.5" customHeight="1">
      <c r="A106" s="460"/>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spans="1:26" ht="13.5" customHeight="1">
      <c r="A107" s="460"/>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spans="1:26" ht="13.5" customHeight="1">
      <c r="A108" s="460"/>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spans="1:26" ht="13.5" customHeight="1">
      <c r="A109" s="460"/>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spans="1:26" ht="13.5" customHeight="1">
      <c r="A110" s="460"/>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spans="1:26" ht="13.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spans="1:26" ht="13.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spans="1:26" ht="13.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spans="1:26" ht="13.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spans="1:26" ht="13.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spans="1:26" ht="13.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spans="1:26" ht="13.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spans="1:26" ht="13.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spans="1:26" ht="13.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spans="1:26" ht="13.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spans="1:26" ht="13.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spans="1:26" ht="13.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spans="1:26" ht="13.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spans="1:26" ht="13.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spans="1:26" ht="13.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spans="1:26" ht="13.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spans="1:26" ht="13.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spans="1:26" ht="13.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spans="1:26" ht="13.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spans="1:26" ht="13.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spans="1:26" ht="13.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spans="1:26" ht="13.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spans="1:26" ht="13.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spans="1:26" ht="13.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spans="1:26" ht="13.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spans="1:26" ht="13.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spans="1:26" ht="13.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spans="1:26" ht="13.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spans="1:26" ht="13.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spans="1:26" ht="13.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spans="1:26" ht="13.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spans="1:26" ht="13.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spans="1:26" ht="13.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spans="1:26" ht="13.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spans="1:26" ht="13.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spans="1:26" ht="13.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spans="1:26" ht="13.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spans="1:26" ht="13.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spans="1:26" ht="13.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spans="1:26" ht="13.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spans="1:26" ht="13.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spans="1:26" ht="13.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spans="1:26" ht="13.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spans="1:26" ht="13.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spans="1:26" ht="13.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spans="1:26" ht="13.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spans="1:26" ht="13.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spans="1:26" ht="13.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spans="1:26" ht="13.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spans="1:26" ht="13.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spans="1:26" ht="13.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spans="1:26" ht="13.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spans="1:26" ht="13.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spans="1:26" ht="13.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spans="1:26" ht="13.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spans="1:26" ht="13.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spans="1:26" ht="13.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spans="1:26" ht="13.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spans="1:26" ht="13.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spans="1:26" ht="13.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spans="1:26" ht="13.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spans="1:26" ht="13.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spans="1:26" ht="13.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spans="1:26" ht="13.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spans="1:26" ht="13.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spans="1:26" ht="13.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spans="1:26" ht="13.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spans="1:26" ht="13.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spans="1:26" ht="13.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spans="1:26" ht="13.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spans="1:26" ht="13.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spans="1:26" ht="13.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spans="1:26" ht="13.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spans="1:26" ht="13.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spans="1:26" ht="13.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spans="1:26" ht="13.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spans="1:26" ht="13.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spans="1:26" ht="13.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spans="1:26" ht="13.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spans="1:26" ht="13.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spans="1:26" ht="13.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spans="1:26" ht="13.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spans="1:26" ht="13.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spans="1:26" ht="13.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spans="1:26" ht="13.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spans="1:26" ht="13.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spans="1:26" ht="13.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spans="1:26" ht="13.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spans="1:26" ht="13.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spans="1:26" ht="13.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spans="1:26" ht="13.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spans="1:26" ht="13.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spans="1:26" ht="13.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spans="1:26" ht="13.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spans="1:26" ht="13.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spans="1:26" ht="13.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spans="1:26" ht="13.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spans="1:26" ht="13.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spans="1:26" ht="13.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spans="1:26" ht="13.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spans="1:26" ht="13.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spans="1:26" ht="13.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spans="1:26" ht="13.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spans="1:26" ht="13.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spans="1:26" ht="13.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spans="1:26" ht="13.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spans="1:26" ht="13.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spans="1:26" ht="13.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spans="1:26" ht="13.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spans="1:26" ht="13.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spans="1:26" ht="13.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spans="1:26" ht="13.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spans="1:26" ht="13.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spans="1:26" ht="13.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spans="1:26" ht="13.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spans="1:26" ht="13.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spans="1:26" ht="13.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spans="1:26" ht="13.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spans="1:26" ht="13.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spans="1:26" ht="13.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spans="1:26" ht="13.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spans="1:26" ht="13.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spans="1:26" ht="13.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spans="1:26" ht="13.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spans="1:26" ht="13.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spans="1:26" ht="13.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spans="1:26" ht="13.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spans="1:26" ht="13.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spans="1:26" ht="13.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spans="1:26" ht="13.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spans="1:26" ht="13.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spans="1:26" ht="13.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spans="1:26" ht="13.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spans="1:26" ht="13.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spans="1:26" ht="13.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spans="1:26" ht="13.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spans="1:26" ht="13.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spans="1:26" ht="13.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spans="1:26" ht="13.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spans="1:26" ht="13.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spans="1:26" ht="13.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spans="1:26" ht="13.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spans="1:26" ht="13.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spans="1:26" ht="13.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spans="1:26" ht="13.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spans="1:26" ht="13.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spans="1:26" ht="13.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spans="1:26" ht="13.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spans="1:26" ht="13.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spans="1:26" ht="13.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spans="1:26" ht="13.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spans="1:26" ht="13.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spans="1:26" ht="15.75" customHeight="1"/>
    <row r="264" spans="1:26" ht="15.75" customHeight="1"/>
    <row r="265" spans="1:26" ht="15.75" customHeight="1"/>
    <row r="266" spans="1:26" ht="15.75" customHeight="1"/>
    <row r="267" spans="1:26" ht="15.75" customHeight="1"/>
    <row r="268" spans="1:26" ht="15.75" customHeight="1"/>
    <row r="269" spans="1:26" ht="15.75" customHeight="1"/>
    <row r="270" spans="1:26" ht="15.75" customHeight="1"/>
    <row r="271" spans="1:26" ht="15.75" customHeight="1"/>
    <row r="272" spans="1:26"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ageMargins left="0.7" right="0.7" top="0.75" bottom="0.75" header="0" footer="0"/>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8000"/>
    <outlinePr summaryBelow="0" summaryRight="0"/>
  </sheetPr>
  <dimension ref="A1:AC1000"/>
  <sheetViews>
    <sheetView showGridLines="0" topLeftCell="B25" workbookViewId="0">
      <selection activeCell="I44" sqref="I44"/>
    </sheetView>
  </sheetViews>
  <sheetFormatPr defaultColWidth="11.25" defaultRowHeight="15" customHeight="1"/>
  <cols>
    <col min="1" max="1" width="13.75" style="337" customWidth="1"/>
    <col min="2" max="2" width="15.5" style="337" customWidth="1"/>
    <col min="3" max="3" width="29.875" style="337" customWidth="1"/>
    <col min="4" max="4" width="11" style="337" customWidth="1"/>
    <col min="5" max="5" width="17" style="337" bestFit="1" customWidth="1"/>
    <col min="6" max="6" width="9.5" style="337" customWidth="1"/>
    <col min="7" max="7" width="9.625" style="337" customWidth="1"/>
    <col min="8" max="8" width="8.625" style="337" customWidth="1"/>
    <col min="9" max="9" width="10.25" style="337" customWidth="1"/>
    <col min="10" max="10" width="13.5" style="337" customWidth="1"/>
    <col min="11" max="11" width="14.125" style="337" customWidth="1"/>
    <col min="12" max="12" width="10.25" style="337" customWidth="1"/>
    <col min="13" max="13" width="9" style="337" customWidth="1"/>
    <col min="14" max="14" width="8.75" style="337" customWidth="1"/>
    <col min="15" max="15" width="8.875" style="337" customWidth="1"/>
    <col min="16" max="16" width="8.125" style="337" customWidth="1"/>
    <col min="17" max="17" width="35.25" style="337" bestFit="1" customWidth="1"/>
    <col min="18" max="18" width="12.25" style="337" bestFit="1" customWidth="1"/>
    <col min="19" max="16384" width="11.25" style="337"/>
  </cols>
  <sheetData>
    <row r="1" spans="1:29" ht="22.5" customHeight="1" thickBot="1">
      <c r="A1" s="582"/>
      <c r="B1" s="583"/>
      <c r="C1" s="583"/>
      <c r="D1" s="583"/>
      <c r="E1" s="584" t="s">
        <v>68</v>
      </c>
      <c r="F1" s="743" t="s">
        <v>69</v>
      </c>
      <c r="G1" s="744"/>
      <c r="H1" s="583"/>
      <c r="I1" s="583"/>
      <c r="J1" s="583"/>
      <c r="K1" s="585" t="s">
        <v>70</v>
      </c>
      <c r="L1" s="586">
        <v>2017</v>
      </c>
      <c r="M1" s="586">
        <v>2018</v>
      </c>
      <c r="N1" s="586">
        <v>2019</v>
      </c>
      <c r="O1" s="586">
        <v>2020</v>
      </c>
      <c r="P1" s="587">
        <v>2021</v>
      </c>
      <c r="Q1" s="609"/>
      <c r="R1" s="551"/>
      <c r="S1" s="551"/>
      <c r="T1" s="551"/>
      <c r="U1" s="551"/>
      <c r="V1" s="330"/>
      <c r="W1" s="330"/>
      <c r="X1" s="330"/>
      <c r="Y1" s="330"/>
      <c r="Z1" s="330"/>
      <c r="AA1" s="330"/>
      <c r="AB1" s="330"/>
      <c r="AC1" s="330"/>
    </row>
    <row r="2" spans="1:29" ht="29.25" customHeight="1" thickBot="1">
      <c r="A2" s="579" t="s">
        <v>71</v>
      </c>
      <c r="B2" s="552" t="s">
        <v>72</v>
      </c>
      <c r="C2" s="552" t="s">
        <v>73</v>
      </c>
      <c r="D2" s="552" t="s">
        <v>876</v>
      </c>
      <c r="E2" s="580" t="s">
        <v>75</v>
      </c>
      <c r="F2" s="580" t="s">
        <v>76</v>
      </c>
      <c r="G2" s="581" t="s">
        <v>77</v>
      </c>
      <c r="H2" s="552" t="s">
        <v>78</v>
      </c>
      <c r="I2" s="552" t="s">
        <v>79</v>
      </c>
      <c r="J2" s="552" t="s">
        <v>80</v>
      </c>
      <c r="K2" s="552" t="s">
        <v>321</v>
      </c>
      <c r="L2" s="552" t="s">
        <v>81</v>
      </c>
      <c r="M2" s="552" t="s">
        <v>82</v>
      </c>
      <c r="N2" s="552" t="s">
        <v>83</v>
      </c>
      <c r="O2" s="552" t="s">
        <v>84</v>
      </c>
      <c r="P2" s="614" t="s">
        <v>85</v>
      </c>
      <c r="Q2" s="487"/>
      <c r="R2" s="330"/>
      <c r="S2" s="330"/>
      <c r="T2" s="330"/>
      <c r="U2" s="330"/>
      <c r="V2" s="330"/>
      <c r="W2" s="330"/>
      <c r="X2" s="330"/>
      <c r="Y2" s="330"/>
      <c r="Z2" s="330"/>
      <c r="AA2" s="330"/>
      <c r="AB2" s="330"/>
      <c r="AC2" s="330"/>
    </row>
    <row r="3" spans="1:29" ht="21" customHeight="1">
      <c r="A3" s="553">
        <v>1</v>
      </c>
      <c r="B3" s="554" t="s">
        <v>86</v>
      </c>
      <c r="C3" s="555" t="s">
        <v>87</v>
      </c>
      <c r="D3" s="553" t="s">
        <v>88</v>
      </c>
      <c r="E3" s="556">
        <v>0.57999999999999996</v>
      </c>
      <c r="F3" s="556">
        <v>6.8199999999999997E-2</v>
      </c>
      <c r="G3" s="556">
        <v>0.28079999999999999</v>
      </c>
      <c r="H3" s="553">
        <v>1.08</v>
      </c>
      <c r="I3" s="553">
        <v>13.85</v>
      </c>
      <c r="J3" s="553">
        <v>15.58</v>
      </c>
      <c r="K3" s="557">
        <f>J3/I3</f>
        <v>1.1249097472924188</v>
      </c>
      <c r="L3" s="558">
        <v>10.58</v>
      </c>
      <c r="M3" s="558">
        <v>8.39</v>
      </c>
      <c r="N3" s="558">
        <v>5.81</v>
      </c>
      <c r="O3" s="558">
        <v>13.79</v>
      </c>
      <c r="P3" s="615">
        <v>16.559999999999999</v>
      </c>
      <c r="Q3" s="610" t="s">
        <v>89</v>
      </c>
      <c r="R3" s="603">
        <f>MEDIAN(K13:P13)</f>
        <v>14.468848311625724</v>
      </c>
      <c r="S3" s="175"/>
      <c r="T3" s="175"/>
      <c r="U3" s="175"/>
      <c r="V3" s="175"/>
      <c r="W3" s="175"/>
      <c r="X3" s="175"/>
      <c r="Y3" s="175"/>
      <c r="Z3" s="175"/>
      <c r="AA3" s="175"/>
      <c r="AB3" s="175"/>
      <c r="AC3" s="175"/>
    </row>
    <row r="4" spans="1:29" ht="12.75">
      <c r="A4" s="553">
        <v>2</v>
      </c>
      <c r="B4" s="554" t="s">
        <v>90</v>
      </c>
      <c r="C4" s="555" t="s">
        <v>91</v>
      </c>
      <c r="D4" s="553" t="s">
        <v>88</v>
      </c>
      <c r="E4" s="556">
        <v>6.4799999999999996E-2</v>
      </c>
      <c r="F4" s="556">
        <v>0.128</v>
      </c>
      <c r="G4" s="556">
        <v>0.18179999999999999</v>
      </c>
      <c r="H4" s="553">
        <v>1.77</v>
      </c>
      <c r="I4" s="553">
        <v>13.85</v>
      </c>
      <c r="J4" s="553">
        <v>20.86</v>
      </c>
      <c r="K4" s="557">
        <f>J4/I4</f>
        <v>1.5061371841155236</v>
      </c>
      <c r="L4" s="553">
        <v>0</v>
      </c>
      <c r="M4" s="558">
        <v>14.49</v>
      </c>
      <c r="N4" s="558">
        <v>8.06</v>
      </c>
      <c r="O4" s="558">
        <v>120.3</v>
      </c>
      <c r="P4" s="616">
        <v>17.84</v>
      </c>
      <c r="Q4" s="611"/>
      <c r="R4" s="597"/>
      <c r="S4" s="175"/>
      <c r="T4" s="175"/>
      <c r="U4" s="175"/>
      <c r="V4" s="175"/>
      <c r="W4" s="175"/>
      <c r="X4" s="175"/>
      <c r="Y4" s="175"/>
      <c r="Z4" s="175"/>
      <c r="AA4" s="175"/>
      <c r="AB4" s="175"/>
      <c r="AC4" s="175"/>
    </row>
    <row r="5" spans="1:29" ht="12.75">
      <c r="A5" s="553">
        <v>3</v>
      </c>
      <c r="B5" s="554" t="s">
        <v>92</v>
      </c>
      <c r="C5" s="555" t="s">
        <v>93</v>
      </c>
      <c r="D5" s="553" t="s">
        <v>94</v>
      </c>
      <c r="E5" s="556">
        <v>0.22</v>
      </c>
      <c r="F5" s="560">
        <v>0.13100000000000001</v>
      </c>
      <c r="G5" s="556">
        <v>0.42199999999999999</v>
      </c>
      <c r="H5" s="561">
        <v>1.32</v>
      </c>
      <c r="I5" s="553">
        <v>19.88</v>
      </c>
      <c r="J5" s="553">
        <v>36.200000000000003</v>
      </c>
      <c r="K5" s="557">
        <f>J5/I5</f>
        <v>1.8209255533199198</v>
      </c>
      <c r="L5" s="558">
        <v>31.96</v>
      </c>
      <c r="M5" s="558">
        <v>20.95</v>
      </c>
      <c r="N5" s="558">
        <v>26.24</v>
      </c>
      <c r="O5" s="558">
        <v>31.45</v>
      </c>
      <c r="P5" s="616">
        <v>37.33</v>
      </c>
      <c r="Q5" s="554" t="s">
        <v>2</v>
      </c>
      <c r="R5" s="599" t="s">
        <v>4</v>
      </c>
      <c r="S5" s="175"/>
      <c r="T5" s="175"/>
      <c r="U5" s="175"/>
      <c r="V5" s="175"/>
      <c r="W5" s="175"/>
      <c r="X5" s="175"/>
      <c r="Y5" s="175"/>
      <c r="Z5" s="175"/>
      <c r="AA5" s="175"/>
      <c r="AB5" s="175"/>
      <c r="AC5" s="175"/>
    </row>
    <row r="6" spans="1:29" ht="12.75">
      <c r="A6" s="553">
        <v>4</v>
      </c>
      <c r="B6" s="554" t="s">
        <v>95</v>
      </c>
      <c r="C6" s="555" t="s">
        <v>96</v>
      </c>
      <c r="D6" s="553" t="s">
        <v>97</v>
      </c>
      <c r="E6" s="556">
        <v>0.14199999999999999</v>
      </c>
      <c r="F6" s="556">
        <v>0.1</v>
      </c>
      <c r="G6" s="556">
        <v>0.114</v>
      </c>
      <c r="H6" s="553">
        <v>1.67</v>
      </c>
      <c r="I6" s="553">
        <v>13.92</v>
      </c>
      <c r="J6" s="553">
        <v>8.31</v>
      </c>
      <c r="K6" s="557">
        <f>J6/I6</f>
        <v>0.59698275862068972</v>
      </c>
      <c r="L6" s="558">
        <v>6.28</v>
      </c>
      <c r="M6" s="558">
        <v>8.0299999999999994</v>
      </c>
      <c r="N6" s="558">
        <v>19.510000000000002</v>
      </c>
      <c r="O6" s="558">
        <v>11.46</v>
      </c>
      <c r="P6" s="616">
        <v>9.3800000000000008</v>
      </c>
      <c r="Q6" s="554" t="s">
        <v>880</v>
      </c>
      <c r="R6" s="600">
        <v>6740.9</v>
      </c>
      <c r="U6" s="175"/>
      <c r="V6" s="175"/>
      <c r="W6" s="175"/>
      <c r="X6" s="175"/>
      <c r="Y6" s="175"/>
      <c r="Z6" s="175"/>
      <c r="AA6" s="175"/>
      <c r="AB6" s="175"/>
      <c r="AC6" s="175"/>
    </row>
    <row r="7" spans="1:29" ht="12.75">
      <c r="A7" s="553">
        <v>5</v>
      </c>
      <c r="B7" s="554" t="s">
        <v>99</v>
      </c>
      <c r="C7" s="555" t="s">
        <v>100</v>
      </c>
      <c r="D7" s="553" t="s">
        <v>101</v>
      </c>
      <c r="E7" s="556">
        <v>0.47149999999999997</v>
      </c>
      <c r="F7" s="556">
        <v>0.45900000000000002</v>
      </c>
      <c r="G7" s="556">
        <v>0.218</v>
      </c>
      <c r="H7" s="553">
        <v>0.7</v>
      </c>
      <c r="I7" s="553">
        <v>10.93</v>
      </c>
      <c r="J7" s="553">
        <v>10.52</v>
      </c>
      <c r="K7" s="557">
        <f>J7/I7</f>
        <v>0.96248856358645929</v>
      </c>
      <c r="L7" s="558">
        <v>14.43</v>
      </c>
      <c r="M7" s="558">
        <v>10.89</v>
      </c>
      <c r="N7" s="558">
        <v>12.41</v>
      </c>
      <c r="O7" s="558">
        <v>9</v>
      </c>
      <c r="P7" s="616">
        <v>7.67</v>
      </c>
      <c r="Q7" s="554" t="s">
        <v>882</v>
      </c>
      <c r="R7" s="601">
        <v>-2300</v>
      </c>
      <c r="U7" s="175"/>
      <c r="V7" s="175"/>
      <c r="W7" s="175"/>
      <c r="X7" s="175"/>
      <c r="Y7" s="175"/>
      <c r="Z7" s="175"/>
      <c r="AA7" s="175"/>
      <c r="AB7" s="175"/>
      <c r="AC7" s="175"/>
    </row>
    <row r="8" spans="1:29" ht="21" customHeight="1" thickBot="1">
      <c r="A8" s="588"/>
      <c r="B8" s="589"/>
      <c r="C8" s="588" t="s">
        <v>871</v>
      </c>
      <c r="D8" s="588"/>
      <c r="E8" s="590">
        <f>AVERAGE(E3:E7)</f>
        <v>0.29565999999999998</v>
      </c>
      <c r="F8" s="591">
        <f>AVERAGE(F3:F7)</f>
        <v>0.17724000000000001</v>
      </c>
      <c r="G8" s="590">
        <f>AVERAGE(G3:G7)</f>
        <v>0.24332000000000004</v>
      </c>
      <c r="H8" s="592">
        <f>AVERAGE(H3:H7)</f>
        <v>1.3080000000000001</v>
      </c>
      <c r="I8" s="592"/>
      <c r="J8" s="592"/>
      <c r="K8" s="593">
        <f>AVERAGE(K3:K7)</f>
        <v>1.2022887613870021</v>
      </c>
      <c r="L8" s="593">
        <f>AVERAGE(L3/I3,L5/I5,L6/I6,L7/I7,L4/I4)</f>
        <v>0.82858275932927139</v>
      </c>
      <c r="M8" s="593">
        <f>AVERAGE(M3/$I$3,M5/$I$5,M6/$I$6,M7/$I$7,M4/$I$4)</f>
        <v>0.85580333219029348</v>
      </c>
      <c r="N8" s="593">
        <f>AVERAGE(N3/$I$3,N5/$I$5,N6/$I$6,N7/$I$7,N4/$I$4)</f>
        <v>0.97167023130321595</v>
      </c>
      <c r="O8" s="593">
        <f>AVERAGE(O3/$I$3,O5/$I$5,O6/$I$6,O7/$I$7,O4/$I$4)</f>
        <v>2.582055607272808</v>
      </c>
      <c r="P8" s="617">
        <f>AVERAGE(P3/$I$3,P5/$I$5,P6/$I$6,P7/$I$7,P4/$I$4)</f>
        <v>1.1474220043607595</v>
      </c>
      <c r="Q8" s="554" t="s">
        <v>881</v>
      </c>
      <c r="R8" s="600">
        <f>R6-R7</f>
        <v>9040.9</v>
      </c>
      <c r="U8" s="175"/>
      <c r="V8" s="175"/>
      <c r="W8" s="175"/>
      <c r="X8" s="175"/>
      <c r="Y8" s="175"/>
      <c r="Z8" s="175"/>
      <c r="AA8" s="175"/>
      <c r="AB8" s="175"/>
      <c r="AC8" s="175"/>
    </row>
    <row r="9" spans="1:29" s="335" customFormat="1" ht="13.5" thickBot="1">
      <c r="A9" s="170"/>
      <c r="B9" s="170"/>
      <c r="C9" s="170" t="s">
        <v>872</v>
      </c>
      <c r="D9" s="606">
        <f>PRODUCT(E9:G9)^(1/3)/PRODUCT(H9)</f>
        <v>0.98597141831129764</v>
      </c>
      <c r="E9" s="641">
        <f>(1+E8)/(1+E10)</f>
        <v>1.2729247914761666</v>
      </c>
      <c r="F9" s="641">
        <f>(1+F8)/(1+F10)</f>
        <v>0.97158734525447044</v>
      </c>
      <c r="G9" s="641">
        <f>(1+G8)/(1+G10)</f>
        <v>0.97908896960311254</v>
      </c>
      <c r="H9" s="641">
        <f>(1+H8)/(1+AVERAGE(H10,J10))</f>
        <v>1.0810304449648713</v>
      </c>
      <c r="I9" s="642" t="s">
        <v>106</v>
      </c>
      <c r="J9" s="607">
        <v>13.85</v>
      </c>
      <c r="K9" s="621"/>
      <c r="L9" s="622"/>
      <c r="M9" s="622"/>
      <c r="N9" s="622"/>
      <c r="O9" s="622"/>
      <c r="P9" s="623"/>
      <c r="Q9" s="643" t="s">
        <v>883</v>
      </c>
      <c r="R9" s="644">
        <f>DCF!B40</f>
        <v>731854815</v>
      </c>
      <c r="U9" s="171"/>
      <c r="V9" s="171"/>
      <c r="W9" s="171"/>
      <c r="X9" s="171"/>
      <c r="Y9" s="171"/>
      <c r="Z9" s="171"/>
      <c r="AA9" s="171"/>
      <c r="AB9" s="171"/>
      <c r="AC9" s="171"/>
    </row>
    <row r="10" spans="1:29" ht="12.75">
      <c r="A10" s="175"/>
      <c r="B10" s="175"/>
      <c r="C10" s="175" t="s">
        <v>71</v>
      </c>
      <c r="D10" s="175"/>
      <c r="E10" s="565">
        <f>((SALE!F3+SALE!F11+SALE!F19)/(SALE!D11+SALE!D3))^(1/2)-1</f>
        <v>1.7860606279392455E-2</v>
      </c>
      <c r="F10" s="566">
        <f>AVERAGE(19%,21.5%,23%)</f>
        <v>0.21166666666666667</v>
      </c>
      <c r="G10" s="565">
        <f>AVERAGE('Financial Ratios'!D28:F28)</f>
        <v>0.2698743817980066</v>
      </c>
      <c r="H10" s="486">
        <v>0.95</v>
      </c>
      <c r="I10" s="486" t="s">
        <v>897</v>
      </c>
      <c r="J10" s="486">
        <v>1.32</v>
      </c>
      <c r="K10" s="486"/>
      <c r="L10" s="486"/>
      <c r="M10" s="486"/>
      <c r="N10" s="486"/>
      <c r="O10" s="486"/>
      <c r="P10" s="618"/>
      <c r="Q10" s="554" t="s">
        <v>109</v>
      </c>
      <c r="R10" s="602">
        <f>R8*10^9/R9</f>
        <v>12353.406460815591</v>
      </c>
      <c r="U10" s="175"/>
      <c r="V10" s="175"/>
      <c r="W10" s="175"/>
      <c r="X10" s="175"/>
      <c r="Y10" s="175"/>
      <c r="Z10" s="175"/>
      <c r="AA10" s="175"/>
      <c r="AB10" s="175"/>
      <c r="AC10" s="175"/>
    </row>
    <row r="11" spans="1:29" ht="17.25" customHeight="1" thickBot="1">
      <c r="A11" s="175"/>
      <c r="B11" s="175"/>
      <c r="C11" s="175" t="s">
        <v>873</v>
      </c>
      <c r="D11" s="175"/>
      <c r="E11" s="486" t="s">
        <v>106</v>
      </c>
      <c r="F11" s="486">
        <v>13.85</v>
      </c>
      <c r="G11" s="565"/>
      <c r="H11" s="486"/>
      <c r="I11" s="486"/>
      <c r="J11" s="486"/>
      <c r="K11" s="564">
        <f t="shared" ref="K11:P11" si="0">K8*$J$9</f>
        <v>16.65169934520998</v>
      </c>
      <c r="L11" s="564">
        <f t="shared" si="0"/>
        <v>11.475871216710409</v>
      </c>
      <c r="M11" s="564">
        <f t="shared" si="0"/>
        <v>11.852876150835565</v>
      </c>
      <c r="N11" s="564">
        <f t="shared" si="0"/>
        <v>13.457632703549541</v>
      </c>
      <c r="O11" s="564">
        <f t="shared" si="0"/>
        <v>35.761470160728393</v>
      </c>
      <c r="P11" s="619">
        <f t="shared" si="0"/>
        <v>15.891794760396518</v>
      </c>
      <c r="Q11" s="612" t="s">
        <v>629</v>
      </c>
      <c r="R11" s="605">
        <f>R10*R3</f>
        <v>178739.56421339797</v>
      </c>
      <c r="U11" s="175"/>
      <c r="V11" s="175"/>
      <c r="W11" s="175"/>
      <c r="X11" s="175"/>
      <c r="Y11" s="175"/>
      <c r="Z11" s="175"/>
      <c r="AA11" s="175"/>
      <c r="AB11" s="175"/>
      <c r="AC11" s="175"/>
    </row>
    <row r="12" spans="1:29" ht="13.5" thickBot="1">
      <c r="A12" s="175"/>
      <c r="B12" s="175"/>
      <c r="C12" s="175" t="s">
        <v>874</v>
      </c>
      <c r="D12" s="175"/>
      <c r="E12" s="486"/>
      <c r="F12" s="486"/>
      <c r="G12" s="565"/>
      <c r="H12" s="486"/>
      <c r="I12" s="486"/>
      <c r="J12" s="608">
        <f>D9</f>
        <v>0.98597141831129764</v>
      </c>
      <c r="K12" s="486"/>
      <c r="L12" s="486"/>
      <c r="M12" s="486"/>
      <c r="N12" s="486"/>
      <c r="O12" s="486"/>
      <c r="P12" s="618"/>
      <c r="Q12" s="613"/>
      <c r="R12" s="175"/>
      <c r="U12" s="175"/>
      <c r="V12" s="175"/>
      <c r="W12" s="175"/>
      <c r="X12" s="175"/>
      <c r="Y12" s="175"/>
      <c r="Z12" s="175"/>
      <c r="AA12" s="175"/>
      <c r="AB12" s="175"/>
      <c r="AC12" s="175"/>
    </row>
    <row r="13" spans="1:29" s="335" customFormat="1" ht="13.5" thickBot="1">
      <c r="A13" s="625"/>
      <c r="B13" s="626"/>
      <c r="C13" s="626" t="s">
        <v>875</v>
      </c>
      <c r="D13" s="626"/>
      <c r="E13" s="626"/>
      <c r="F13" s="626"/>
      <c r="G13" s="626"/>
      <c r="H13" s="626"/>
      <c r="I13" s="626"/>
      <c r="J13" s="626"/>
      <c r="K13" s="622">
        <f t="shared" ref="K13:P13" si="1">K11*$J$12</f>
        <v>16.41809962068999</v>
      </c>
      <c r="L13" s="622">
        <f t="shared" si="1"/>
        <v>11.31488101989776</v>
      </c>
      <c r="M13" s="622">
        <f t="shared" si="1"/>
        <v>11.686597109507495</v>
      </c>
      <c r="N13" s="622">
        <f t="shared" si="1"/>
        <v>13.268841203831244</v>
      </c>
      <c r="O13" s="622">
        <f t="shared" si="1"/>
        <v>35.259787455270526</v>
      </c>
      <c r="P13" s="623">
        <f t="shared" si="1"/>
        <v>15.668855419420204</v>
      </c>
      <c r="Q13" s="624"/>
      <c r="R13" s="171"/>
      <c r="S13" s="171"/>
      <c r="T13" s="171"/>
      <c r="U13" s="171"/>
      <c r="V13" s="171"/>
      <c r="W13" s="171"/>
      <c r="X13" s="171"/>
      <c r="Y13" s="171"/>
      <c r="Z13" s="171"/>
      <c r="AA13" s="171"/>
      <c r="AB13" s="171"/>
      <c r="AC13" s="171"/>
    </row>
    <row r="14" spans="1:29" ht="12.75">
      <c r="A14" s="175"/>
      <c r="B14" s="175"/>
      <c r="C14" s="175"/>
      <c r="D14" s="175"/>
      <c r="E14" s="486"/>
      <c r="F14" s="486"/>
      <c r="G14" s="486"/>
      <c r="H14" s="486"/>
      <c r="I14" s="486"/>
      <c r="J14" s="486"/>
      <c r="K14" s="486"/>
      <c r="L14" s="486"/>
      <c r="M14" s="486"/>
      <c r="N14" s="486"/>
      <c r="O14" s="486"/>
      <c r="P14" s="486"/>
      <c r="Q14" s="175"/>
      <c r="R14" s="175"/>
      <c r="S14" s="175"/>
      <c r="T14" s="175"/>
      <c r="U14" s="175"/>
      <c r="V14" s="175"/>
      <c r="W14" s="175"/>
      <c r="X14" s="175"/>
      <c r="Y14" s="175"/>
      <c r="Z14" s="175"/>
      <c r="AA14" s="175"/>
      <c r="AB14" s="175"/>
      <c r="AC14" s="175"/>
    </row>
    <row r="15" spans="1:29" ht="13.5" thickBot="1">
      <c r="A15" s="175"/>
      <c r="B15" s="175"/>
      <c r="C15" s="175"/>
      <c r="D15" s="175"/>
      <c r="E15" s="486"/>
      <c r="F15" s="486"/>
      <c r="G15" s="486"/>
      <c r="H15" s="486"/>
      <c r="I15" s="486"/>
      <c r="J15" s="486"/>
      <c r="K15" s="486"/>
      <c r="L15" s="486"/>
      <c r="M15" s="486"/>
      <c r="N15" s="486"/>
      <c r="O15" s="486"/>
      <c r="P15" s="486"/>
      <c r="Q15" s="175"/>
      <c r="R15" s="175"/>
      <c r="S15" s="175"/>
      <c r="T15" s="175"/>
      <c r="U15" s="175"/>
      <c r="V15" s="175"/>
      <c r="W15" s="175"/>
      <c r="X15" s="175"/>
      <c r="Y15" s="175"/>
      <c r="Z15" s="175"/>
      <c r="AA15" s="175"/>
      <c r="AB15" s="175"/>
      <c r="AC15" s="175"/>
    </row>
    <row r="16" spans="1:29" ht="23.25" customHeight="1">
      <c r="A16" s="631" t="s">
        <v>114</v>
      </c>
      <c r="B16" s="632" t="s">
        <v>72</v>
      </c>
      <c r="C16" s="632" t="s">
        <v>73</v>
      </c>
      <c r="D16" s="633" t="s">
        <v>876</v>
      </c>
      <c r="E16" s="634" t="s">
        <v>75</v>
      </c>
      <c r="F16" s="635" t="s">
        <v>115</v>
      </c>
      <c r="G16" s="635" t="s">
        <v>78</v>
      </c>
      <c r="H16" s="635" t="s">
        <v>79</v>
      </c>
      <c r="I16" s="635" t="s">
        <v>116</v>
      </c>
      <c r="J16" s="635" t="s">
        <v>146</v>
      </c>
      <c r="K16" s="635" t="s">
        <v>117</v>
      </c>
      <c r="L16" s="635" t="s">
        <v>118</v>
      </c>
      <c r="M16" s="635" t="s">
        <v>119</v>
      </c>
      <c r="N16" s="635" t="s">
        <v>120</v>
      </c>
      <c r="O16" s="636" t="s">
        <v>121</v>
      </c>
      <c r="P16" s="486"/>
      <c r="Q16" s="745" t="s">
        <v>122</v>
      </c>
      <c r="R16" s="746"/>
      <c r="S16" s="175"/>
      <c r="T16" s="175"/>
      <c r="U16" s="175"/>
      <c r="V16" s="175"/>
      <c r="W16" s="175"/>
      <c r="X16" s="175"/>
      <c r="Y16" s="175"/>
      <c r="Z16" s="175"/>
      <c r="AA16" s="175"/>
      <c r="AB16" s="175"/>
      <c r="AC16" s="175"/>
    </row>
    <row r="17" spans="1:29" ht="23.25" customHeight="1">
      <c r="A17" s="627">
        <v>1</v>
      </c>
      <c r="B17" s="555" t="s">
        <v>123</v>
      </c>
      <c r="C17" s="555" t="s">
        <v>124</v>
      </c>
      <c r="D17" s="553" t="s">
        <v>125</v>
      </c>
      <c r="E17" s="556">
        <v>0.5403</v>
      </c>
      <c r="F17" s="556">
        <v>0.2581</v>
      </c>
      <c r="G17" s="553">
        <v>0.8</v>
      </c>
      <c r="H17" s="553">
        <v>13.85</v>
      </c>
      <c r="I17" s="558">
        <v>1.97</v>
      </c>
      <c r="J17" s="568">
        <f>I17/H17</f>
        <v>0.14223826714801444</v>
      </c>
      <c r="K17" s="558">
        <v>2.14</v>
      </c>
      <c r="L17" s="558">
        <v>2.19</v>
      </c>
      <c r="M17" s="558">
        <v>1.76</v>
      </c>
      <c r="N17" s="558">
        <v>1.35</v>
      </c>
      <c r="O17" s="616">
        <v>2.27</v>
      </c>
      <c r="P17" s="486"/>
      <c r="Q17" s="647" t="s">
        <v>126</v>
      </c>
      <c r="R17" s="669">
        <f>(1+(1-R19)*R18)*R20</f>
        <v>0.54749999999999999</v>
      </c>
      <c r="U17" s="175"/>
      <c r="V17" s="175"/>
      <c r="W17" s="175"/>
      <c r="X17" s="175"/>
      <c r="Y17" s="175"/>
      <c r="Z17" s="175"/>
      <c r="AA17" s="175"/>
      <c r="AB17" s="175"/>
      <c r="AC17" s="175"/>
    </row>
    <row r="18" spans="1:29" ht="17.25" customHeight="1">
      <c r="A18" s="627">
        <v>2</v>
      </c>
      <c r="B18" s="555" t="s">
        <v>127</v>
      </c>
      <c r="C18" s="555" t="s">
        <v>128</v>
      </c>
      <c r="D18" s="553" t="s">
        <v>125</v>
      </c>
      <c r="E18" s="562">
        <v>0.04</v>
      </c>
      <c r="F18" s="556">
        <v>0.45569999999999999</v>
      </c>
      <c r="G18" s="553">
        <v>0.7</v>
      </c>
      <c r="H18" s="553">
        <v>13.85</v>
      </c>
      <c r="I18" s="558">
        <v>2.38</v>
      </c>
      <c r="J18" s="568">
        <f>I18/H18</f>
        <v>0.17184115523465704</v>
      </c>
      <c r="K18" s="558">
        <v>5.93</v>
      </c>
      <c r="L18" s="558">
        <v>3.98</v>
      </c>
      <c r="M18" s="558">
        <v>3.6</v>
      </c>
      <c r="N18" s="558">
        <v>3.81</v>
      </c>
      <c r="O18" s="616">
        <v>2.96</v>
      </c>
      <c r="P18" s="486"/>
      <c r="Q18" s="647" t="s">
        <v>129</v>
      </c>
      <c r="R18" s="670">
        <v>0</v>
      </c>
      <c r="S18" s="175"/>
      <c r="T18" s="175"/>
      <c r="U18" s="175"/>
      <c r="V18" s="175"/>
      <c r="W18" s="175"/>
      <c r="X18" s="175"/>
      <c r="Y18" s="175"/>
      <c r="Z18" s="175"/>
      <c r="AA18" s="175"/>
      <c r="AB18" s="175"/>
      <c r="AC18" s="175"/>
    </row>
    <row r="19" spans="1:29" ht="12.75">
      <c r="A19" s="627">
        <v>3</v>
      </c>
      <c r="B19" s="555" t="s">
        <v>130</v>
      </c>
      <c r="C19" s="555" t="s">
        <v>131</v>
      </c>
      <c r="D19" s="553" t="s">
        <v>97</v>
      </c>
      <c r="E19" s="556">
        <v>7.8700000000000006E-2</v>
      </c>
      <c r="F19" s="556">
        <v>0.2036</v>
      </c>
      <c r="G19" s="553">
        <v>0.38</v>
      </c>
      <c r="H19" s="553">
        <v>13.92</v>
      </c>
      <c r="I19" s="558">
        <v>0.87</v>
      </c>
      <c r="J19" s="568">
        <f>I19/H19</f>
        <v>6.25E-2</v>
      </c>
      <c r="K19" s="558">
        <v>0.41</v>
      </c>
      <c r="L19" s="558">
        <v>0.57999999999999996</v>
      </c>
      <c r="M19" s="558">
        <v>0.5</v>
      </c>
      <c r="N19" s="558">
        <v>0.44</v>
      </c>
      <c r="O19" s="616">
        <v>0.59</v>
      </c>
      <c r="P19" s="486"/>
      <c r="Q19" s="647" t="s">
        <v>884</v>
      </c>
      <c r="R19" s="671">
        <v>0</v>
      </c>
      <c r="S19" s="175"/>
      <c r="T19" s="175"/>
      <c r="U19" s="175"/>
      <c r="V19" s="175"/>
      <c r="W19" s="175"/>
      <c r="X19" s="175"/>
      <c r="Y19" s="175"/>
      <c r="Z19" s="175"/>
      <c r="AA19" s="175"/>
      <c r="AB19" s="175"/>
      <c r="AC19" s="175"/>
    </row>
    <row r="20" spans="1:29" ht="12.75">
      <c r="A20" s="627">
        <v>4</v>
      </c>
      <c r="B20" s="555" t="s">
        <v>132</v>
      </c>
      <c r="C20" s="555" t="s">
        <v>133</v>
      </c>
      <c r="D20" s="558" t="s">
        <v>134</v>
      </c>
      <c r="E20" s="556">
        <v>3.7400000000000003E-2</v>
      </c>
      <c r="F20" s="556">
        <v>0.36420000000000002</v>
      </c>
      <c r="G20" s="553">
        <v>0.31</v>
      </c>
      <c r="H20" s="553">
        <v>11.96</v>
      </c>
      <c r="I20" s="558">
        <v>0.51</v>
      </c>
      <c r="J20" s="568">
        <f>I20/H20</f>
        <v>4.2642140468227424E-2</v>
      </c>
      <c r="K20" s="558">
        <v>0.62</v>
      </c>
      <c r="L20" s="558">
        <v>0.66</v>
      </c>
      <c r="M20" s="558">
        <v>0.63</v>
      </c>
      <c r="N20" s="558">
        <v>0.69</v>
      </c>
      <c r="O20" s="616">
        <v>0.66</v>
      </c>
      <c r="P20" s="486"/>
      <c r="Q20" s="647" t="s">
        <v>135</v>
      </c>
      <c r="R20" s="672">
        <f>G21</f>
        <v>0.54749999999999999</v>
      </c>
      <c r="S20" s="175"/>
      <c r="T20" s="175"/>
      <c r="U20" s="175"/>
      <c r="V20" s="175"/>
      <c r="W20" s="175"/>
      <c r="X20" s="175"/>
      <c r="Y20" s="175"/>
      <c r="Z20" s="175"/>
      <c r="AA20" s="175"/>
      <c r="AB20" s="175"/>
      <c r="AC20" s="175"/>
    </row>
    <row r="21" spans="1:29" ht="13.5" thickBot="1">
      <c r="A21" s="637"/>
      <c r="B21" s="588"/>
      <c r="C21" s="588" t="s">
        <v>871</v>
      </c>
      <c r="D21" s="588"/>
      <c r="E21" s="590">
        <f>AVERAGE(E17:E20)</f>
        <v>0.1741</v>
      </c>
      <c r="F21" s="590">
        <f>AVERAGE(F17:F20)</f>
        <v>0.32040000000000002</v>
      </c>
      <c r="G21" s="592">
        <f>AVERAGE(G17:G20)</f>
        <v>0.54749999999999999</v>
      </c>
      <c r="H21" s="592">
        <f>AVERAGE(H17:H20)</f>
        <v>13.395</v>
      </c>
      <c r="I21" s="592"/>
      <c r="J21" s="593">
        <f>AVERAGE(J17:J20)</f>
        <v>0.10480539071272474</v>
      </c>
      <c r="K21" s="593">
        <f>AVERAGE(K17/$H$17,K18/$H$18,K19/$H$19,K20/$H$20)</f>
        <v>0.16599124200396329</v>
      </c>
      <c r="L21" s="593">
        <f>AVERAGE(L17/$H$17,L18/$H$18,L19/$H$19,L20/$H$20)</f>
        <v>0.13558449444397491</v>
      </c>
      <c r="M21" s="593">
        <f>AVERAGE(M17/$H$17,M18/$H$18,M19/$H$19,M20/$H$20)</f>
        <v>0.11889968390561734</v>
      </c>
      <c r="N21" s="593">
        <f>AVERAGE(N17/$H$17,N18/$H$18,N19/$H$19,N20/$H$20)</f>
        <v>0.11546616999747836</v>
      </c>
      <c r="O21" s="617">
        <f>AVERAGE(O17/$H$17,O18/$H$18,O19/$H$19,O20/$H$20)</f>
        <v>0.11879658311985358</v>
      </c>
      <c r="P21" s="486"/>
      <c r="Q21" s="648" t="s">
        <v>136</v>
      </c>
      <c r="R21" s="667">
        <f>R17*0.67+1*0.33</f>
        <v>0.69682500000000003</v>
      </c>
      <c r="S21" s="175"/>
      <c r="T21" s="175"/>
      <c r="U21" s="175"/>
      <c r="V21" s="175"/>
      <c r="W21" s="175"/>
      <c r="X21" s="175"/>
      <c r="Y21" s="175"/>
      <c r="Z21" s="175"/>
      <c r="AA21" s="175"/>
      <c r="AB21" s="175"/>
      <c r="AC21" s="175"/>
    </row>
    <row r="22" spans="1:29" s="335" customFormat="1" ht="13.5" thickBot="1">
      <c r="A22" s="620"/>
      <c r="B22" s="170"/>
      <c r="C22" s="170" t="s">
        <v>872</v>
      </c>
      <c r="D22" s="639">
        <f>(PRODUCT(E22:F22)^(1/2))/PRODUCT(G22)</f>
        <v>0.96690554524840111</v>
      </c>
      <c r="E22" s="641">
        <f>(1+E21)/(1+E23)</f>
        <v>0.72396813410761851</v>
      </c>
      <c r="F22" s="641">
        <f>(1+F21)/(1+F23)</f>
        <v>1.0740780911062906</v>
      </c>
      <c r="G22" s="641">
        <f>(1+G21)/(1+G23)</f>
        <v>0.9119974069217508</v>
      </c>
      <c r="H22" s="621"/>
      <c r="I22" s="642" t="s">
        <v>106</v>
      </c>
      <c r="J22" s="640">
        <v>13.85</v>
      </c>
      <c r="K22" s="621"/>
      <c r="L22" s="621"/>
      <c r="M22" s="621"/>
      <c r="N22" s="621"/>
      <c r="O22" s="645"/>
      <c r="P22" s="646"/>
      <c r="Q22" s="171"/>
      <c r="R22" s="171"/>
      <c r="S22" s="171"/>
      <c r="T22" s="171"/>
      <c r="U22" s="171"/>
      <c r="V22" s="171"/>
      <c r="W22" s="171"/>
      <c r="X22" s="171"/>
      <c r="Y22" s="171"/>
      <c r="Z22" s="171"/>
      <c r="AA22" s="171"/>
      <c r="AB22" s="171"/>
      <c r="AC22" s="171"/>
    </row>
    <row r="23" spans="1:29" ht="12.75">
      <c r="A23" s="629"/>
      <c r="B23" s="613"/>
      <c r="C23" s="613" t="s">
        <v>878</v>
      </c>
      <c r="D23" s="613"/>
      <c r="E23" s="630">
        <f>(SALE!F36/SALE!D36)^(1/2)-1</f>
        <v>0.62175646231615622</v>
      </c>
      <c r="F23" s="630">
        <f>AVERAGE(18.9%,24.9%,25%)</f>
        <v>0.22933333333333331</v>
      </c>
      <c r="G23" s="595">
        <f>R21</f>
        <v>0.69682500000000003</v>
      </c>
      <c r="H23" s="594"/>
      <c r="I23" s="594"/>
      <c r="J23" s="594"/>
      <c r="K23" s="594"/>
      <c r="L23" s="594"/>
      <c r="M23" s="594"/>
      <c r="N23" s="594"/>
      <c r="O23" s="618"/>
      <c r="P23" s="486"/>
      <c r="Q23" s="596" t="s">
        <v>885</v>
      </c>
      <c r="R23" s="673">
        <f>SALE!G36</f>
        <v>31981295.96882499</v>
      </c>
      <c r="S23" s="175"/>
      <c r="T23" s="175"/>
      <c r="U23" s="175"/>
      <c r="V23" s="175"/>
      <c r="W23" s="175"/>
      <c r="X23" s="175"/>
      <c r="Y23" s="175"/>
      <c r="Z23" s="175"/>
      <c r="AA23" s="175"/>
      <c r="AB23" s="175"/>
      <c r="AC23" s="175"/>
    </row>
    <row r="24" spans="1:29" ht="12.75">
      <c r="A24" s="629"/>
      <c r="B24" s="613"/>
      <c r="C24" s="613" t="s">
        <v>877</v>
      </c>
      <c r="D24" s="613"/>
      <c r="E24" s="594"/>
      <c r="F24" s="594"/>
      <c r="G24" s="594"/>
      <c r="H24" s="594"/>
      <c r="I24" s="594"/>
      <c r="J24" s="594"/>
      <c r="K24" s="595">
        <f>$J$22*K21</f>
        <v>2.2989787017548915</v>
      </c>
      <c r="L24" s="595">
        <f>$J$22*L21</f>
        <v>1.8778452480490524</v>
      </c>
      <c r="M24" s="595">
        <f>$J$22*M21</f>
        <v>1.6467606220928002</v>
      </c>
      <c r="N24" s="595">
        <f>$J$22*N21</f>
        <v>1.5992064544650753</v>
      </c>
      <c r="O24" s="619">
        <f>$J$22*O21</f>
        <v>1.645332676209972</v>
      </c>
      <c r="P24" s="486"/>
      <c r="Q24" s="598" t="s">
        <v>883</v>
      </c>
      <c r="R24" s="602">
        <f>R9</f>
        <v>731854815</v>
      </c>
      <c r="S24" s="175"/>
      <c r="T24" s="175"/>
      <c r="U24" s="175"/>
      <c r="V24" s="175"/>
      <c r="W24" s="175"/>
      <c r="X24" s="175"/>
      <c r="Y24" s="175"/>
      <c r="Z24" s="175"/>
      <c r="AA24" s="175"/>
      <c r="AB24" s="175"/>
      <c r="AC24" s="175"/>
    </row>
    <row r="25" spans="1:29" ht="13.5" thickBot="1">
      <c r="A25" s="629"/>
      <c r="B25" s="613"/>
      <c r="C25" s="613" t="s">
        <v>874</v>
      </c>
      <c r="D25" s="613"/>
      <c r="E25" s="594"/>
      <c r="F25" s="594"/>
      <c r="G25" s="594"/>
      <c r="H25" s="594"/>
      <c r="I25" s="594"/>
      <c r="J25" s="638">
        <f>D22</f>
        <v>0.96690554524840111</v>
      </c>
      <c r="K25" s="594"/>
      <c r="L25" s="594"/>
      <c r="M25" s="594"/>
      <c r="N25" s="594"/>
      <c r="O25" s="618"/>
      <c r="P25" s="486"/>
      <c r="Q25" s="649" t="s">
        <v>89</v>
      </c>
      <c r="R25" s="674">
        <f>MEDIAN(K26:O26)</f>
        <v>1.5922619771982351</v>
      </c>
      <c r="S25" s="175"/>
      <c r="T25" s="175"/>
      <c r="U25" s="175"/>
      <c r="V25" s="175"/>
      <c r="W25" s="175"/>
      <c r="X25" s="175"/>
      <c r="Y25" s="175"/>
      <c r="Z25" s="175"/>
      <c r="AA25" s="175"/>
      <c r="AB25" s="175"/>
      <c r="AC25" s="175"/>
    </row>
    <row r="26" spans="1:29" s="335" customFormat="1" ht="13.5" thickBot="1">
      <c r="A26" s="625"/>
      <c r="B26" s="626"/>
      <c r="C26" s="626" t="s">
        <v>899</v>
      </c>
      <c r="D26" s="626"/>
      <c r="E26" s="626"/>
      <c r="F26" s="626"/>
      <c r="G26" s="626"/>
      <c r="H26" s="626"/>
      <c r="I26" s="626"/>
      <c r="J26" s="626"/>
      <c r="K26" s="622">
        <f>K24*$J$25</f>
        <v>2.2228952551347745</v>
      </c>
      <c r="L26" s="622">
        <f>L24*$J$25</f>
        <v>1.8156989834569881</v>
      </c>
      <c r="M26" s="622">
        <f>M24*$J$25</f>
        <v>1.5922619771982351</v>
      </c>
      <c r="N26" s="622">
        <f>N24*$J$25</f>
        <v>1.546281588819316</v>
      </c>
      <c r="O26" s="623">
        <f>O24*$J$25</f>
        <v>1.5908812884058141</v>
      </c>
      <c r="P26" s="646"/>
      <c r="Q26" s="650" t="s">
        <v>886</v>
      </c>
      <c r="R26" s="675">
        <f>R24*10^3/R23</f>
        <v>22883.838594702476</v>
      </c>
      <c r="S26" s="171"/>
      <c r="T26" s="171"/>
      <c r="U26" s="171"/>
      <c r="V26" s="171"/>
      <c r="W26" s="171"/>
      <c r="X26" s="171"/>
      <c r="Y26" s="171"/>
      <c r="Z26" s="171"/>
      <c r="AA26" s="171"/>
      <c r="AB26" s="171"/>
      <c r="AC26" s="171"/>
    </row>
    <row r="27" spans="1:29" ht="12.75">
      <c r="A27" s="175"/>
      <c r="B27" s="175"/>
      <c r="C27" s="175"/>
      <c r="D27" s="175"/>
      <c r="E27" s="486"/>
      <c r="F27" s="486"/>
      <c r="G27" s="486"/>
      <c r="H27" s="486"/>
      <c r="I27" s="486"/>
      <c r="J27" s="486"/>
      <c r="K27" s="486"/>
      <c r="L27" s="486"/>
      <c r="M27" s="486"/>
      <c r="N27" s="486"/>
      <c r="O27" s="486"/>
      <c r="P27" s="486"/>
      <c r="Q27" s="598" t="s">
        <v>143</v>
      </c>
      <c r="R27" s="628">
        <f>R25</f>
        <v>1.5922619771982351</v>
      </c>
      <c r="S27" s="175"/>
      <c r="T27" s="175"/>
      <c r="U27" s="175"/>
      <c r="V27" s="175"/>
      <c r="W27" s="175"/>
      <c r="X27" s="175"/>
      <c r="Y27" s="175"/>
      <c r="Z27" s="175"/>
      <c r="AA27" s="175"/>
      <c r="AB27" s="175"/>
      <c r="AC27" s="175"/>
    </row>
    <row r="28" spans="1:29" ht="13.5" customHeight="1" thickBot="1">
      <c r="A28" s="175"/>
      <c r="B28" s="486"/>
      <c r="C28" s="486"/>
      <c r="D28" s="486"/>
      <c r="E28" s="486"/>
      <c r="F28" s="486"/>
      <c r="G28" s="486"/>
      <c r="H28" s="486"/>
      <c r="I28" s="486"/>
      <c r="J28" s="486"/>
      <c r="K28" s="551"/>
      <c r="L28" s="551"/>
      <c r="M28" s="551"/>
      <c r="N28" s="551"/>
      <c r="O28" s="486"/>
      <c r="P28" s="486"/>
      <c r="Q28" s="651" t="s">
        <v>629</v>
      </c>
      <c r="R28" s="668">
        <f>R25*R26</f>
        <v>36437.066086686245</v>
      </c>
      <c r="S28" s="175"/>
      <c r="T28" s="175"/>
      <c r="U28" s="175"/>
      <c r="V28" s="175"/>
      <c r="W28" s="175"/>
      <c r="X28" s="175"/>
      <c r="Y28" s="175"/>
      <c r="Z28" s="175"/>
      <c r="AA28" s="175"/>
      <c r="AB28" s="175"/>
      <c r="AC28" s="175"/>
    </row>
    <row r="29" spans="1:29" ht="12.75">
      <c r="A29" s="175"/>
      <c r="B29" s="175"/>
      <c r="C29" s="569"/>
      <c r="D29" s="175"/>
      <c r="E29" s="486"/>
      <c r="F29" s="486"/>
      <c r="G29" s="486"/>
      <c r="H29" s="486"/>
      <c r="I29" s="486"/>
      <c r="J29" s="486"/>
      <c r="K29" s="563"/>
      <c r="L29" s="563"/>
      <c r="M29" s="563"/>
      <c r="N29" s="563"/>
      <c r="O29" s="486"/>
      <c r="P29" s="486"/>
      <c r="Q29" s="175"/>
      <c r="R29" s="175"/>
      <c r="S29" s="175"/>
      <c r="T29" s="175"/>
      <c r="U29" s="175"/>
      <c r="V29" s="175"/>
      <c r="W29" s="175"/>
      <c r="X29" s="175"/>
      <c r="Y29" s="175"/>
      <c r="Z29" s="175"/>
      <c r="AA29" s="175"/>
      <c r="AB29" s="175"/>
      <c r="AC29" s="175"/>
    </row>
    <row r="30" spans="1:29" ht="13.5" thickBot="1">
      <c r="A30" s="175"/>
      <c r="B30" s="175"/>
      <c r="C30" s="570"/>
      <c r="D30" s="570"/>
      <c r="E30" s="486"/>
      <c r="F30" s="486"/>
      <c r="G30" s="486"/>
      <c r="H30" s="486"/>
      <c r="I30" s="486"/>
      <c r="J30" s="486"/>
      <c r="K30" s="486"/>
      <c r="L30" s="486"/>
      <c r="M30" s="486"/>
      <c r="N30" s="486"/>
      <c r="O30" s="486"/>
      <c r="P30" s="486"/>
      <c r="Q30" s="175"/>
      <c r="R30" s="175"/>
      <c r="S30" s="175"/>
      <c r="T30" s="175"/>
      <c r="U30" s="175"/>
      <c r="V30" s="175"/>
      <c r="W30" s="175"/>
      <c r="X30" s="175"/>
      <c r="Y30" s="175"/>
      <c r="Z30" s="175"/>
      <c r="AA30" s="175"/>
      <c r="AB30" s="175"/>
      <c r="AC30" s="175"/>
    </row>
    <row r="31" spans="1:29" s="660" customFormat="1" ht="25.5">
      <c r="A31" s="655" t="s">
        <v>145</v>
      </c>
      <c r="B31" s="656" t="s">
        <v>72</v>
      </c>
      <c r="C31" s="656" t="s">
        <v>73</v>
      </c>
      <c r="D31" s="656" t="s">
        <v>876</v>
      </c>
      <c r="E31" s="657" t="s">
        <v>75</v>
      </c>
      <c r="F31" s="658" t="s">
        <v>115</v>
      </c>
      <c r="G31" s="658" t="s">
        <v>78</v>
      </c>
      <c r="H31" s="658" t="s">
        <v>79</v>
      </c>
      <c r="I31" s="658" t="s">
        <v>116</v>
      </c>
      <c r="J31" s="658" t="s">
        <v>146</v>
      </c>
      <c r="K31" s="658" t="s">
        <v>117</v>
      </c>
      <c r="L31" s="658" t="s">
        <v>118</v>
      </c>
      <c r="M31" s="658" t="s">
        <v>119</v>
      </c>
      <c r="N31" s="658" t="s">
        <v>120</v>
      </c>
      <c r="O31" s="659" t="s">
        <v>121</v>
      </c>
      <c r="P31" s="646"/>
      <c r="Q31" s="664" t="s">
        <v>885</v>
      </c>
      <c r="R31" s="665">
        <f>SALE!G52</f>
        <v>152966854.41872773</v>
      </c>
      <c r="S31" s="646"/>
      <c r="T31" s="646"/>
      <c r="U31" s="646"/>
      <c r="V31" s="646"/>
      <c r="W31" s="646"/>
      <c r="X31" s="646"/>
      <c r="Y31" s="646"/>
      <c r="Z31" s="646"/>
      <c r="AA31" s="646"/>
      <c r="AB31" s="646"/>
      <c r="AC31" s="646"/>
    </row>
    <row r="32" spans="1:29" ht="12.75">
      <c r="A32" s="652">
        <v>1</v>
      </c>
      <c r="B32" s="572" t="s">
        <v>147</v>
      </c>
      <c r="C32" s="572" t="s">
        <v>148</v>
      </c>
      <c r="D32" s="571" t="s">
        <v>97</v>
      </c>
      <c r="E32" s="573">
        <v>0.16270000000000001</v>
      </c>
      <c r="F32" s="573">
        <v>0.36730000000000002</v>
      </c>
      <c r="G32" s="571">
        <v>-0.48</v>
      </c>
      <c r="H32" s="571">
        <v>13.92</v>
      </c>
      <c r="I32" s="559">
        <v>0.64</v>
      </c>
      <c r="J32" s="574">
        <f>I32/H32</f>
        <v>4.5977011494252873E-2</v>
      </c>
      <c r="K32" s="559">
        <v>2.4500000000000002</v>
      </c>
      <c r="L32" s="559">
        <v>1.71</v>
      </c>
      <c r="M32" s="559">
        <v>0.74</v>
      </c>
      <c r="N32" s="559">
        <v>2.36</v>
      </c>
      <c r="O32" s="615">
        <v>1.05</v>
      </c>
      <c r="P32" s="486"/>
      <c r="Q32" s="598" t="s">
        <v>883</v>
      </c>
      <c r="R32" s="602">
        <f>R9</f>
        <v>731854815</v>
      </c>
      <c r="S32" s="175"/>
      <c r="T32" s="175"/>
      <c r="U32" s="175"/>
      <c r="V32" s="175"/>
      <c r="W32" s="175"/>
      <c r="X32" s="175"/>
      <c r="Y32" s="175"/>
      <c r="Z32" s="175"/>
      <c r="AA32" s="175"/>
      <c r="AB32" s="175"/>
      <c r="AC32" s="175"/>
    </row>
    <row r="33" spans="1:29" ht="12.75">
      <c r="A33" s="627">
        <v>2</v>
      </c>
      <c r="B33" s="555" t="s">
        <v>149</v>
      </c>
      <c r="C33" s="555" t="s">
        <v>150</v>
      </c>
      <c r="D33" s="553" t="s">
        <v>151</v>
      </c>
      <c r="E33" s="556">
        <v>-5.5999999999999999E-3</v>
      </c>
      <c r="F33" s="556">
        <v>0.2253</v>
      </c>
      <c r="G33" s="553">
        <v>0.5</v>
      </c>
      <c r="H33" s="553">
        <v>22.49</v>
      </c>
      <c r="I33" s="558">
        <v>0.53</v>
      </c>
      <c r="J33" s="568">
        <f>I33/H33</f>
        <v>2.356602934637617E-2</v>
      </c>
      <c r="K33" s="558">
        <v>1.1599999999999999</v>
      </c>
      <c r="L33" s="558">
        <v>0.84</v>
      </c>
      <c r="M33" s="558">
        <v>0.77</v>
      </c>
      <c r="N33" s="558">
        <v>0.68</v>
      </c>
      <c r="O33" s="616">
        <v>0.65</v>
      </c>
      <c r="P33" s="486"/>
      <c r="Q33" s="598" t="s">
        <v>886</v>
      </c>
      <c r="R33" s="676">
        <f>R32*1000/R31</f>
        <v>4784.4012860239545</v>
      </c>
      <c r="S33" s="175"/>
      <c r="T33" s="175"/>
      <c r="U33" s="175"/>
      <c r="V33" s="175"/>
      <c r="W33" s="175"/>
      <c r="X33" s="175"/>
      <c r="Y33" s="175"/>
      <c r="Z33" s="175"/>
      <c r="AA33" s="175"/>
      <c r="AB33" s="175"/>
      <c r="AC33" s="175"/>
    </row>
    <row r="34" spans="1:29" ht="12.75">
      <c r="A34" s="627">
        <v>3</v>
      </c>
      <c r="B34" s="555" t="s">
        <v>152</v>
      </c>
      <c r="C34" s="555" t="s">
        <v>153</v>
      </c>
      <c r="D34" s="553" t="s">
        <v>97</v>
      </c>
      <c r="E34" s="556">
        <v>7.7100000000000002E-2</v>
      </c>
      <c r="F34" s="556">
        <v>0.44190000000000002</v>
      </c>
      <c r="G34" s="553">
        <v>0.62</v>
      </c>
      <c r="H34" s="553">
        <v>13.92</v>
      </c>
      <c r="I34" s="575">
        <v>2.7926000000000002</v>
      </c>
      <c r="J34" s="568">
        <f>I34/H34</f>
        <v>0.20061781609195403</v>
      </c>
      <c r="K34" s="575">
        <v>3.1309999999999998</v>
      </c>
      <c r="L34" s="575">
        <v>2.7490000000000001</v>
      </c>
      <c r="M34" s="575">
        <v>2.8980000000000001</v>
      </c>
      <c r="N34" s="575">
        <v>2.4820000000000002</v>
      </c>
      <c r="O34" s="653">
        <v>2.16</v>
      </c>
      <c r="P34" s="486"/>
      <c r="Q34" s="598" t="s">
        <v>154</v>
      </c>
      <c r="R34" s="628">
        <f>MEDIAN(K42:O42)</f>
        <v>1.0350617656868828</v>
      </c>
      <c r="S34" s="175"/>
      <c r="T34" s="175"/>
      <c r="U34" s="175"/>
      <c r="V34" s="175"/>
      <c r="W34" s="175"/>
      <c r="X34" s="175"/>
      <c r="Y34" s="175"/>
      <c r="Z34" s="175"/>
      <c r="AA34" s="175"/>
      <c r="AB34" s="175"/>
      <c r="AC34" s="175"/>
    </row>
    <row r="35" spans="1:29" ht="12.75">
      <c r="A35" s="627">
        <v>4</v>
      </c>
      <c r="B35" s="567" t="s">
        <v>155</v>
      </c>
      <c r="C35" s="555" t="s">
        <v>156</v>
      </c>
      <c r="D35" s="553" t="s">
        <v>157</v>
      </c>
      <c r="E35" s="576">
        <v>0.1</v>
      </c>
      <c r="F35" s="556">
        <v>0.1852</v>
      </c>
      <c r="G35" s="553">
        <v>1.1399999999999999</v>
      </c>
      <c r="H35" s="553">
        <v>12.34</v>
      </c>
      <c r="I35" s="558">
        <v>1.45</v>
      </c>
      <c r="J35" s="568">
        <f>I35/H35</f>
        <v>0.11750405186385737</v>
      </c>
      <c r="K35" s="558">
        <v>1.99</v>
      </c>
      <c r="L35" s="558">
        <v>1.73</v>
      </c>
      <c r="M35" s="558">
        <v>1.69</v>
      </c>
      <c r="N35" s="558">
        <v>1.37</v>
      </c>
      <c r="O35" s="616">
        <v>1.49</v>
      </c>
      <c r="P35" s="486"/>
      <c r="Q35" s="598" t="s">
        <v>143</v>
      </c>
      <c r="R35" s="628">
        <f>R34</f>
        <v>1.0350617656868828</v>
      </c>
      <c r="S35" s="175"/>
      <c r="T35" s="175"/>
      <c r="U35" s="175"/>
      <c r="V35" s="175"/>
      <c r="W35" s="175"/>
      <c r="X35" s="175"/>
      <c r="Y35" s="175"/>
      <c r="Z35" s="175"/>
      <c r="AA35" s="175"/>
      <c r="AB35" s="175"/>
      <c r="AC35" s="175"/>
    </row>
    <row r="36" spans="1:29" ht="12.75">
      <c r="A36" s="627">
        <v>5</v>
      </c>
      <c r="B36" s="555" t="s">
        <v>158</v>
      </c>
      <c r="C36" s="555" t="s">
        <v>159</v>
      </c>
      <c r="D36" s="553" t="s">
        <v>157</v>
      </c>
      <c r="E36" s="562">
        <v>0.14000000000000001</v>
      </c>
      <c r="F36" s="556">
        <v>6.4899999999999999E-2</v>
      </c>
      <c r="G36" s="553">
        <v>1.05</v>
      </c>
      <c r="H36" s="553">
        <v>12.34</v>
      </c>
      <c r="I36" s="553">
        <v>0.11</v>
      </c>
      <c r="J36" s="568">
        <f>I36/H36</f>
        <v>8.9141004862236632E-3</v>
      </c>
      <c r="K36" s="558">
        <v>0.19</v>
      </c>
      <c r="L36" s="577">
        <v>0.14000000000000001</v>
      </c>
      <c r="M36" s="558">
        <v>0.13</v>
      </c>
      <c r="N36" s="577">
        <v>0.12</v>
      </c>
      <c r="O36" s="616">
        <v>0.11</v>
      </c>
      <c r="P36" s="486"/>
      <c r="Q36" s="598" t="s">
        <v>629</v>
      </c>
      <c r="R36" s="602">
        <f>R33*R34</f>
        <v>4952.1508428665475</v>
      </c>
      <c r="S36" s="175"/>
      <c r="T36" s="175"/>
      <c r="U36" s="175"/>
      <c r="V36" s="175"/>
      <c r="W36" s="175"/>
      <c r="X36" s="175"/>
      <c r="Y36" s="175"/>
      <c r="Z36" s="175"/>
      <c r="AA36" s="175"/>
      <c r="AB36" s="175"/>
      <c r="AC36" s="175"/>
    </row>
    <row r="37" spans="1:29" ht="13.5" thickBot="1">
      <c r="A37" s="637"/>
      <c r="B37" s="588"/>
      <c r="C37" s="588" t="s">
        <v>871</v>
      </c>
      <c r="D37" s="588"/>
      <c r="E37" s="590">
        <f>AVERAGE(E32:E36)</f>
        <v>9.4840000000000008E-2</v>
      </c>
      <c r="F37" s="590">
        <f>AVERAGE(F32:F36)</f>
        <v>0.25691999999999998</v>
      </c>
      <c r="G37" s="592">
        <f>AVERAGE(G32:G36)</f>
        <v>0.56600000000000006</v>
      </c>
      <c r="H37" s="592"/>
      <c r="I37" s="592"/>
      <c r="J37" s="593">
        <f>AVERAGE(J32:J36)</f>
        <v>7.9315801856532822E-2</v>
      </c>
      <c r="K37" s="593">
        <f>AVERAGE(K32/$H$32,K33/$H$33,K34/$H$34,K35/$H$35,K36/$H$36)</f>
        <v>0.12583473031032891</v>
      </c>
      <c r="L37" s="593">
        <f>AVERAGE(L32/$H$32,L33/$H$33,L34/$H$34,L35/$H$35,L36/$H$36)</f>
        <v>0.10184402026792157</v>
      </c>
      <c r="M37" s="593">
        <f>AVERAGE(M32/$H$32,M33/$H$33,M34/$H$34,M35/$H$35,M36/$H$36)</f>
        <v>8.8615171596557588E-2</v>
      </c>
      <c r="N37" s="593">
        <f>AVERAGE(N32/$H$32,N33/$H$33,N34/$H$34,N35/$H$35,N36/$H$36)</f>
        <v>9.9765206165885509E-2</v>
      </c>
      <c r="O37" s="617">
        <f>AVERAGE(O32/$H$32,O33/$H$33,O34/$H$34,O35/$H$35,O36/$H$36)</f>
        <v>7.7832965163177767E-2</v>
      </c>
      <c r="P37" s="486"/>
      <c r="Q37" s="629"/>
      <c r="R37" s="618"/>
      <c r="S37" s="175"/>
      <c r="T37" s="175"/>
      <c r="U37" s="175"/>
      <c r="V37" s="175"/>
      <c r="W37" s="175"/>
      <c r="X37" s="175"/>
      <c r="Y37" s="175"/>
      <c r="Z37" s="175"/>
      <c r="AA37" s="175"/>
      <c r="AB37" s="175"/>
      <c r="AC37" s="175"/>
    </row>
    <row r="38" spans="1:29" s="335" customFormat="1" ht="13.5" thickBot="1">
      <c r="A38" s="620"/>
      <c r="B38" s="170"/>
      <c r="C38" s="170" t="s">
        <v>872</v>
      </c>
      <c r="D38" s="662">
        <f>(PRODUCT(E38:F38)^(1/2))/PRODUCT(G38)</f>
        <v>0.74909584579390942</v>
      </c>
      <c r="E38" s="641">
        <f>(1+E37)/(1+E39)</f>
        <v>1.09484</v>
      </c>
      <c r="F38" s="641">
        <f>(1+F37)/(1+F39)</f>
        <v>1.25692</v>
      </c>
      <c r="G38" s="641">
        <f>(1+G37)/(1+G39)</f>
        <v>1.5660000000000001</v>
      </c>
      <c r="H38" s="621"/>
      <c r="I38" s="642" t="s">
        <v>106</v>
      </c>
      <c r="J38" s="661">
        <v>13.85</v>
      </c>
      <c r="K38" s="621"/>
      <c r="L38" s="621"/>
      <c r="M38" s="621"/>
      <c r="N38" s="621"/>
      <c r="O38" s="645"/>
      <c r="P38" s="646"/>
      <c r="Q38" s="604" t="s">
        <v>887</v>
      </c>
      <c r="R38" s="677">
        <f>R36+R28+R11</f>
        <v>220128.78114295076</v>
      </c>
      <c r="S38" s="171"/>
      <c r="T38" s="171"/>
      <c r="U38" s="171"/>
      <c r="V38" s="171"/>
      <c r="W38" s="171"/>
      <c r="X38" s="171"/>
      <c r="Y38" s="171"/>
      <c r="Z38" s="171"/>
      <c r="AA38" s="171"/>
      <c r="AB38" s="171"/>
      <c r="AC38" s="171"/>
    </row>
    <row r="39" spans="1:29" ht="12.75">
      <c r="A39" s="629"/>
      <c r="B39" s="613"/>
      <c r="C39" s="613" t="s">
        <v>879</v>
      </c>
      <c r="D39" s="613"/>
      <c r="E39" s="654">
        <v>0</v>
      </c>
      <c r="F39" s="654">
        <v>0</v>
      </c>
      <c r="G39" s="654">
        <v>0</v>
      </c>
      <c r="H39" s="594"/>
      <c r="I39" s="594"/>
      <c r="J39" s="594"/>
      <c r="K39" s="594"/>
      <c r="L39" s="594"/>
      <c r="M39" s="594"/>
      <c r="N39" s="594"/>
      <c r="O39" s="618"/>
      <c r="P39" s="486"/>
      <c r="Q39" s="175"/>
      <c r="R39" s="175"/>
      <c r="S39" s="175"/>
      <c r="T39" s="175"/>
      <c r="U39" s="175"/>
      <c r="V39" s="175"/>
      <c r="W39" s="175"/>
      <c r="X39" s="175"/>
      <c r="Y39" s="175"/>
      <c r="Z39" s="175"/>
      <c r="AA39" s="175"/>
      <c r="AB39" s="175"/>
      <c r="AC39" s="175"/>
    </row>
    <row r="40" spans="1:29" ht="12.75">
      <c r="A40" s="629"/>
      <c r="B40" s="613"/>
      <c r="C40" s="613" t="s">
        <v>877</v>
      </c>
      <c r="D40" s="613"/>
      <c r="E40" s="594"/>
      <c r="F40" s="594"/>
      <c r="G40" s="594"/>
      <c r="H40" s="594"/>
      <c r="I40" s="594"/>
      <c r="J40" s="594"/>
      <c r="K40" s="595">
        <f>$J$38*K37</f>
        <v>1.7428110147980553</v>
      </c>
      <c r="L40" s="595">
        <f>$J$38*L37</f>
        <v>1.4105396807107136</v>
      </c>
      <c r="M40" s="595">
        <f>$J$38*M37</f>
        <v>1.2273201266123226</v>
      </c>
      <c r="N40" s="595">
        <f>$J$38*N37</f>
        <v>1.3817481053975142</v>
      </c>
      <c r="O40" s="619">
        <f>$J$38*O37</f>
        <v>1.077986567510012</v>
      </c>
      <c r="P40" s="486"/>
      <c r="Q40" s="175"/>
      <c r="R40" s="175"/>
      <c r="S40" s="175"/>
      <c r="T40" s="175"/>
      <c r="U40" s="175"/>
      <c r="V40" s="175"/>
      <c r="W40" s="175"/>
      <c r="X40" s="175"/>
      <c r="Y40" s="175"/>
      <c r="Z40" s="175"/>
      <c r="AA40" s="175"/>
      <c r="AB40" s="175"/>
      <c r="AC40" s="175"/>
    </row>
    <row r="41" spans="1:29" ht="13.5" thickBot="1">
      <c r="A41" s="629"/>
      <c r="B41" s="613"/>
      <c r="C41" s="613" t="s">
        <v>874</v>
      </c>
      <c r="D41" s="613"/>
      <c r="E41" s="594"/>
      <c r="F41" s="594"/>
      <c r="G41" s="594"/>
      <c r="H41" s="594"/>
      <c r="I41" s="594"/>
      <c r="J41" s="663">
        <f>D38</f>
        <v>0.74909584579390942</v>
      </c>
      <c r="K41" s="594"/>
      <c r="L41" s="594"/>
      <c r="M41" s="594"/>
      <c r="N41" s="594"/>
      <c r="O41" s="618"/>
      <c r="P41" s="486"/>
      <c r="Q41" s="175"/>
      <c r="R41" s="175"/>
      <c r="S41" s="175"/>
      <c r="T41" s="175"/>
      <c r="U41" s="175"/>
      <c r="V41" s="175"/>
      <c r="W41" s="175"/>
      <c r="X41" s="175"/>
      <c r="Y41" s="175"/>
      <c r="Z41" s="175"/>
      <c r="AA41" s="175"/>
      <c r="AB41" s="175"/>
      <c r="AC41" s="175"/>
    </row>
    <row r="42" spans="1:29" s="335" customFormat="1" ht="13.5" thickBot="1">
      <c r="A42" s="620"/>
      <c r="B42" s="170"/>
      <c r="C42" s="626" t="s">
        <v>875</v>
      </c>
      <c r="D42" s="626"/>
      <c r="E42" s="626"/>
      <c r="F42" s="626"/>
      <c r="G42" s="626"/>
      <c r="H42" s="626"/>
      <c r="I42" s="626"/>
      <c r="J42" s="626"/>
      <c r="K42" s="622">
        <f>K40*$J$41</f>
        <v>1.3055324911890909</v>
      </c>
      <c r="L42" s="622">
        <f>L40*$J$41</f>
        <v>1.056629415147863</v>
      </c>
      <c r="M42" s="622">
        <f>M40*$J$41</f>
        <v>0.91938040830454582</v>
      </c>
      <c r="N42" s="622">
        <f>N40*$J$41</f>
        <v>1.0350617656868828</v>
      </c>
      <c r="O42" s="623">
        <f>O40*$J$41</f>
        <v>0.80751525954338566</v>
      </c>
      <c r="P42" s="646"/>
      <c r="Q42" s="171"/>
      <c r="R42" s="171"/>
      <c r="S42" s="171"/>
      <c r="T42" s="171"/>
      <c r="U42" s="171"/>
      <c r="V42" s="171"/>
      <c r="W42" s="171"/>
      <c r="X42" s="171"/>
      <c r="Y42" s="171"/>
      <c r="Z42" s="171"/>
      <c r="AA42" s="171"/>
      <c r="AB42" s="171"/>
      <c r="AC42" s="171"/>
    </row>
    <row r="43" spans="1:29" ht="12.75">
      <c r="A43" s="175"/>
      <c r="B43" s="175"/>
      <c r="C43" s="175"/>
      <c r="D43" s="175"/>
      <c r="E43" s="486"/>
      <c r="F43" s="486"/>
      <c r="G43" s="486"/>
      <c r="H43" s="486"/>
      <c r="I43" s="486"/>
      <c r="J43" s="486"/>
      <c r="K43" s="486"/>
      <c r="L43" s="486"/>
      <c r="M43" s="486"/>
      <c r="N43" s="486"/>
      <c r="O43" s="486"/>
      <c r="P43" s="486"/>
      <c r="Q43" s="175"/>
      <c r="R43" s="175"/>
      <c r="S43" s="175"/>
      <c r="T43" s="175"/>
      <c r="U43" s="175"/>
      <c r="V43" s="175"/>
      <c r="W43" s="175"/>
      <c r="X43" s="175"/>
      <c r="Y43" s="175"/>
      <c r="Z43" s="175"/>
      <c r="AA43" s="175"/>
      <c r="AB43" s="175"/>
      <c r="AC43" s="175"/>
    </row>
    <row r="44" spans="1:29" ht="12.75">
      <c r="A44" s="175"/>
      <c r="B44" s="175"/>
      <c r="C44" s="486"/>
      <c r="D44" s="486"/>
      <c r="E44" s="486"/>
      <c r="F44" s="486"/>
      <c r="G44" s="486"/>
      <c r="H44" s="486"/>
      <c r="I44" s="486"/>
      <c r="J44" s="486"/>
      <c r="K44" s="486"/>
      <c r="L44" s="563"/>
      <c r="M44" s="563"/>
      <c r="N44" s="563"/>
      <c r="O44" s="563"/>
      <c r="P44" s="486"/>
      <c r="Q44" s="175"/>
      <c r="R44" s="175"/>
      <c r="S44" s="175"/>
      <c r="T44" s="175"/>
      <c r="U44" s="175"/>
      <c r="V44" s="175"/>
      <c r="W44" s="175"/>
      <c r="X44" s="175"/>
      <c r="Y44" s="175"/>
      <c r="Z44" s="175"/>
      <c r="AA44" s="175"/>
      <c r="AB44" s="175"/>
      <c r="AC44" s="175"/>
    </row>
    <row r="45" spans="1:29" ht="12.75">
      <c r="A45" s="175"/>
      <c r="B45" s="175"/>
      <c r="C45" s="486"/>
      <c r="D45" s="486"/>
      <c r="E45" s="486"/>
      <c r="F45" s="486"/>
      <c r="G45" s="486"/>
      <c r="H45" s="486"/>
      <c r="I45" s="486"/>
      <c r="J45" s="486"/>
      <c r="K45" s="486"/>
      <c r="L45" s="551"/>
      <c r="M45" s="551"/>
      <c r="N45" s="551"/>
      <c r="O45" s="551"/>
      <c r="P45" s="486"/>
      <c r="Q45" s="175"/>
      <c r="R45" s="175"/>
      <c r="S45" s="175"/>
      <c r="T45" s="175"/>
      <c r="U45" s="175"/>
      <c r="V45" s="175"/>
      <c r="W45" s="175"/>
      <c r="X45" s="175"/>
      <c r="Y45" s="175"/>
      <c r="Z45" s="175"/>
      <c r="AA45" s="175"/>
      <c r="AB45" s="175"/>
      <c r="AC45" s="175"/>
    </row>
    <row r="46" spans="1:29" ht="12.75">
      <c r="A46" s="563"/>
      <c r="B46" s="330"/>
      <c r="C46" s="330"/>
      <c r="D46" s="578"/>
      <c r="E46" s="486"/>
      <c r="F46" s="486"/>
      <c r="G46" s="486"/>
      <c r="H46" s="486"/>
      <c r="I46" s="486"/>
      <c r="J46" s="486"/>
      <c r="K46" s="486"/>
      <c r="L46" s="563"/>
      <c r="M46" s="563"/>
      <c r="N46" s="563"/>
      <c r="O46" s="563"/>
      <c r="P46" s="486"/>
      <c r="Q46" s="175"/>
      <c r="R46" s="175"/>
      <c r="S46" s="175"/>
      <c r="T46" s="175"/>
      <c r="U46" s="175"/>
      <c r="V46" s="175"/>
      <c r="W46" s="175"/>
      <c r="X46" s="175"/>
      <c r="Y46" s="175"/>
      <c r="Z46" s="175"/>
      <c r="AA46" s="175"/>
      <c r="AB46" s="175"/>
      <c r="AC46" s="175"/>
    </row>
    <row r="47" spans="1:29" ht="12.75">
      <c r="A47" s="563"/>
      <c r="B47" s="330"/>
      <c r="C47" s="330"/>
      <c r="D47" s="563"/>
      <c r="E47" s="486"/>
      <c r="F47" s="486"/>
      <c r="G47" s="486"/>
      <c r="H47" s="486"/>
      <c r="I47" s="486"/>
      <c r="J47" s="486"/>
      <c r="K47" s="486"/>
      <c r="L47" s="486"/>
      <c r="M47" s="486"/>
      <c r="N47" s="486"/>
      <c r="O47" s="486"/>
      <c r="P47" s="486"/>
      <c r="Q47" s="175"/>
      <c r="R47" s="175"/>
      <c r="S47" s="175"/>
      <c r="T47" s="175"/>
      <c r="U47" s="175"/>
      <c r="V47" s="175"/>
      <c r="W47" s="175"/>
      <c r="X47" s="175"/>
      <c r="Y47" s="175"/>
      <c r="Z47" s="175"/>
      <c r="AA47" s="175"/>
      <c r="AB47" s="175"/>
      <c r="AC47" s="175"/>
    </row>
    <row r="48" spans="1:29" ht="12.75">
      <c r="A48" s="563"/>
      <c r="B48" s="330"/>
      <c r="C48" s="330"/>
      <c r="D48" s="563"/>
      <c r="E48" s="175"/>
      <c r="F48" s="175"/>
      <c r="G48" s="175"/>
      <c r="H48" s="175"/>
      <c r="I48" s="175"/>
      <c r="J48" s="175"/>
      <c r="K48" s="175"/>
      <c r="L48" s="175"/>
      <c r="M48" s="175"/>
      <c r="N48" s="175"/>
      <c r="O48" s="175"/>
      <c r="P48" s="175"/>
      <c r="Q48" s="175"/>
      <c r="R48" s="175"/>
      <c r="S48" s="175"/>
      <c r="T48" s="175"/>
      <c r="U48" s="175"/>
      <c r="V48" s="175"/>
      <c r="W48" s="175"/>
      <c r="X48" s="175"/>
      <c r="Y48" s="175"/>
      <c r="Z48" s="175"/>
      <c r="AA48" s="175"/>
      <c r="AB48" s="175"/>
      <c r="AC48" s="175"/>
    </row>
    <row r="49" spans="1:29" ht="12.75">
      <c r="A49" s="563"/>
      <c r="B49" s="330"/>
      <c r="C49" s="330"/>
      <c r="D49" s="563"/>
      <c r="E49" s="175"/>
      <c r="F49" s="175"/>
      <c r="G49" s="175"/>
      <c r="H49" s="175"/>
      <c r="I49" s="175"/>
      <c r="J49" s="175"/>
      <c r="K49" s="175"/>
      <c r="L49" s="175"/>
      <c r="M49" s="175"/>
      <c r="N49" s="175"/>
      <c r="O49" s="175"/>
      <c r="P49" s="175"/>
      <c r="Q49" s="175"/>
      <c r="R49" s="175"/>
      <c r="S49" s="175"/>
      <c r="T49" s="175"/>
      <c r="U49" s="175"/>
      <c r="V49" s="175"/>
      <c r="W49" s="175"/>
      <c r="X49" s="175"/>
      <c r="Y49" s="175"/>
      <c r="Z49" s="175"/>
      <c r="AA49" s="175"/>
      <c r="AB49" s="175"/>
      <c r="AC49" s="175"/>
    </row>
    <row r="50" spans="1:29" ht="12.75">
      <c r="A50" s="563"/>
      <c r="B50" s="330"/>
      <c r="C50" s="330"/>
      <c r="D50" s="563"/>
      <c r="E50" s="175"/>
      <c r="F50" s="175"/>
      <c r="G50" s="175"/>
      <c r="H50" s="175"/>
      <c r="I50" s="175"/>
      <c r="J50" s="175"/>
      <c r="K50" s="175"/>
      <c r="L50" s="175"/>
      <c r="M50" s="175"/>
      <c r="N50" s="175"/>
      <c r="O50" s="175"/>
      <c r="P50" s="175"/>
      <c r="Q50" s="175"/>
      <c r="R50" s="175"/>
      <c r="S50" s="175"/>
      <c r="T50" s="175"/>
      <c r="U50" s="175"/>
      <c r="V50" s="175"/>
      <c r="W50" s="175"/>
      <c r="X50" s="175"/>
      <c r="Y50" s="175"/>
      <c r="Z50" s="175"/>
      <c r="AA50" s="175"/>
      <c r="AB50" s="175"/>
      <c r="AC50" s="175"/>
    </row>
    <row r="51" spans="1:29" ht="12.75">
      <c r="A51" s="563"/>
      <c r="B51" s="330"/>
      <c r="C51" s="330"/>
      <c r="D51" s="563"/>
      <c r="E51" s="175"/>
      <c r="F51" s="175"/>
      <c r="G51" s="175"/>
      <c r="H51" s="175"/>
      <c r="I51" s="175"/>
      <c r="J51" s="175"/>
      <c r="K51" s="175"/>
      <c r="L51" s="175"/>
      <c r="M51" s="175"/>
      <c r="N51" s="175"/>
      <c r="O51" s="175"/>
      <c r="P51" s="175"/>
      <c r="Q51" s="175"/>
      <c r="R51" s="175"/>
      <c r="S51" s="175"/>
      <c r="T51" s="175"/>
      <c r="U51" s="175"/>
      <c r="V51" s="175"/>
      <c r="W51" s="175"/>
      <c r="X51" s="175"/>
      <c r="Y51" s="175"/>
      <c r="Z51" s="175"/>
      <c r="AA51" s="175"/>
      <c r="AB51" s="175"/>
      <c r="AC51" s="175"/>
    </row>
    <row r="52" spans="1:29" ht="12.75">
      <c r="A52" s="563"/>
      <c r="B52" s="330"/>
      <c r="C52" s="330"/>
      <c r="D52" s="563"/>
      <c r="E52" s="175"/>
      <c r="F52" s="175"/>
      <c r="G52" s="175"/>
      <c r="H52" s="175"/>
      <c r="I52" s="175"/>
      <c r="J52" s="175"/>
      <c r="K52" s="175"/>
      <c r="L52" s="175"/>
      <c r="M52" s="175"/>
      <c r="N52" s="175"/>
      <c r="O52" s="175"/>
      <c r="P52" s="175"/>
      <c r="Q52" s="175"/>
      <c r="R52" s="175"/>
      <c r="S52" s="175"/>
      <c r="T52" s="175"/>
      <c r="U52" s="175"/>
      <c r="V52" s="175"/>
      <c r="W52" s="175"/>
      <c r="X52" s="175"/>
      <c r="Y52" s="175"/>
      <c r="Z52" s="175"/>
      <c r="AA52" s="175"/>
      <c r="AB52" s="175"/>
      <c r="AC52" s="175"/>
    </row>
    <row r="53" spans="1:29" ht="12.75">
      <c r="A53" s="175"/>
      <c r="B53" s="175"/>
      <c r="C53" s="175"/>
      <c r="D53" s="175"/>
      <c r="E53" s="175"/>
      <c r="F53" s="175"/>
      <c r="G53" s="175"/>
      <c r="H53" s="175"/>
      <c r="I53" s="175"/>
      <c r="J53" s="175"/>
      <c r="K53" s="175"/>
      <c r="L53" s="175"/>
      <c r="M53" s="175"/>
      <c r="N53" s="175"/>
      <c r="O53" s="175"/>
      <c r="P53" s="175"/>
      <c r="Q53" s="175"/>
      <c r="R53" s="175"/>
      <c r="S53" s="175"/>
      <c r="T53" s="175"/>
      <c r="U53" s="175"/>
      <c r="V53" s="175"/>
      <c r="W53" s="175"/>
      <c r="X53" s="175"/>
      <c r="Y53" s="175"/>
      <c r="Z53" s="175"/>
      <c r="AA53" s="175"/>
      <c r="AB53" s="175"/>
      <c r="AC53" s="175"/>
    </row>
    <row r="54" spans="1:29" ht="12.75">
      <c r="A54" s="175"/>
      <c r="B54" s="175"/>
      <c r="C54" s="175"/>
      <c r="D54" s="175"/>
      <c r="E54" s="175"/>
      <c r="F54" s="175"/>
      <c r="G54" s="175"/>
      <c r="H54" s="175"/>
      <c r="I54" s="175"/>
      <c r="J54" s="175"/>
      <c r="K54" s="175"/>
      <c r="L54" s="175"/>
      <c r="M54" s="175"/>
      <c r="N54" s="175"/>
      <c r="O54" s="175"/>
      <c r="P54" s="175"/>
      <c r="Q54" s="175"/>
      <c r="R54" s="175"/>
      <c r="S54" s="175"/>
      <c r="T54" s="175"/>
      <c r="U54" s="175"/>
      <c r="V54" s="175"/>
      <c r="W54" s="175"/>
      <c r="X54" s="175"/>
      <c r="Y54" s="175"/>
      <c r="Z54" s="175"/>
      <c r="AA54" s="175"/>
      <c r="AB54" s="175"/>
      <c r="AC54" s="175"/>
    </row>
    <row r="55" spans="1:29" ht="12.75">
      <c r="A55" s="175"/>
      <c r="B55" s="175"/>
      <c r="C55" s="175"/>
      <c r="D55" s="175"/>
      <c r="E55" s="175"/>
      <c r="F55" s="175"/>
      <c r="G55" s="175"/>
      <c r="H55" s="175"/>
      <c r="I55" s="175"/>
      <c r="J55" s="175"/>
      <c r="K55" s="175"/>
      <c r="L55" s="175"/>
      <c r="M55" s="175"/>
      <c r="N55" s="175"/>
      <c r="O55" s="175"/>
      <c r="P55" s="175"/>
      <c r="Q55" s="175"/>
      <c r="R55" s="175"/>
      <c r="S55" s="175"/>
      <c r="T55" s="175"/>
      <c r="U55" s="175"/>
      <c r="V55" s="175"/>
      <c r="W55" s="175"/>
      <c r="X55" s="175"/>
      <c r="Y55" s="175"/>
      <c r="Z55" s="175"/>
      <c r="AA55" s="175"/>
      <c r="AB55" s="175"/>
      <c r="AC55" s="175"/>
    </row>
    <row r="56" spans="1:29" ht="12.75">
      <c r="A56" s="175"/>
      <c r="B56" s="175"/>
      <c r="C56" s="175"/>
      <c r="D56" s="175"/>
      <c r="E56" s="175"/>
      <c r="F56" s="175"/>
      <c r="G56" s="175"/>
      <c r="H56" s="175"/>
      <c r="I56" s="175"/>
      <c r="J56" s="175"/>
      <c r="K56" s="175"/>
      <c r="L56" s="175"/>
      <c r="M56" s="175"/>
      <c r="N56" s="175"/>
      <c r="O56" s="175"/>
      <c r="P56" s="175"/>
      <c r="Q56" s="175"/>
      <c r="R56" s="175"/>
      <c r="S56" s="175"/>
      <c r="T56" s="175"/>
      <c r="U56" s="175"/>
      <c r="V56" s="175"/>
      <c r="W56" s="175"/>
      <c r="X56" s="175"/>
      <c r="Y56" s="175"/>
      <c r="Z56" s="175"/>
      <c r="AA56" s="175"/>
      <c r="AB56" s="175"/>
      <c r="AC56" s="175"/>
    </row>
    <row r="57" spans="1:29" ht="12.75">
      <c r="A57" s="175"/>
      <c r="B57" s="175"/>
      <c r="C57" s="175"/>
      <c r="D57" s="175"/>
      <c r="E57" s="175"/>
      <c r="F57" s="175"/>
      <c r="G57" s="175"/>
      <c r="H57" s="175"/>
      <c r="I57" s="175"/>
      <c r="J57" s="175"/>
      <c r="K57" s="175"/>
      <c r="L57" s="175"/>
      <c r="M57" s="175"/>
      <c r="N57" s="175"/>
      <c r="O57" s="175"/>
      <c r="P57" s="175"/>
      <c r="Q57" s="175"/>
      <c r="R57" s="175"/>
      <c r="S57" s="175"/>
      <c r="T57" s="175"/>
      <c r="U57" s="175"/>
      <c r="V57" s="175"/>
      <c r="W57" s="175"/>
      <c r="X57" s="175"/>
      <c r="Y57" s="175"/>
      <c r="Z57" s="175"/>
      <c r="AA57" s="175"/>
      <c r="AB57" s="175"/>
      <c r="AC57" s="175"/>
    </row>
    <row r="58" spans="1:29" ht="12.75">
      <c r="A58" s="175"/>
      <c r="B58" s="175"/>
      <c r="C58" s="175"/>
      <c r="D58" s="175"/>
      <c r="E58" s="175"/>
      <c r="F58" s="175"/>
      <c r="G58" s="175"/>
      <c r="H58" s="175"/>
      <c r="I58" s="175"/>
      <c r="J58" s="175"/>
      <c r="K58" s="175"/>
      <c r="L58" s="175"/>
      <c r="M58" s="175"/>
      <c r="N58" s="175"/>
      <c r="O58" s="175"/>
      <c r="P58" s="175"/>
      <c r="Q58" s="175"/>
      <c r="R58" s="175"/>
      <c r="S58" s="175"/>
      <c r="T58" s="175"/>
      <c r="U58" s="175"/>
      <c r="V58" s="175"/>
      <c r="W58" s="175"/>
      <c r="X58" s="175"/>
      <c r="Y58" s="175"/>
      <c r="Z58" s="175"/>
      <c r="AA58" s="175"/>
      <c r="AB58" s="175"/>
      <c r="AC58" s="175"/>
    </row>
    <row r="59" spans="1:29" ht="12.75">
      <c r="A59" s="175"/>
      <c r="B59" s="175"/>
      <c r="C59" s="175"/>
      <c r="D59" s="175"/>
      <c r="E59" s="175"/>
      <c r="F59" s="175"/>
      <c r="G59" s="175"/>
      <c r="H59" s="175"/>
      <c r="I59" s="175"/>
      <c r="J59" s="175"/>
      <c r="K59" s="175"/>
      <c r="L59" s="175"/>
      <c r="M59" s="175"/>
      <c r="N59" s="175"/>
      <c r="O59" s="175"/>
      <c r="P59" s="175"/>
      <c r="Q59" s="175"/>
      <c r="R59" s="175"/>
      <c r="S59" s="175"/>
      <c r="T59" s="175"/>
      <c r="U59" s="175"/>
      <c r="V59" s="175"/>
      <c r="W59" s="175"/>
      <c r="X59" s="175"/>
      <c r="Y59" s="175"/>
      <c r="Z59" s="175"/>
      <c r="AA59" s="175"/>
      <c r="AB59" s="175"/>
      <c r="AC59" s="175"/>
    </row>
    <row r="60" spans="1:29" ht="12.75">
      <c r="A60" s="175"/>
      <c r="B60" s="175"/>
      <c r="C60" s="175"/>
      <c r="D60" s="175"/>
      <c r="E60" s="175"/>
      <c r="F60" s="175"/>
      <c r="G60" s="175"/>
      <c r="H60" s="175"/>
      <c r="I60" s="175"/>
      <c r="J60" s="175"/>
      <c r="K60" s="175"/>
      <c r="L60" s="175"/>
      <c r="M60" s="175"/>
      <c r="N60" s="175"/>
      <c r="O60" s="175"/>
      <c r="P60" s="175"/>
      <c r="Q60" s="175"/>
      <c r="R60" s="175"/>
      <c r="S60" s="175"/>
      <c r="T60" s="175"/>
      <c r="U60" s="175"/>
      <c r="V60" s="175"/>
      <c r="W60" s="175"/>
      <c r="X60" s="175"/>
      <c r="Y60" s="175"/>
      <c r="Z60" s="175"/>
      <c r="AA60" s="175"/>
      <c r="AB60" s="175"/>
      <c r="AC60" s="175"/>
    </row>
    <row r="61" spans="1:29" ht="12.75">
      <c r="A61" s="175"/>
      <c r="B61" s="175"/>
      <c r="C61" s="175"/>
      <c r="D61" s="175"/>
      <c r="E61" s="175"/>
      <c r="F61" s="175"/>
      <c r="G61" s="175"/>
      <c r="H61" s="175"/>
      <c r="I61" s="175"/>
      <c r="J61" s="175"/>
      <c r="K61" s="175"/>
      <c r="L61" s="175"/>
      <c r="M61" s="175"/>
      <c r="N61" s="175"/>
      <c r="O61" s="175"/>
      <c r="P61" s="175"/>
      <c r="Q61" s="175"/>
      <c r="R61" s="175"/>
      <c r="S61" s="175"/>
      <c r="T61" s="175"/>
      <c r="U61" s="175"/>
      <c r="V61" s="175"/>
      <c r="W61" s="175"/>
      <c r="X61" s="175"/>
      <c r="Y61" s="175"/>
      <c r="Z61" s="175"/>
      <c r="AA61" s="175"/>
      <c r="AB61" s="175"/>
      <c r="AC61" s="175"/>
    </row>
    <row r="62" spans="1:29" ht="12.75">
      <c r="A62" s="175"/>
      <c r="B62" s="175"/>
      <c r="C62" s="175"/>
      <c r="D62" s="175"/>
      <c r="E62" s="175"/>
      <c r="F62" s="175"/>
      <c r="G62" s="175"/>
      <c r="H62" s="175"/>
      <c r="I62" s="175"/>
      <c r="J62" s="175"/>
      <c r="K62" s="175"/>
      <c r="L62" s="175"/>
      <c r="M62" s="175"/>
      <c r="N62" s="175"/>
      <c r="O62" s="175"/>
      <c r="P62" s="175"/>
      <c r="Q62" s="175"/>
      <c r="R62" s="175"/>
      <c r="S62" s="175"/>
      <c r="T62" s="175"/>
      <c r="U62" s="175"/>
      <c r="V62" s="175"/>
      <c r="W62" s="175"/>
      <c r="X62" s="175"/>
      <c r="Y62" s="175"/>
      <c r="Z62" s="175"/>
      <c r="AA62" s="175"/>
      <c r="AB62" s="175"/>
      <c r="AC62" s="175"/>
    </row>
    <row r="63" spans="1:29" ht="12.75">
      <c r="A63" s="175"/>
      <c r="B63" s="175"/>
      <c r="C63" s="175"/>
      <c r="D63" s="175"/>
      <c r="E63" s="175"/>
      <c r="F63" s="175"/>
      <c r="G63" s="175"/>
      <c r="H63" s="175"/>
      <c r="I63" s="175"/>
      <c r="J63" s="175"/>
      <c r="K63" s="175"/>
      <c r="L63" s="175"/>
      <c r="M63" s="175"/>
      <c r="N63" s="175"/>
      <c r="O63" s="175"/>
      <c r="P63" s="175"/>
      <c r="Q63" s="175"/>
      <c r="R63" s="175"/>
      <c r="S63" s="175"/>
      <c r="T63" s="175"/>
      <c r="U63" s="175"/>
      <c r="V63" s="175"/>
      <c r="W63" s="175"/>
      <c r="X63" s="175"/>
      <c r="Y63" s="175"/>
      <c r="Z63" s="175"/>
      <c r="AA63" s="175"/>
      <c r="AB63" s="175"/>
      <c r="AC63" s="175"/>
    </row>
    <row r="64" spans="1:29" ht="12.75">
      <c r="A64" s="175"/>
      <c r="B64" s="175"/>
      <c r="C64" s="175"/>
      <c r="D64" s="175"/>
      <c r="E64" s="175"/>
      <c r="F64" s="175"/>
      <c r="G64" s="175"/>
      <c r="H64" s="175"/>
      <c r="I64" s="175"/>
      <c r="J64" s="175"/>
      <c r="K64" s="175"/>
      <c r="L64" s="175"/>
      <c r="M64" s="175"/>
      <c r="N64" s="175"/>
      <c r="O64" s="175"/>
      <c r="P64" s="175"/>
      <c r="Q64" s="175"/>
      <c r="R64" s="175"/>
      <c r="S64" s="175"/>
      <c r="T64" s="175"/>
      <c r="U64" s="175"/>
      <c r="V64" s="175"/>
      <c r="W64" s="175"/>
      <c r="X64" s="175"/>
      <c r="Y64" s="175"/>
      <c r="Z64" s="175"/>
      <c r="AA64" s="175"/>
      <c r="AB64" s="175"/>
      <c r="AC64" s="175"/>
    </row>
    <row r="65" spans="1:29" ht="12.75">
      <c r="A65" s="175"/>
      <c r="B65" s="175"/>
      <c r="C65" s="175"/>
      <c r="D65" s="175"/>
      <c r="E65" s="175"/>
      <c r="F65" s="175"/>
      <c r="G65" s="175"/>
      <c r="H65" s="175"/>
      <c r="I65" s="175"/>
      <c r="J65" s="175"/>
      <c r="K65" s="175"/>
      <c r="L65" s="175"/>
      <c r="M65" s="175"/>
      <c r="N65" s="175"/>
      <c r="O65" s="175"/>
      <c r="P65" s="175"/>
      <c r="Q65" s="175"/>
      <c r="R65" s="175"/>
      <c r="S65" s="175"/>
      <c r="T65" s="175"/>
      <c r="U65" s="175"/>
      <c r="V65" s="175"/>
      <c r="W65" s="175"/>
      <c r="X65" s="175"/>
      <c r="Y65" s="175"/>
      <c r="Z65" s="175"/>
      <c r="AA65" s="175"/>
      <c r="AB65" s="175"/>
      <c r="AC65" s="175"/>
    </row>
    <row r="66" spans="1:29" ht="12.75">
      <c r="A66" s="175"/>
      <c r="B66" s="175"/>
      <c r="C66" s="175"/>
      <c r="D66" s="175"/>
      <c r="E66" s="175"/>
      <c r="F66" s="175"/>
      <c r="G66" s="175"/>
      <c r="H66" s="175"/>
      <c r="I66" s="175"/>
      <c r="J66" s="175"/>
      <c r="K66" s="175"/>
      <c r="L66" s="175"/>
      <c r="M66" s="175"/>
      <c r="N66" s="175"/>
      <c r="O66" s="175"/>
      <c r="P66" s="175"/>
      <c r="Q66" s="175"/>
      <c r="R66" s="175"/>
      <c r="S66" s="175"/>
      <c r="T66" s="175"/>
      <c r="U66" s="175"/>
      <c r="V66" s="175"/>
      <c r="W66" s="175"/>
      <c r="X66" s="175"/>
      <c r="Y66" s="175"/>
      <c r="Z66" s="175"/>
      <c r="AA66" s="175"/>
      <c r="AB66" s="175"/>
      <c r="AC66" s="175"/>
    </row>
    <row r="67" spans="1:29" ht="12.75">
      <c r="A67" s="175"/>
      <c r="B67" s="175"/>
      <c r="C67" s="175"/>
      <c r="D67" s="175"/>
      <c r="E67" s="175"/>
      <c r="F67" s="175"/>
      <c r="G67" s="175"/>
      <c r="H67" s="175"/>
      <c r="I67" s="175"/>
      <c r="J67" s="175"/>
      <c r="K67" s="175"/>
      <c r="L67" s="175"/>
      <c r="M67" s="175"/>
      <c r="N67" s="175"/>
      <c r="O67" s="175"/>
      <c r="P67" s="175"/>
      <c r="Q67" s="175"/>
      <c r="R67" s="175"/>
      <c r="S67" s="175"/>
      <c r="T67" s="175"/>
      <c r="U67" s="175"/>
      <c r="V67" s="175"/>
      <c r="W67" s="175"/>
      <c r="X67" s="175"/>
      <c r="Y67" s="175"/>
      <c r="Z67" s="175"/>
      <c r="AA67" s="175"/>
      <c r="AB67" s="175"/>
      <c r="AC67" s="175"/>
    </row>
    <row r="68" spans="1:29" ht="12.75">
      <c r="A68" s="175"/>
      <c r="B68" s="175"/>
      <c r="C68" s="175"/>
      <c r="D68" s="175"/>
      <c r="E68" s="175"/>
      <c r="F68" s="175"/>
      <c r="G68" s="175"/>
      <c r="H68" s="175"/>
      <c r="I68" s="175"/>
      <c r="J68" s="175"/>
      <c r="K68" s="175"/>
      <c r="L68" s="175"/>
      <c r="M68" s="175"/>
      <c r="N68" s="175"/>
      <c r="O68" s="175"/>
      <c r="P68" s="175"/>
      <c r="Q68" s="175"/>
      <c r="R68" s="175"/>
      <c r="S68" s="175"/>
      <c r="T68" s="175"/>
      <c r="U68" s="175"/>
      <c r="V68" s="175"/>
      <c r="W68" s="175"/>
      <c r="X68" s="175"/>
      <c r="Y68" s="175"/>
      <c r="Z68" s="175"/>
      <c r="AA68" s="175"/>
      <c r="AB68" s="175"/>
      <c r="AC68" s="175"/>
    </row>
    <row r="69" spans="1:29" ht="12.75">
      <c r="A69" s="175"/>
      <c r="B69" s="175"/>
      <c r="C69" s="175"/>
      <c r="D69" s="175"/>
      <c r="E69" s="175"/>
      <c r="F69" s="175"/>
      <c r="G69" s="175"/>
      <c r="H69" s="175"/>
      <c r="I69" s="175"/>
      <c r="J69" s="175"/>
      <c r="K69" s="175"/>
      <c r="L69" s="175"/>
      <c r="M69" s="175"/>
      <c r="N69" s="175"/>
      <c r="O69" s="175"/>
      <c r="P69" s="175"/>
      <c r="Q69" s="175"/>
      <c r="R69" s="175"/>
      <c r="S69" s="175"/>
      <c r="T69" s="175"/>
      <c r="U69" s="175"/>
      <c r="V69" s="175"/>
      <c r="W69" s="175"/>
      <c r="X69" s="175"/>
      <c r="Y69" s="175"/>
      <c r="Z69" s="175"/>
      <c r="AA69" s="175"/>
      <c r="AB69" s="175"/>
      <c r="AC69" s="175"/>
    </row>
    <row r="70" spans="1:29" ht="12.75">
      <c r="A70" s="175"/>
      <c r="B70" s="175"/>
      <c r="C70" s="175"/>
      <c r="D70" s="175"/>
      <c r="E70" s="175"/>
      <c r="F70" s="175"/>
      <c r="G70" s="175"/>
      <c r="H70" s="175"/>
      <c r="I70" s="175"/>
      <c r="J70" s="175"/>
      <c r="K70" s="175"/>
      <c r="L70" s="175"/>
      <c r="M70" s="175"/>
      <c r="N70" s="175"/>
      <c r="O70" s="175"/>
      <c r="P70" s="175"/>
      <c r="Q70" s="175"/>
      <c r="R70" s="175"/>
      <c r="S70" s="175"/>
      <c r="T70" s="175"/>
      <c r="U70" s="175"/>
      <c r="V70" s="175"/>
      <c r="W70" s="175"/>
      <c r="X70" s="175"/>
      <c r="Y70" s="175"/>
      <c r="Z70" s="175"/>
      <c r="AA70" s="175"/>
      <c r="AB70" s="175"/>
      <c r="AC70" s="175"/>
    </row>
    <row r="71" spans="1:29" ht="12.75">
      <c r="A71" s="175"/>
      <c r="B71" s="175"/>
      <c r="C71" s="175"/>
      <c r="D71" s="175"/>
      <c r="E71" s="175"/>
      <c r="F71" s="175"/>
      <c r="G71" s="175"/>
      <c r="H71" s="175"/>
      <c r="I71" s="175"/>
      <c r="J71" s="175"/>
      <c r="K71" s="175"/>
      <c r="L71" s="175"/>
      <c r="M71" s="175"/>
      <c r="N71" s="175"/>
      <c r="O71" s="175"/>
      <c r="P71" s="175"/>
      <c r="Q71" s="175"/>
      <c r="R71" s="175"/>
      <c r="S71" s="175"/>
      <c r="T71" s="175"/>
      <c r="U71" s="175"/>
      <c r="V71" s="175"/>
      <c r="W71" s="175"/>
      <c r="X71" s="175"/>
      <c r="Y71" s="175"/>
      <c r="Z71" s="175"/>
      <c r="AA71" s="175"/>
      <c r="AB71" s="175"/>
      <c r="AC71" s="175"/>
    </row>
    <row r="72" spans="1:29" ht="12.75">
      <c r="A72" s="175"/>
      <c r="B72" s="175"/>
      <c r="C72" s="175"/>
      <c r="D72" s="175"/>
      <c r="E72" s="175"/>
      <c r="F72" s="175"/>
      <c r="G72" s="175"/>
      <c r="H72" s="175"/>
      <c r="I72" s="175"/>
      <c r="J72" s="175"/>
      <c r="K72" s="175"/>
      <c r="L72" s="175"/>
      <c r="M72" s="175"/>
      <c r="N72" s="175"/>
      <c r="O72" s="175"/>
      <c r="P72" s="175"/>
      <c r="Q72" s="175"/>
      <c r="R72" s="175"/>
      <c r="S72" s="175"/>
      <c r="T72" s="175"/>
      <c r="U72" s="175"/>
      <c r="V72" s="175"/>
      <c r="W72" s="175"/>
      <c r="X72" s="175"/>
      <c r="Y72" s="175"/>
      <c r="Z72" s="175"/>
      <c r="AA72" s="175"/>
      <c r="AB72" s="175"/>
      <c r="AC72" s="175"/>
    </row>
    <row r="73" spans="1:29" ht="12.75">
      <c r="A73" s="175"/>
      <c r="B73" s="175"/>
      <c r="C73" s="175"/>
      <c r="D73" s="175"/>
      <c r="E73" s="175"/>
      <c r="F73" s="175"/>
      <c r="G73" s="175"/>
      <c r="H73" s="175"/>
      <c r="I73" s="175"/>
      <c r="J73" s="175"/>
      <c r="K73" s="175"/>
      <c r="L73" s="175"/>
      <c r="M73" s="175"/>
      <c r="N73" s="175"/>
      <c r="O73" s="175"/>
      <c r="P73" s="175"/>
      <c r="Q73" s="175"/>
      <c r="R73" s="175"/>
      <c r="S73" s="175"/>
      <c r="T73" s="175"/>
      <c r="U73" s="175"/>
      <c r="V73" s="175"/>
      <c r="W73" s="175"/>
      <c r="X73" s="175"/>
      <c r="Y73" s="175"/>
      <c r="Z73" s="175"/>
      <c r="AA73" s="175"/>
      <c r="AB73" s="175"/>
      <c r="AC73" s="175"/>
    </row>
    <row r="74" spans="1:29" ht="12.75">
      <c r="A74" s="175"/>
      <c r="B74" s="175"/>
      <c r="C74" s="175"/>
      <c r="D74" s="175"/>
      <c r="E74" s="175"/>
      <c r="F74" s="175"/>
      <c r="G74" s="175"/>
      <c r="H74" s="175"/>
      <c r="I74" s="175"/>
      <c r="J74" s="175"/>
      <c r="K74" s="175"/>
      <c r="L74" s="175"/>
      <c r="M74" s="175"/>
      <c r="N74" s="175"/>
      <c r="O74" s="175"/>
      <c r="P74" s="175"/>
      <c r="Q74" s="175"/>
      <c r="R74" s="175"/>
      <c r="S74" s="175"/>
      <c r="T74" s="175"/>
      <c r="U74" s="175"/>
      <c r="V74" s="175"/>
      <c r="W74" s="175"/>
      <c r="X74" s="175"/>
      <c r="Y74" s="175"/>
      <c r="Z74" s="175"/>
      <c r="AA74" s="175"/>
      <c r="AB74" s="175"/>
      <c r="AC74" s="175"/>
    </row>
    <row r="75" spans="1:29" ht="12.75">
      <c r="A75" s="175"/>
      <c r="B75" s="175"/>
      <c r="C75" s="175"/>
      <c r="D75" s="175"/>
      <c r="E75" s="175"/>
      <c r="F75" s="175"/>
      <c r="G75" s="175"/>
      <c r="H75" s="175"/>
      <c r="I75" s="175"/>
      <c r="J75" s="175"/>
      <c r="K75" s="175"/>
      <c r="L75" s="175"/>
      <c r="M75" s="175"/>
      <c r="N75" s="175"/>
      <c r="O75" s="175"/>
      <c r="P75" s="175"/>
      <c r="Q75" s="175"/>
      <c r="R75" s="175"/>
      <c r="S75" s="175"/>
      <c r="T75" s="175"/>
      <c r="U75" s="175"/>
      <c r="V75" s="175"/>
      <c r="W75" s="175"/>
      <c r="X75" s="175"/>
      <c r="Y75" s="175"/>
      <c r="Z75" s="175"/>
      <c r="AA75" s="175"/>
      <c r="AB75" s="175"/>
      <c r="AC75" s="175"/>
    </row>
    <row r="76" spans="1:29" ht="12.75">
      <c r="A76" s="175"/>
      <c r="B76" s="175"/>
      <c r="C76" s="175"/>
      <c r="D76" s="175"/>
      <c r="E76" s="175"/>
      <c r="F76" s="175"/>
      <c r="G76" s="175"/>
      <c r="H76" s="175"/>
      <c r="I76" s="175"/>
      <c r="J76" s="175"/>
      <c r="K76" s="175"/>
      <c r="L76" s="175"/>
      <c r="M76" s="175"/>
      <c r="N76" s="175"/>
      <c r="O76" s="175"/>
      <c r="P76" s="175"/>
      <c r="Q76" s="175"/>
      <c r="R76" s="175"/>
      <c r="S76" s="175"/>
      <c r="T76" s="175"/>
      <c r="U76" s="175"/>
      <c r="V76" s="175"/>
      <c r="W76" s="175"/>
      <c r="X76" s="175"/>
      <c r="Y76" s="175"/>
      <c r="Z76" s="175"/>
      <c r="AA76" s="175"/>
      <c r="AB76" s="175"/>
      <c r="AC76" s="175"/>
    </row>
    <row r="77" spans="1:29" ht="12.75">
      <c r="A77" s="175"/>
      <c r="B77" s="175"/>
      <c r="C77" s="175"/>
      <c r="D77" s="175"/>
      <c r="E77" s="175"/>
      <c r="F77" s="175"/>
      <c r="G77" s="175"/>
      <c r="H77" s="175"/>
      <c r="I77" s="175"/>
      <c r="J77" s="175"/>
      <c r="K77" s="175"/>
      <c r="L77" s="175"/>
      <c r="M77" s="175"/>
      <c r="N77" s="175"/>
      <c r="O77" s="175"/>
      <c r="P77" s="175"/>
      <c r="Q77" s="175"/>
      <c r="R77" s="175"/>
      <c r="S77" s="175"/>
      <c r="T77" s="175"/>
      <c r="U77" s="175"/>
      <c r="V77" s="175"/>
      <c r="W77" s="175"/>
      <c r="X77" s="175"/>
      <c r="Y77" s="175"/>
      <c r="Z77" s="175"/>
      <c r="AA77" s="175"/>
      <c r="AB77" s="175"/>
      <c r="AC77" s="175"/>
    </row>
    <row r="78" spans="1:29" ht="12.75">
      <c r="A78" s="175"/>
      <c r="B78" s="175"/>
      <c r="C78" s="175"/>
      <c r="D78" s="175"/>
      <c r="E78" s="175"/>
      <c r="F78" s="175"/>
      <c r="G78" s="175"/>
      <c r="H78" s="175"/>
      <c r="I78" s="175"/>
      <c r="J78" s="175"/>
      <c r="K78" s="175"/>
      <c r="L78" s="175"/>
      <c r="M78" s="175"/>
      <c r="N78" s="175"/>
      <c r="O78" s="175"/>
      <c r="P78" s="175"/>
      <c r="Q78" s="175"/>
      <c r="R78" s="175"/>
      <c r="S78" s="175"/>
      <c r="T78" s="175"/>
      <c r="U78" s="175"/>
      <c r="V78" s="175"/>
      <c r="W78" s="175"/>
      <c r="X78" s="175"/>
      <c r="Y78" s="175"/>
      <c r="Z78" s="175"/>
      <c r="AA78" s="175"/>
      <c r="AB78" s="175"/>
      <c r="AC78" s="175"/>
    </row>
    <row r="79" spans="1:29" ht="12.75">
      <c r="A79" s="175"/>
      <c r="B79" s="175"/>
      <c r="C79" s="175"/>
      <c r="D79" s="175"/>
      <c r="E79" s="175"/>
      <c r="F79" s="175"/>
      <c r="G79" s="175"/>
      <c r="H79" s="175"/>
      <c r="I79" s="175"/>
      <c r="J79" s="175"/>
      <c r="K79" s="175"/>
      <c r="L79" s="175"/>
      <c r="M79" s="175"/>
      <c r="N79" s="175"/>
      <c r="O79" s="175"/>
      <c r="P79" s="175"/>
      <c r="Q79" s="175"/>
      <c r="R79" s="175"/>
      <c r="S79" s="175"/>
      <c r="T79" s="175"/>
      <c r="U79" s="175"/>
      <c r="V79" s="175"/>
      <c r="W79" s="175"/>
      <c r="X79" s="175"/>
      <c r="Y79" s="175"/>
      <c r="Z79" s="175"/>
      <c r="AA79" s="175"/>
      <c r="AB79" s="175"/>
      <c r="AC79" s="175"/>
    </row>
    <row r="80" spans="1:29" ht="12.75">
      <c r="A80" s="175"/>
      <c r="B80" s="175"/>
      <c r="C80" s="175"/>
      <c r="D80" s="175"/>
      <c r="E80" s="175"/>
      <c r="F80" s="175"/>
      <c r="G80" s="175"/>
      <c r="H80" s="175"/>
      <c r="I80" s="175"/>
      <c r="J80" s="175"/>
      <c r="K80" s="175"/>
      <c r="L80" s="175"/>
      <c r="M80" s="175"/>
      <c r="N80" s="175"/>
      <c r="O80" s="175"/>
      <c r="P80" s="175"/>
      <c r="Q80" s="175"/>
      <c r="R80" s="175"/>
      <c r="S80" s="175"/>
      <c r="T80" s="175"/>
      <c r="U80" s="175"/>
      <c r="V80" s="175"/>
      <c r="W80" s="175"/>
      <c r="X80" s="175"/>
      <c r="Y80" s="175"/>
      <c r="Z80" s="175"/>
      <c r="AA80" s="175"/>
      <c r="AB80" s="175"/>
      <c r="AC80" s="175"/>
    </row>
    <row r="81" spans="1:29" ht="12.75">
      <c r="A81" s="175"/>
      <c r="B81" s="175"/>
      <c r="C81" s="175"/>
      <c r="D81" s="175"/>
      <c r="E81" s="175"/>
      <c r="F81" s="175"/>
      <c r="G81" s="175"/>
      <c r="H81" s="175"/>
      <c r="I81" s="175"/>
      <c r="J81" s="175"/>
      <c r="K81" s="175"/>
      <c r="L81" s="175"/>
      <c r="M81" s="175"/>
      <c r="N81" s="175"/>
      <c r="O81" s="175"/>
      <c r="P81" s="175"/>
      <c r="Q81" s="175"/>
      <c r="R81" s="175"/>
      <c r="S81" s="175"/>
      <c r="T81" s="175"/>
      <c r="U81" s="175"/>
      <c r="V81" s="175"/>
      <c r="W81" s="175"/>
      <c r="X81" s="175"/>
      <c r="Y81" s="175"/>
      <c r="Z81" s="175"/>
      <c r="AA81" s="175"/>
      <c r="AB81" s="175"/>
      <c r="AC81" s="175"/>
    </row>
    <row r="82" spans="1:29" ht="12.75">
      <c r="A82" s="175"/>
      <c r="B82" s="175"/>
      <c r="C82" s="175"/>
      <c r="D82" s="175"/>
      <c r="E82" s="175"/>
      <c r="F82" s="175"/>
      <c r="G82" s="175"/>
      <c r="H82" s="175"/>
      <c r="I82" s="175"/>
      <c r="J82" s="175"/>
      <c r="K82" s="175"/>
      <c r="L82" s="175"/>
      <c r="M82" s="175"/>
      <c r="N82" s="175"/>
      <c r="O82" s="175"/>
      <c r="P82" s="175"/>
      <c r="Q82" s="175"/>
      <c r="R82" s="175"/>
      <c r="S82" s="175"/>
      <c r="T82" s="175"/>
      <c r="U82" s="175"/>
      <c r="V82" s="175"/>
      <c r="W82" s="175"/>
      <c r="X82" s="175"/>
      <c r="Y82" s="175"/>
      <c r="Z82" s="175"/>
      <c r="AA82" s="175"/>
      <c r="AB82" s="175"/>
      <c r="AC82" s="175"/>
    </row>
    <row r="83" spans="1:29" ht="12.75">
      <c r="A83" s="175"/>
      <c r="B83" s="175"/>
      <c r="C83" s="175"/>
      <c r="D83" s="175"/>
      <c r="E83" s="175"/>
      <c r="F83" s="175"/>
      <c r="G83" s="175"/>
      <c r="H83" s="175"/>
      <c r="I83" s="175"/>
      <c r="J83" s="175"/>
      <c r="K83" s="175"/>
      <c r="L83" s="175"/>
      <c r="M83" s="175"/>
      <c r="N83" s="175"/>
      <c r="O83" s="175"/>
      <c r="P83" s="175"/>
      <c r="Q83" s="175"/>
      <c r="R83" s="175"/>
      <c r="S83" s="175"/>
      <c r="T83" s="175"/>
      <c r="U83" s="175"/>
      <c r="V83" s="175"/>
      <c r="W83" s="175"/>
      <c r="X83" s="175"/>
      <c r="Y83" s="175"/>
      <c r="Z83" s="175"/>
      <c r="AA83" s="175"/>
      <c r="AB83" s="175"/>
      <c r="AC83" s="175"/>
    </row>
    <row r="84" spans="1:29" ht="12.75">
      <c r="A84" s="175"/>
      <c r="B84" s="175"/>
      <c r="C84" s="175"/>
      <c r="D84" s="175"/>
      <c r="E84" s="175"/>
      <c r="F84" s="175"/>
      <c r="G84" s="175"/>
      <c r="H84" s="175"/>
      <c r="I84" s="175"/>
      <c r="J84" s="175"/>
      <c r="K84" s="175"/>
      <c r="L84" s="175"/>
      <c r="M84" s="175"/>
      <c r="N84" s="175"/>
      <c r="O84" s="175"/>
      <c r="P84" s="175"/>
      <c r="Q84" s="175"/>
      <c r="R84" s="175"/>
      <c r="S84" s="175"/>
      <c r="T84" s="175"/>
      <c r="U84" s="175"/>
      <c r="V84" s="175"/>
      <c r="W84" s="175"/>
      <c r="X84" s="175"/>
      <c r="Y84" s="175"/>
      <c r="Z84" s="175"/>
      <c r="AA84" s="175"/>
      <c r="AB84" s="175"/>
      <c r="AC84" s="175"/>
    </row>
    <row r="85" spans="1:29" ht="12.75">
      <c r="A85" s="175"/>
      <c r="B85" s="175"/>
      <c r="C85" s="175"/>
      <c r="D85" s="175"/>
      <c r="E85" s="175"/>
      <c r="F85" s="175"/>
      <c r="G85" s="175"/>
      <c r="H85" s="175"/>
      <c r="I85" s="175"/>
      <c r="J85" s="175"/>
      <c r="K85" s="175"/>
      <c r="L85" s="175"/>
      <c r="M85" s="175"/>
      <c r="N85" s="175"/>
      <c r="O85" s="175"/>
      <c r="P85" s="175"/>
      <c r="Q85" s="175"/>
      <c r="R85" s="175"/>
      <c r="S85" s="175"/>
      <c r="T85" s="175"/>
      <c r="U85" s="175"/>
      <c r="V85" s="175"/>
      <c r="W85" s="175"/>
      <c r="X85" s="175"/>
      <c r="Y85" s="175"/>
      <c r="Z85" s="175"/>
      <c r="AA85" s="175"/>
      <c r="AB85" s="175"/>
      <c r="AC85" s="175"/>
    </row>
    <row r="86" spans="1:29" ht="12.75">
      <c r="A86" s="175"/>
      <c r="B86" s="175"/>
      <c r="C86" s="175"/>
      <c r="D86" s="175"/>
      <c r="E86" s="175"/>
      <c r="F86" s="175"/>
      <c r="G86" s="175"/>
      <c r="H86" s="175"/>
      <c r="I86" s="175"/>
      <c r="J86" s="175"/>
      <c r="K86" s="175"/>
      <c r="L86" s="175"/>
      <c r="M86" s="175"/>
      <c r="N86" s="175"/>
      <c r="O86" s="175"/>
      <c r="P86" s="175"/>
      <c r="Q86" s="175"/>
      <c r="R86" s="175"/>
      <c r="S86" s="175"/>
      <c r="T86" s="175"/>
      <c r="U86" s="175"/>
      <c r="V86" s="175"/>
      <c r="W86" s="175"/>
      <c r="X86" s="175"/>
      <c r="Y86" s="175"/>
      <c r="Z86" s="175"/>
      <c r="AA86" s="175"/>
      <c r="AB86" s="175"/>
      <c r="AC86" s="175"/>
    </row>
    <row r="87" spans="1:29" ht="12.75">
      <c r="A87" s="175"/>
      <c r="B87" s="175"/>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75"/>
      <c r="AA87" s="175"/>
      <c r="AB87" s="175"/>
      <c r="AC87" s="175"/>
    </row>
    <row r="88" spans="1:29" ht="12.75">
      <c r="A88" s="175"/>
      <c r="B88" s="175"/>
      <c r="C88" s="175"/>
      <c r="D88" s="175"/>
      <c r="E88" s="175"/>
      <c r="F88" s="175"/>
      <c r="G88" s="175"/>
      <c r="H88" s="175"/>
      <c r="I88" s="175"/>
      <c r="J88" s="175"/>
      <c r="K88" s="175"/>
      <c r="L88" s="175"/>
      <c r="M88" s="175"/>
      <c r="N88" s="175"/>
      <c r="O88" s="175"/>
      <c r="P88" s="175"/>
      <c r="Q88" s="175"/>
      <c r="R88" s="175"/>
      <c r="S88" s="175"/>
      <c r="T88" s="175"/>
      <c r="U88" s="175"/>
      <c r="V88" s="175"/>
      <c r="W88" s="175"/>
      <c r="X88" s="175"/>
      <c r="Y88" s="175"/>
      <c r="Z88" s="175"/>
      <c r="AA88" s="175"/>
      <c r="AB88" s="175"/>
      <c r="AC88" s="175"/>
    </row>
    <row r="89" spans="1:29" ht="12.75">
      <c r="A89" s="175"/>
      <c r="B89" s="175"/>
      <c r="C89" s="175"/>
      <c r="D89" s="175"/>
      <c r="E89" s="175"/>
      <c r="F89" s="175"/>
      <c r="G89" s="175"/>
      <c r="H89" s="175"/>
      <c r="I89" s="175"/>
      <c r="J89" s="175"/>
      <c r="K89" s="175"/>
      <c r="L89" s="175"/>
      <c r="M89" s="175"/>
      <c r="N89" s="175"/>
      <c r="O89" s="175"/>
      <c r="P89" s="175"/>
      <c r="Q89" s="175"/>
      <c r="R89" s="175"/>
      <c r="S89" s="175"/>
      <c r="T89" s="175"/>
      <c r="U89" s="175"/>
      <c r="V89" s="175"/>
      <c r="W89" s="175"/>
      <c r="X89" s="175"/>
      <c r="Y89" s="175"/>
      <c r="Z89" s="175"/>
      <c r="AA89" s="175"/>
      <c r="AB89" s="175"/>
      <c r="AC89" s="175"/>
    </row>
    <row r="90" spans="1:29" ht="12.75">
      <c r="A90" s="175"/>
      <c r="B90" s="175"/>
      <c r="C90" s="175"/>
      <c r="D90" s="175"/>
      <c r="E90" s="175"/>
      <c r="F90" s="175"/>
      <c r="G90" s="175"/>
      <c r="H90" s="175"/>
      <c r="I90" s="175"/>
      <c r="J90" s="175"/>
      <c r="K90" s="175"/>
      <c r="L90" s="175"/>
      <c r="M90" s="175"/>
      <c r="N90" s="175"/>
      <c r="O90" s="175"/>
      <c r="P90" s="175"/>
      <c r="Q90" s="175"/>
      <c r="R90" s="175"/>
      <c r="S90" s="175"/>
      <c r="T90" s="175"/>
      <c r="U90" s="175"/>
      <c r="V90" s="175"/>
      <c r="W90" s="175"/>
      <c r="X90" s="175"/>
      <c r="Y90" s="175"/>
      <c r="Z90" s="175"/>
      <c r="AA90" s="175"/>
      <c r="AB90" s="175"/>
      <c r="AC90" s="175"/>
    </row>
    <row r="91" spans="1:29" ht="12.75">
      <c r="A91" s="175"/>
      <c r="B91" s="175"/>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5"/>
      <c r="AA91" s="175"/>
      <c r="AB91" s="175"/>
      <c r="AC91" s="175"/>
    </row>
    <row r="92" spans="1:29" ht="12.75">
      <c r="A92" s="175"/>
      <c r="B92" s="175"/>
      <c r="C92" s="175"/>
      <c r="D92" s="175"/>
      <c r="E92" s="175"/>
      <c r="F92" s="175"/>
      <c r="G92" s="175"/>
      <c r="H92" s="175"/>
      <c r="I92" s="175"/>
      <c r="J92" s="175"/>
      <c r="K92" s="175"/>
      <c r="L92" s="175"/>
      <c r="M92" s="175"/>
      <c r="N92" s="175"/>
      <c r="O92" s="175"/>
      <c r="P92" s="175"/>
      <c r="Q92" s="175"/>
      <c r="R92" s="175"/>
      <c r="S92" s="175"/>
      <c r="T92" s="175"/>
      <c r="U92" s="175"/>
      <c r="V92" s="175"/>
      <c r="W92" s="175"/>
      <c r="X92" s="175"/>
      <c r="Y92" s="175"/>
      <c r="Z92" s="175"/>
      <c r="AA92" s="175"/>
      <c r="AB92" s="175"/>
      <c r="AC92" s="175"/>
    </row>
    <row r="93" spans="1:29" ht="12.75">
      <c r="A93" s="175"/>
      <c r="B93" s="175"/>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5"/>
      <c r="AA93" s="175"/>
      <c r="AB93" s="175"/>
      <c r="AC93" s="175"/>
    </row>
    <row r="94" spans="1:29" ht="12.75">
      <c r="A94" s="175"/>
      <c r="B94" s="175"/>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75"/>
      <c r="AA94" s="175"/>
      <c r="AB94" s="175"/>
      <c r="AC94" s="175"/>
    </row>
    <row r="95" spans="1:29" ht="12.75">
      <c r="A95" s="175"/>
      <c r="B95" s="175"/>
      <c r="C95" s="175"/>
      <c r="D95" s="175"/>
      <c r="E95" s="175"/>
      <c r="F95" s="175"/>
      <c r="G95" s="175"/>
      <c r="H95" s="175"/>
      <c r="I95" s="175"/>
      <c r="J95" s="175"/>
      <c r="K95" s="175"/>
      <c r="L95" s="175"/>
      <c r="M95" s="175"/>
      <c r="N95" s="175"/>
      <c r="O95" s="175"/>
      <c r="P95" s="175"/>
      <c r="Q95" s="175"/>
      <c r="R95" s="175"/>
      <c r="S95" s="175"/>
      <c r="T95" s="175"/>
      <c r="U95" s="175"/>
      <c r="V95" s="175"/>
      <c r="W95" s="175"/>
      <c r="X95" s="175"/>
      <c r="Y95" s="175"/>
      <c r="Z95" s="175"/>
      <c r="AA95" s="175"/>
      <c r="AB95" s="175"/>
      <c r="AC95" s="175"/>
    </row>
    <row r="96" spans="1:29" ht="12.75">
      <c r="A96" s="175"/>
      <c r="B96" s="175"/>
      <c r="C96" s="175"/>
      <c r="D96" s="175"/>
      <c r="E96" s="175"/>
      <c r="F96" s="175"/>
      <c r="G96" s="175"/>
      <c r="H96" s="175"/>
      <c r="I96" s="175"/>
      <c r="J96" s="175"/>
      <c r="K96" s="175"/>
      <c r="L96" s="175"/>
      <c r="M96" s="175"/>
      <c r="N96" s="175"/>
      <c r="O96" s="175"/>
      <c r="P96" s="175"/>
      <c r="Q96" s="175"/>
      <c r="R96" s="175"/>
      <c r="S96" s="175"/>
      <c r="T96" s="175"/>
      <c r="U96" s="175"/>
      <c r="V96" s="175"/>
      <c r="W96" s="175"/>
      <c r="X96" s="175"/>
      <c r="Y96" s="175"/>
      <c r="Z96" s="175"/>
      <c r="AA96" s="175"/>
      <c r="AB96" s="175"/>
      <c r="AC96" s="175"/>
    </row>
    <row r="97" spans="1:29" ht="12.75">
      <c r="A97" s="175"/>
      <c r="B97" s="175"/>
      <c r="C97" s="175"/>
      <c r="D97" s="175"/>
      <c r="E97" s="175"/>
      <c r="F97" s="175"/>
      <c r="G97" s="175"/>
      <c r="H97" s="175"/>
      <c r="I97" s="175"/>
      <c r="J97" s="175"/>
      <c r="K97" s="175"/>
      <c r="L97" s="175"/>
      <c r="M97" s="175"/>
      <c r="N97" s="175"/>
      <c r="O97" s="175"/>
      <c r="P97" s="175"/>
      <c r="Q97" s="175"/>
      <c r="R97" s="175"/>
      <c r="S97" s="175"/>
      <c r="T97" s="175"/>
      <c r="U97" s="175"/>
      <c r="V97" s="175"/>
      <c r="W97" s="175"/>
      <c r="X97" s="175"/>
      <c r="Y97" s="175"/>
      <c r="Z97" s="175"/>
      <c r="AA97" s="175"/>
      <c r="AB97" s="175"/>
      <c r="AC97" s="175"/>
    </row>
    <row r="98" spans="1:29" ht="12.75">
      <c r="A98" s="175"/>
      <c r="B98" s="175"/>
      <c r="C98" s="175"/>
      <c r="D98" s="175"/>
      <c r="E98" s="175"/>
      <c r="F98" s="175"/>
      <c r="G98" s="175"/>
      <c r="H98" s="175"/>
      <c r="I98" s="175"/>
      <c r="J98" s="175"/>
      <c r="K98" s="175"/>
      <c r="L98" s="175"/>
      <c r="M98" s="175"/>
      <c r="N98" s="175"/>
      <c r="O98" s="175"/>
      <c r="P98" s="175"/>
      <c r="Q98" s="175"/>
      <c r="R98" s="175"/>
      <c r="S98" s="175"/>
      <c r="T98" s="175"/>
      <c r="U98" s="175"/>
      <c r="V98" s="175"/>
      <c r="W98" s="175"/>
      <c r="X98" s="175"/>
      <c r="Y98" s="175"/>
      <c r="Z98" s="175"/>
      <c r="AA98" s="175"/>
      <c r="AB98" s="175"/>
      <c r="AC98" s="175"/>
    </row>
    <row r="99" spans="1:29" ht="12.75">
      <c r="A99" s="175"/>
      <c r="B99" s="175"/>
      <c r="C99" s="175"/>
      <c r="D99" s="175"/>
      <c r="E99" s="175"/>
      <c r="F99" s="175"/>
      <c r="G99" s="175"/>
      <c r="H99" s="175"/>
      <c r="I99" s="175"/>
      <c r="J99" s="175"/>
      <c r="K99" s="175"/>
      <c r="L99" s="175"/>
      <c r="M99" s="175"/>
      <c r="N99" s="175"/>
      <c r="O99" s="175"/>
      <c r="P99" s="175"/>
      <c r="Q99" s="175"/>
      <c r="R99" s="175"/>
      <c r="S99" s="175"/>
      <c r="T99" s="175"/>
      <c r="U99" s="175"/>
      <c r="V99" s="175"/>
      <c r="W99" s="175"/>
      <c r="X99" s="175"/>
      <c r="Y99" s="175"/>
      <c r="Z99" s="175"/>
      <c r="AA99" s="175"/>
      <c r="AB99" s="175"/>
      <c r="AC99" s="175"/>
    </row>
    <row r="100" spans="1:29" ht="12.75">
      <c r="A100" s="175"/>
      <c r="B100" s="175"/>
      <c r="C100" s="175"/>
      <c r="D100" s="175"/>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c r="AA100" s="175"/>
      <c r="AB100" s="175"/>
      <c r="AC100" s="175"/>
    </row>
    <row r="101" spans="1:29" ht="12.75">
      <c r="A101" s="175"/>
      <c r="B101" s="175"/>
      <c r="C101" s="175"/>
      <c r="D101" s="175"/>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c r="AA101" s="175"/>
      <c r="AB101" s="175"/>
      <c r="AC101" s="175"/>
    </row>
    <row r="102" spans="1:29" ht="12.75">
      <c r="A102" s="175"/>
      <c r="B102" s="175"/>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c r="AA102" s="175"/>
      <c r="AB102" s="175"/>
      <c r="AC102" s="175"/>
    </row>
    <row r="103" spans="1:29" ht="12.75">
      <c r="A103" s="175"/>
      <c r="B103" s="175"/>
      <c r="C103" s="175"/>
      <c r="D103" s="175"/>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c r="AA103" s="175"/>
      <c r="AB103" s="175"/>
      <c r="AC103" s="175"/>
    </row>
    <row r="104" spans="1:29" ht="12.75">
      <c r="A104" s="175"/>
      <c r="B104" s="175"/>
      <c r="C104" s="175"/>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c r="AA104" s="175"/>
      <c r="AB104" s="175"/>
      <c r="AC104" s="175"/>
    </row>
    <row r="105" spans="1:29" ht="12.75">
      <c r="A105" s="175"/>
      <c r="B105" s="175"/>
      <c r="C105" s="175"/>
      <c r="D105" s="175"/>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c r="AA105" s="175"/>
      <c r="AB105" s="175"/>
      <c r="AC105" s="175"/>
    </row>
    <row r="106" spans="1:29" ht="12.75">
      <c r="A106" s="175"/>
      <c r="B106" s="175"/>
      <c r="C106" s="175"/>
      <c r="D106" s="175"/>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c r="AA106" s="175"/>
      <c r="AB106" s="175"/>
      <c r="AC106" s="175"/>
    </row>
    <row r="107" spans="1:29" ht="12.75">
      <c r="A107" s="175"/>
      <c r="B107" s="175"/>
      <c r="C107" s="175"/>
      <c r="D107" s="175"/>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c r="AA107" s="175"/>
      <c r="AB107" s="175"/>
      <c r="AC107" s="175"/>
    </row>
    <row r="108" spans="1:29" ht="12.75">
      <c r="A108" s="175"/>
      <c r="B108" s="175"/>
      <c r="C108" s="175"/>
      <c r="D108" s="175"/>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c r="AA108" s="175"/>
      <c r="AB108" s="175"/>
      <c r="AC108" s="175"/>
    </row>
    <row r="109" spans="1:29" ht="12.75">
      <c r="A109" s="175"/>
      <c r="B109" s="175"/>
      <c r="C109" s="175"/>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c r="AA109" s="175"/>
      <c r="AB109" s="175"/>
      <c r="AC109" s="175"/>
    </row>
    <row r="110" spans="1:29" ht="12.75">
      <c r="A110" s="175"/>
      <c r="B110" s="175"/>
      <c r="C110" s="175"/>
      <c r="D110" s="175"/>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c r="AA110" s="175"/>
      <c r="AB110" s="175"/>
      <c r="AC110" s="175"/>
    </row>
    <row r="111" spans="1:29" ht="12.75">
      <c r="A111" s="175"/>
      <c r="B111" s="175"/>
      <c r="C111" s="175"/>
      <c r="D111" s="175"/>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c r="AA111" s="175"/>
      <c r="AB111" s="175"/>
      <c r="AC111" s="175"/>
    </row>
    <row r="112" spans="1:29" ht="12.75">
      <c r="A112" s="175"/>
      <c r="B112" s="175"/>
      <c r="C112" s="175"/>
      <c r="D112" s="175"/>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c r="AA112" s="175"/>
      <c r="AB112" s="175"/>
      <c r="AC112" s="175"/>
    </row>
    <row r="113" spans="1:29" ht="12.75">
      <c r="A113" s="175"/>
      <c r="B113" s="175"/>
      <c r="C113" s="175"/>
      <c r="D113" s="175"/>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c r="AA113" s="175"/>
      <c r="AB113" s="175"/>
      <c r="AC113" s="175"/>
    </row>
    <row r="114" spans="1:29" ht="12.75">
      <c r="A114" s="175"/>
      <c r="B114" s="175"/>
      <c r="C114" s="175"/>
      <c r="D114" s="175"/>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c r="AA114" s="175"/>
      <c r="AB114" s="175"/>
      <c r="AC114" s="175"/>
    </row>
    <row r="115" spans="1:29" ht="12.75">
      <c r="A115" s="175"/>
      <c r="B115" s="175"/>
      <c r="C115" s="175"/>
      <c r="D115" s="175"/>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c r="AA115" s="175"/>
      <c r="AB115" s="175"/>
      <c r="AC115" s="175"/>
    </row>
    <row r="116" spans="1:29" ht="12.75">
      <c r="A116" s="175"/>
      <c r="B116" s="175"/>
      <c r="C116" s="175"/>
      <c r="D116" s="175"/>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c r="AA116" s="175"/>
      <c r="AB116" s="175"/>
      <c r="AC116" s="175"/>
    </row>
    <row r="117" spans="1:29" ht="12.75">
      <c r="A117" s="175"/>
      <c r="B117" s="175"/>
      <c r="C117" s="175"/>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c r="AA117" s="175"/>
      <c r="AB117" s="175"/>
      <c r="AC117" s="175"/>
    </row>
    <row r="118" spans="1:29" ht="12.75">
      <c r="A118" s="175"/>
      <c r="B118" s="175"/>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c r="AA118" s="175"/>
      <c r="AB118" s="175"/>
      <c r="AC118" s="175"/>
    </row>
    <row r="119" spans="1:29" ht="12.75">
      <c r="A119" s="175"/>
      <c r="B119" s="175"/>
      <c r="C119" s="175"/>
      <c r="D119" s="175"/>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c r="AA119" s="175"/>
      <c r="AB119" s="175"/>
      <c r="AC119" s="175"/>
    </row>
    <row r="120" spans="1:29" ht="12.75">
      <c r="A120" s="175"/>
      <c r="B120" s="175"/>
      <c r="C120" s="175"/>
      <c r="D120" s="175"/>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c r="AA120" s="175"/>
      <c r="AB120" s="175"/>
      <c r="AC120" s="175"/>
    </row>
    <row r="121" spans="1:29" ht="12.75">
      <c r="A121" s="175"/>
      <c r="B121" s="175"/>
      <c r="C121" s="175"/>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c r="AA121" s="175"/>
      <c r="AB121" s="175"/>
      <c r="AC121" s="175"/>
    </row>
    <row r="122" spans="1:29" ht="12.75">
      <c r="A122" s="175"/>
      <c r="B122" s="175"/>
      <c r="C122" s="175"/>
      <c r="D122" s="175"/>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c r="AA122" s="175"/>
      <c r="AB122" s="175"/>
      <c r="AC122" s="175"/>
    </row>
    <row r="123" spans="1:29" ht="12.75">
      <c r="A123" s="175"/>
      <c r="B123" s="175"/>
      <c r="C123" s="175"/>
      <c r="D123" s="175"/>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c r="AA123" s="175"/>
      <c r="AB123" s="175"/>
      <c r="AC123" s="175"/>
    </row>
    <row r="124" spans="1:29" ht="12.75">
      <c r="A124" s="175"/>
      <c r="B124" s="175"/>
      <c r="C124" s="175"/>
      <c r="D124" s="175"/>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c r="AA124" s="175"/>
      <c r="AB124" s="175"/>
      <c r="AC124" s="175"/>
    </row>
    <row r="125" spans="1:29" ht="12.75">
      <c r="A125" s="175"/>
      <c r="B125" s="175"/>
      <c r="C125" s="175"/>
      <c r="D125" s="175"/>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c r="AA125" s="175"/>
      <c r="AB125" s="175"/>
      <c r="AC125" s="175"/>
    </row>
    <row r="126" spans="1:29" ht="12.75">
      <c r="A126" s="175"/>
      <c r="B126" s="175"/>
      <c r="C126" s="175"/>
      <c r="D126" s="175"/>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c r="AA126" s="175"/>
      <c r="AB126" s="175"/>
      <c r="AC126" s="175"/>
    </row>
    <row r="127" spans="1:29" ht="12.75">
      <c r="A127" s="175"/>
      <c r="B127" s="175"/>
      <c r="C127" s="175"/>
      <c r="D127" s="175"/>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c r="AA127" s="175"/>
      <c r="AB127" s="175"/>
      <c r="AC127" s="175"/>
    </row>
    <row r="128" spans="1:29" ht="12.75">
      <c r="A128" s="175"/>
      <c r="B128" s="175"/>
      <c r="C128" s="175"/>
      <c r="D128" s="175"/>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c r="AA128" s="175"/>
      <c r="AB128" s="175"/>
      <c r="AC128" s="175"/>
    </row>
    <row r="129" spans="1:29" ht="12.75">
      <c r="A129" s="175"/>
      <c r="B129" s="175"/>
      <c r="C129" s="175"/>
      <c r="D129" s="175"/>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c r="AA129" s="175"/>
      <c r="AB129" s="175"/>
      <c r="AC129" s="175"/>
    </row>
    <row r="130" spans="1:29" ht="12.75">
      <c r="A130" s="175"/>
      <c r="B130" s="175"/>
      <c r="C130" s="175"/>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c r="AA130" s="175"/>
      <c r="AB130" s="175"/>
      <c r="AC130" s="175"/>
    </row>
    <row r="131" spans="1:29" ht="12.75">
      <c r="A131" s="175"/>
      <c r="B131" s="175"/>
      <c r="C131" s="175"/>
      <c r="D131" s="175"/>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c r="AA131" s="175"/>
      <c r="AB131" s="175"/>
      <c r="AC131" s="175"/>
    </row>
    <row r="132" spans="1:29" ht="12.75">
      <c r="A132" s="175"/>
      <c r="B132" s="175"/>
      <c r="C132" s="175"/>
      <c r="D132" s="175"/>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c r="AA132" s="175"/>
      <c r="AB132" s="175"/>
      <c r="AC132" s="175"/>
    </row>
    <row r="133" spans="1:29" ht="12.75">
      <c r="A133" s="175"/>
      <c r="B133" s="175"/>
      <c r="C133" s="175"/>
      <c r="D133" s="175"/>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c r="AA133" s="175"/>
      <c r="AB133" s="175"/>
      <c r="AC133" s="175"/>
    </row>
    <row r="134" spans="1:29" ht="12.75">
      <c r="A134" s="175"/>
      <c r="B134" s="175"/>
      <c r="C134" s="175"/>
      <c r="D134" s="175"/>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c r="AA134" s="175"/>
      <c r="AB134" s="175"/>
      <c r="AC134" s="175"/>
    </row>
    <row r="135" spans="1:29" ht="12.75">
      <c r="A135" s="175"/>
      <c r="B135" s="175"/>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c r="AA135" s="175"/>
      <c r="AB135" s="175"/>
      <c r="AC135" s="175"/>
    </row>
    <row r="136" spans="1:29" ht="12.75">
      <c r="A136" s="175"/>
      <c r="B136" s="175"/>
      <c r="C136" s="175"/>
      <c r="D136" s="175"/>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c r="AA136" s="175"/>
      <c r="AB136" s="175"/>
      <c r="AC136" s="175"/>
    </row>
    <row r="137" spans="1:29" ht="12.75">
      <c r="A137" s="175"/>
      <c r="B137" s="175"/>
      <c r="C137" s="175"/>
      <c r="D137" s="175"/>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c r="AA137" s="175"/>
      <c r="AB137" s="175"/>
      <c r="AC137" s="175"/>
    </row>
    <row r="138" spans="1:29" ht="12.75">
      <c r="A138" s="175"/>
      <c r="B138" s="175"/>
      <c r="C138" s="175"/>
      <c r="D138" s="175"/>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c r="AA138" s="175"/>
      <c r="AB138" s="175"/>
      <c r="AC138" s="175"/>
    </row>
    <row r="139" spans="1:29" ht="12.75">
      <c r="A139" s="175"/>
      <c r="B139" s="175"/>
      <c r="C139" s="175"/>
      <c r="D139" s="175"/>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c r="AA139" s="175"/>
      <c r="AB139" s="175"/>
      <c r="AC139" s="175"/>
    </row>
    <row r="140" spans="1:29" ht="12.75">
      <c r="A140" s="175"/>
      <c r="B140" s="175"/>
      <c r="C140" s="175"/>
      <c r="D140" s="175"/>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c r="AA140" s="175"/>
      <c r="AB140" s="175"/>
      <c r="AC140" s="175"/>
    </row>
    <row r="141" spans="1:29" ht="12.75">
      <c r="A141" s="175"/>
      <c r="B141" s="175"/>
      <c r="C141" s="175"/>
      <c r="D141" s="175"/>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c r="AA141" s="175"/>
      <c r="AB141" s="175"/>
      <c r="AC141" s="175"/>
    </row>
    <row r="142" spans="1:29" ht="12.75">
      <c r="A142" s="175"/>
      <c r="B142" s="175"/>
      <c r="C142" s="175"/>
      <c r="D142" s="175"/>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c r="AA142" s="175"/>
      <c r="AB142" s="175"/>
      <c r="AC142" s="175"/>
    </row>
    <row r="143" spans="1:29" ht="12.75">
      <c r="A143" s="175"/>
      <c r="B143" s="175"/>
      <c r="C143" s="175"/>
      <c r="D143" s="175"/>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c r="AA143" s="175"/>
      <c r="AB143" s="175"/>
      <c r="AC143" s="175"/>
    </row>
    <row r="144" spans="1:29" ht="12.75">
      <c r="A144" s="175"/>
      <c r="B144" s="175"/>
      <c r="C144" s="175"/>
      <c r="D144" s="175"/>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c r="AA144" s="175"/>
      <c r="AB144" s="175"/>
      <c r="AC144" s="175"/>
    </row>
    <row r="145" spans="1:29" ht="12.75">
      <c r="A145" s="175"/>
      <c r="B145" s="175"/>
      <c r="C145" s="175"/>
      <c r="D145" s="175"/>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c r="AA145" s="175"/>
      <c r="AB145" s="175"/>
      <c r="AC145" s="175"/>
    </row>
    <row r="146" spans="1:29" ht="12.75">
      <c r="A146" s="175"/>
      <c r="B146" s="175"/>
      <c r="C146" s="175"/>
      <c r="D146" s="175"/>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c r="AA146" s="175"/>
      <c r="AB146" s="175"/>
      <c r="AC146" s="175"/>
    </row>
    <row r="147" spans="1:29" ht="12.75">
      <c r="A147" s="175"/>
      <c r="B147" s="175"/>
      <c r="C147" s="175"/>
      <c r="D147" s="175"/>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c r="AA147" s="175"/>
      <c r="AB147" s="175"/>
      <c r="AC147" s="175"/>
    </row>
    <row r="148" spans="1:29" ht="12.75">
      <c r="A148" s="175"/>
      <c r="B148" s="175"/>
      <c r="C148" s="175"/>
      <c r="D148" s="175"/>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c r="AA148" s="175"/>
      <c r="AB148" s="175"/>
      <c r="AC148" s="175"/>
    </row>
    <row r="149" spans="1:29" ht="12.75">
      <c r="A149" s="175"/>
      <c r="B149" s="175"/>
      <c r="C149" s="175"/>
      <c r="D149" s="175"/>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c r="AA149" s="175"/>
      <c r="AB149" s="175"/>
      <c r="AC149" s="175"/>
    </row>
    <row r="150" spans="1:29" ht="12.75">
      <c r="A150" s="175"/>
      <c r="B150" s="175"/>
      <c r="C150" s="175"/>
      <c r="D150" s="175"/>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c r="AA150" s="175"/>
      <c r="AB150" s="175"/>
      <c r="AC150" s="175"/>
    </row>
    <row r="151" spans="1:29" ht="12.75">
      <c r="A151" s="175"/>
      <c r="B151" s="175"/>
      <c r="C151" s="175"/>
      <c r="D151" s="175"/>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c r="AA151" s="175"/>
      <c r="AB151" s="175"/>
      <c r="AC151" s="175"/>
    </row>
    <row r="152" spans="1:29" ht="12.75">
      <c r="A152" s="175"/>
      <c r="B152" s="175"/>
      <c r="C152" s="175"/>
      <c r="D152" s="175"/>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c r="AA152" s="175"/>
      <c r="AB152" s="175"/>
      <c r="AC152" s="175"/>
    </row>
    <row r="153" spans="1:29" ht="12.75">
      <c r="A153" s="175"/>
      <c r="B153" s="175"/>
      <c r="C153" s="175"/>
      <c r="D153" s="175"/>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c r="AA153" s="175"/>
      <c r="AB153" s="175"/>
      <c r="AC153" s="175"/>
    </row>
    <row r="154" spans="1:29" ht="12.75">
      <c r="A154" s="175"/>
      <c r="B154" s="175"/>
      <c r="C154" s="175"/>
      <c r="D154" s="175"/>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c r="AA154" s="175"/>
      <c r="AB154" s="175"/>
      <c r="AC154" s="175"/>
    </row>
    <row r="155" spans="1:29" ht="12.75">
      <c r="A155" s="175"/>
      <c r="B155" s="175"/>
      <c r="C155" s="175"/>
      <c r="D155" s="175"/>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c r="AA155" s="175"/>
      <c r="AB155" s="175"/>
      <c r="AC155" s="175"/>
    </row>
    <row r="156" spans="1:29" ht="12.75">
      <c r="A156" s="175"/>
      <c r="B156" s="175"/>
      <c r="C156" s="175"/>
      <c r="D156" s="175"/>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c r="AA156" s="175"/>
      <c r="AB156" s="175"/>
      <c r="AC156" s="175"/>
    </row>
    <row r="157" spans="1:29" ht="12.75">
      <c r="A157" s="175"/>
      <c r="B157" s="175"/>
      <c r="C157" s="175"/>
      <c r="D157" s="175"/>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c r="AA157" s="175"/>
      <c r="AB157" s="175"/>
      <c r="AC157" s="175"/>
    </row>
    <row r="158" spans="1:29" ht="12.75">
      <c r="A158" s="175"/>
      <c r="B158" s="175"/>
      <c r="C158" s="175"/>
      <c r="D158" s="175"/>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c r="AA158" s="175"/>
      <c r="AB158" s="175"/>
      <c r="AC158" s="175"/>
    </row>
    <row r="159" spans="1:29" ht="12.75">
      <c r="A159" s="175"/>
      <c r="B159" s="175"/>
      <c r="C159" s="175"/>
      <c r="D159" s="175"/>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c r="AA159" s="175"/>
      <c r="AB159" s="175"/>
      <c r="AC159" s="175"/>
    </row>
    <row r="160" spans="1:29" ht="12.75">
      <c r="A160" s="175"/>
      <c r="B160" s="175"/>
      <c r="C160" s="175"/>
      <c r="D160" s="175"/>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c r="AA160" s="175"/>
      <c r="AB160" s="175"/>
      <c r="AC160" s="175"/>
    </row>
    <row r="161" spans="1:29" ht="12.75">
      <c r="A161" s="175"/>
      <c r="B161" s="175"/>
      <c r="C161" s="175"/>
      <c r="D161" s="175"/>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c r="AA161" s="175"/>
      <c r="AB161" s="175"/>
      <c r="AC161" s="175"/>
    </row>
    <row r="162" spans="1:29" ht="12.75">
      <c r="A162" s="175"/>
      <c r="B162" s="175"/>
      <c r="C162" s="175"/>
      <c r="D162" s="175"/>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c r="AA162" s="175"/>
      <c r="AB162" s="175"/>
      <c r="AC162" s="175"/>
    </row>
    <row r="163" spans="1:29" ht="12.75">
      <c r="A163" s="175"/>
      <c r="B163" s="175"/>
      <c r="C163" s="175"/>
      <c r="D163" s="175"/>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c r="AA163" s="175"/>
      <c r="AB163" s="175"/>
      <c r="AC163" s="175"/>
    </row>
    <row r="164" spans="1:29" ht="12.75">
      <c r="A164" s="175"/>
      <c r="B164" s="175"/>
      <c r="C164" s="175"/>
      <c r="D164" s="175"/>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c r="AA164" s="175"/>
      <c r="AB164" s="175"/>
      <c r="AC164" s="175"/>
    </row>
    <row r="165" spans="1:29" ht="12.75">
      <c r="A165" s="175"/>
      <c r="B165" s="175"/>
      <c r="C165" s="175"/>
      <c r="D165" s="175"/>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c r="AA165" s="175"/>
      <c r="AB165" s="175"/>
      <c r="AC165" s="175"/>
    </row>
    <row r="166" spans="1:29" ht="12.75">
      <c r="A166" s="175"/>
      <c r="B166" s="175"/>
      <c r="C166" s="175"/>
      <c r="D166" s="175"/>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c r="AA166" s="175"/>
      <c r="AB166" s="175"/>
      <c r="AC166" s="175"/>
    </row>
    <row r="167" spans="1:29" ht="12.75">
      <c r="A167" s="175"/>
      <c r="B167" s="175"/>
      <c r="C167" s="175"/>
      <c r="D167" s="175"/>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c r="AA167" s="175"/>
      <c r="AB167" s="175"/>
      <c r="AC167" s="175"/>
    </row>
    <row r="168" spans="1:29" ht="12.75">
      <c r="A168" s="175"/>
      <c r="B168" s="175"/>
      <c r="C168" s="175"/>
      <c r="D168" s="175"/>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c r="AA168" s="175"/>
      <c r="AB168" s="175"/>
      <c r="AC168" s="175"/>
    </row>
    <row r="169" spans="1:29" ht="12.75">
      <c r="A169" s="175"/>
      <c r="B169" s="175"/>
      <c r="C169" s="175"/>
      <c r="D169" s="175"/>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c r="AA169" s="175"/>
      <c r="AB169" s="175"/>
      <c r="AC169" s="175"/>
    </row>
    <row r="170" spans="1:29" ht="12.75">
      <c r="A170" s="175"/>
      <c r="B170" s="175"/>
      <c r="C170" s="175"/>
      <c r="D170" s="175"/>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c r="AA170" s="175"/>
      <c r="AB170" s="175"/>
      <c r="AC170" s="175"/>
    </row>
    <row r="171" spans="1:29" ht="12.75">
      <c r="A171" s="175"/>
      <c r="B171" s="175"/>
      <c r="C171" s="175"/>
      <c r="D171" s="175"/>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c r="AA171" s="175"/>
      <c r="AB171" s="175"/>
      <c r="AC171" s="175"/>
    </row>
    <row r="172" spans="1:29" ht="12.75">
      <c r="A172" s="175"/>
      <c r="B172" s="175"/>
      <c r="C172" s="175"/>
      <c r="D172" s="175"/>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c r="AA172" s="175"/>
      <c r="AB172" s="175"/>
      <c r="AC172" s="175"/>
    </row>
    <row r="173" spans="1:29" ht="12.75">
      <c r="A173" s="175"/>
      <c r="B173" s="175"/>
      <c r="C173" s="175"/>
      <c r="D173" s="175"/>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c r="AA173" s="175"/>
      <c r="AB173" s="175"/>
      <c r="AC173" s="175"/>
    </row>
    <row r="174" spans="1:29" ht="12.75">
      <c r="A174" s="175"/>
      <c r="B174" s="175"/>
      <c r="C174" s="175"/>
      <c r="D174" s="175"/>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c r="AA174" s="175"/>
      <c r="AB174" s="175"/>
      <c r="AC174" s="175"/>
    </row>
    <row r="175" spans="1:29" ht="12.75">
      <c r="A175" s="175"/>
      <c r="B175" s="175"/>
      <c r="C175" s="175"/>
      <c r="D175" s="175"/>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c r="AA175" s="175"/>
      <c r="AB175" s="175"/>
      <c r="AC175" s="175"/>
    </row>
    <row r="176" spans="1:29" ht="12.75">
      <c r="A176" s="175"/>
      <c r="B176" s="175"/>
      <c r="C176" s="175"/>
      <c r="D176" s="175"/>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c r="AA176" s="175"/>
      <c r="AB176" s="175"/>
      <c r="AC176" s="175"/>
    </row>
    <row r="177" spans="1:29" ht="12.75">
      <c r="A177" s="175"/>
      <c r="B177" s="175"/>
      <c r="C177" s="175"/>
      <c r="D177" s="175"/>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c r="AA177" s="175"/>
      <c r="AB177" s="175"/>
      <c r="AC177" s="175"/>
    </row>
    <row r="178" spans="1:29" ht="12.75">
      <c r="A178" s="175"/>
      <c r="B178" s="175"/>
      <c r="C178" s="175"/>
      <c r="D178" s="175"/>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c r="AA178" s="175"/>
      <c r="AB178" s="175"/>
      <c r="AC178" s="175"/>
    </row>
    <row r="179" spans="1:29" ht="12.75">
      <c r="A179" s="175"/>
      <c r="B179" s="175"/>
      <c r="C179" s="175"/>
      <c r="D179" s="175"/>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c r="AA179" s="175"/>
      <c r="AB179" s="175"/>
      <c r="AC179" s="175"/>
    </row>
    <row r="180" spans="1:29" ht="12.75">
      <c r="A180" s="175"/>
      <c r="B180" s="175"/>
      <c r="C180" s="175"/>
      <c r="D180" s="175"/>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c r="AA180" s="175"/>
      <c r="AB180" s="175"/>
      <c r="AC180" s="175"/>
    </row>
    <row r="181" spans="1:29" ht="12.75">
      <c r="A181" s="175"/>
      <c r="B181" s="175"/>
      <c r="C181" s="175"/>
      <c r="D181" s="175"/>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c r="AA181" s="175"/>
      <c r="AB181" s="175"/>
      <c r="AC181" s="175"/>
    </row>
    <row r="182" spans="1:29" ht="12.75">
      <c r="A182" s="175"/>
      <c r="B182" s="175"/>
      <c r="C182" s="175"/>
      <c r="D182" s="175"/>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c r="AA182" s="175"/>
      <c r="AB182" s="175"/>
      <c r="AC182" s="175"/>
    </row>
    <row r="183" spans="1:29" ht="12.75">
      <c r="A183" s="175"/>
      <c r="B183" s="175"/>
      <c r="C183" s="175"/>
      <c r="D183" s="175"/>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c r="AA183" s="175"/>
      <c r="AB183" s="175"/>
      <c r="AC183" s="175"/>
    </row>
    <row r="184" spans="1:29" ht="12.75">
      <c r="A184" s="175"/>
      <c r="B184" s="175"/>
      <c r="C184" s="175"/>
      <c r="D184" s="175"/>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c r="AA184" s="175"/>
      <c r="AB184" s="175"/>
      <c r="AC184" s="175"/>
    </row>
    <row r="185" spans="1:29" ht="12.75">
      <c r="A185" s="175"/>
      <c r="B185" s="175"/>
      <c r="C185" s="175"/>
      <c r="D185" s="175"/>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c r="AA185" s="175"/>
      <c r="AB185" s="175"/>
      <c r="AC185" s="175"/>
    </row>
    <row r="186" spans="1:29" ht="12.75">
      <c r="A186" s="175"/>
      <c r="B186" s="175"/>
      <c r="C186" s="175"/>
      <c r="D186" s="175"/>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c r="AA186" s="175"/>
      <c r="AB186" s="175"/>
      <c r="AC186" s="175"/>
    </row>
    <row r="187" spans="1:29" ht="12.75">
      <c r="A187" s="175"/>
      <c r="B187" s="175"/>
      <c r="C187" s="175"/>
      <c r="D187" s="175"/>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c r="AA187" s="175"/>
      <c r="AB187" s="175"/>
      <c r="AC187" s="175"/>
    </row>
    <row r="188" spans="1:29" ht="12.75">
      <c r="A188" s="175"/>
      <c r="B188" s="175"/>
      <c r="C188" s="175"/>
      <c r="D188" s="175"/>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c r="AA188" s="175"/>
      <c r="AB188" s="175"/>
      <c r="AC188" s="175"/>
    </row>
    <row r="189" spans="1:29" ht="12.75">
      <c r="A189" s="175"/>
      <c r="B189" s="175"/>
      <c r="C189" s="175"/>
      <c r="D189" s="175"/>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c r="AA189" s="175"/>
      <c r="AB189" s="175"/>
      <c r="AC189" s="175"/>
    </row>
    <row r="190" spans="1:29" ht="12.75">
      <c r="A190" s="175"/>
      <c r="B190" s="175"/>
      <c r="C190" s="175"/>
      <c r="D190" s="175"/>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c r="AA190" s="175"/>
      <c r="AB190" s="175"/>
      <c r="AC190" s="175"/>
    </row>
    <row r="191" spans="1:29" ht="12.75">
      <c r="A191" s="175"/>
      <c r="B191" s="175"/>
      <c r="C191" s="175"/>
      <c r="D191" s="175"/>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c r="AA191" s="175"/>
      <c r="AB191" s="175"/>
      <c r="AC191" s="175"/>
    </row>
    <row r="192" spans="1:29" ht="12.75">
      <c r="A192" s="175"/>
      <c r="B192" s="175"/>
      <c r="C192" s="175"/>
      <c r="D192" s="175"/>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c r="AA192" s="175"/>
      <c r="AB192" s="175"/>
      <c r="AC192" s="175"/>
    </row>
    <row r="193" spans="1:29" ht="12.75">
      <c r="A193" s="175"/>
      <c r="B193" s="175"/>
      <c r="C193" s="175"/>
      <c r="D193" s="175"/>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c r="AA193" s="175"/>
      <c r="AB193" s="175"/>
      <c r="AC193" s="175"/>
    </row>
    <row r="194" spans="1:29" ht="12.75">
      <c r="A194" s="175"/>
      <c r="B194" s="175"/>
      <c r="C194" s="175"/>
      <c r="D194" s="175"/>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c r="AA194" s="175"/>
      <c r="AB194" s="175"/>
      <c r="AC194" s="175"/>
    </row>
    <row r="195" spans="1:29" ht="12.75">
      <c r="A195" s="175"/>
      <c r="B195" s="175"/>
      <c r="C195" s="175"/>
      <c r="D195" s="175"/>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c r="AA195" s="175"/>
      <c r="AB195" s="175"/>
      <c r="AC195" s="175"/>
    </row>
    <row r="196" spans="1:29" ht="12.75">
      <c r="A196" s="175"/>
      <c r="B196" s="175"/>
      <c r="C196" s="175"/>
      <c r="D196" s="175"/>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c r="AA196" s="175"/>
      <c r="AB196" s="175"/>
      <c r="AC196" s="175"/>
    </row>
    <row r="197" spans="1:29" ht="12.75">
      <c r="A197" s="175"/>
      <c r="B197" s="175"/>
      <c r="C197" s="175"/>
      <c r="D197" s="175"/>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c r="AA197" s="175"/>
      <c r="AB197" s="175"/>
      <c r="AC197" s="175"/>
    </row>
    <row r="198" spans="1:29" ht="12.75">
      <c r="A198" s="175"/>
      <c r="B198" s="175"/>
      <c r="C198" s="175"/>
      <c r="D198" s="175"/>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c r="AA198" s="175"/>
      <c r="AB198" s="175"/>
      <c r="AC198" s="175"/>
    </row>
    <row r="199" spans="1:29" ht="12.75">
      <c r="A199" s="175"/>
      <c r="B199" s="175"/>
      <c r="C199" s="175"/>
      <c r="D199" s="175"/>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c r="AA199" s="175"/>
      <c r="AB199" s="175"/>
      <c r="AC199" s="175"/>
    </row>
    <row r="200" spans="1:29" ht="12.75">
      <c r="A200" s="175"/>
      <c r="B200" s="175"/>
      <c r="C200" s="175"/>
      <c r="D200" s="175"/>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c r="AA200" s="175"/>
      <c r="AB200" s="175"/>
      <c r="AC200" s="175"/>
    </row>
    <row r="201" spans="1:29" ht="12.75">
      <c r="A201" s="175"/>
      <c r="B201" s="175"/>
      <c r="C201" s="175"/>
      <c r="D201" s="175"/>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c r="AA201" s="175"/>
      <c r="AB201" s="175"/>
      <c r="AC201" s="175"/>
    </row>
    <row r="202" spans="1:29" ht="12.75">
      <c r="A202" s="175"/>
      <c r="B202" s="175"/>
      <c r="C202" s="175"/>
      <c r="D202" s="175"/>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c r="AA202" s="175"/>
      <c r="AB202" s="175"/>
      <c r="AC202" s="175"/>
    </row>
    <row r="203" spans="1:29" ht="12.75">
      <c r="A203" s="175"/>
      <c r="B203" s="175"/>
      <c r="C203" s="175"/>
      <c r="D203" s="175"/>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c r="AA203" s="175"/>
      <c r="AB203" s="175"/>
      <c r="AC203" s="175"/>
    </row>
    <row r="204" spans="1:29" ht="12.75">
      <c r="A204" s="175"/>
      <c r="B204" s="175"/>
      <c r="C204" s="175"/>
      <c r="D204" s="175"/>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c r="AA204" s="175"/>
      <c r="AB204" s="175"/>
      <c r="AC204" s="175"/>
    </row>
    <row r="205" spans="1:29" ht="12.75">
      <c r="A205" s="175"/>
      <c r="B205" s="175"/>
      <c r="C205" s="175"/>
      <c r="D205" s="175"/>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c r="AA205" s="175"/>
      <c r="AB205" s="175"/>
      <c r="AC205" s="175"/>
    </row>
    <row r="206" spans="1:29" ht="12.75">
      <c r="A206" s="175"/>
      <c r="B206" s="175"/>
      <c r="C206" s="175"/>
      <c r="D206" s="175"/>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c r="AA206" s="175"/>
      <c r="AB206" s="175"/>
      <c r="AC206" s="175"/>
    </row>
    <row r="207" spans="1:29" ht="12.75">
      <c r="A207" s="175"/>
      <c r="B207" s="175"/>
      <c r="C207" s="175"/>
      <c r="D207" s="175"/>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c r="AA207" s="175"/>
      <c r="AB207" s="175"/>
      <c r="AC207" s="175"/>
    </row>
    <row r="208" spans="1:29" ht="12.75">
      <c r="A208" s="175"/>
      <c r="B208" s="175"/>
      <c r="C208" s="175"/>
      <c r="D208" s="175"/>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c r="AA208" s="175"/>
      <c r="AB208" s="175"/>
      <c r="AC208" s="175"/>
    </row>
    <row r="209" spans="1:29" ht="12.75">
      <c r="A209" s="175"/>
      <c r="B209" s="175"/>
      <c r="C209" s="175"/>
      <c r="D209" s="175"/>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c r="AA209" s="175"/>
      <c r="AB209" s="175"/>
      <c r="AC209" s="175"/>
    </row>
    <row r="210" spans="1:29" ht="12.75">
      <c r="A210" s="175"/>
      <c r="B210" s="175"/>
      <c r="C210" s="175"/>
      <c r="D210" s="175"/>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c r="AA210" s="175"/>
      <c r="AB210" s="175"/>
      <c r="AC210" s="175"/>
    </row>
    <row r="211" spans="1:29" ht="12.75">
      <c r="A211" s="175"/>
      <c r="B211" s="175"/>
      <c r="C211" s="175"/>
      <c r="D211" s="175"/>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c r="AA211" s="175"/>
      <c r="AB211" s="175"/>
      <c r="AC211" s="175"/>
    </row>
    <row r="212" spans="1:29" ht="12.75">
      <c r="A212" s="175"/>
      <c r="B212" s="175"/>
      <c r="C212" s="175"/>
      <c r="D212" s="175"/>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c r="AA212" s="175"/>
      <c r="AB212" s="175"/>
      <c r="AC212" s="175"/>
    </row>
    <row r="213" spans="1:29" ht="12.75">
      <c r="A213" s="175"/>
      <c r="B213" s="175"/>
      <c r="C213" s="175"/>
      <c r="D213" s="175"/>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c r="AA213" s="175"/>
      <c r="AB213" s="175"/>
      <c r="AC213" s="175"/>
    </row>
    <row r="214" spans="1:29" ht="12.75">
      <c r="A214" s="175"/>
      <c r="B214" s="175"/>
      <c r="C214" s="175"/>
      <c r="D214" s="175"/>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c r="AA214" s="175"/>
      <c r="AB214" s="175"/>
      <c r="AC214" s="175"/>
    </row>
    <row r="215" spans="1:29" ht="12.75">
      <c r="A215" s="175"/>
      <c r="B215" s="175"/>
      <c r="C215" s="175"/>
      <c r="D215" s="175"/>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c r="AA215" s="175"/>
      <c r="AB215" s="175"/>
      <c r="AC215" s="175"/>
    </row>
    <row r="216" spans="1:29" ht="12.75">
      <c r="A216" s="175"/>
      <c r="B216" s="175"/>
      <c r="C216" s="175"/>
      <c r="D216" s="175"/>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c r="AA216" s="175"/>
      <c r="AB216" s="175"/>
      <c r="AC216" s="175"/>
    </row>
    <row r="217" spans="1:29" ht="12.75">
      <c r="A217" s="175"/>
      <c r="B217" s="175"/>
      <c r="C217" s="175"/>
      <c r="D217" s="175"/>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c r="AA217" s="175"/>
      <c r="AB217" s="175"/>
      <c r="AC217" s="175"/>
    </row>
    <row r="218" spans="1:29" ht="12.75">
      <c r="A218" s="175"/>
      <c r="B218" s="175"/>
      <c r="C218" s="175"/>
      <c r="D218" s="175"/>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c r="AA218" s="175"/>
      <c r="AB218" s="175"/>
      <c r="AC218" s="175"/>
    </row>
    <row r="219" spans="1:29" ht="12.75">
      <c r="A219" s="175"/>
      <c r="B219" s="175"/>
      <c r="C219" s="175"/>
      <c r="D219" s="175"/>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c r="AA219" s="175"/>
      <c r="AB219" s="175"/>
      <c r="AC219" s="175"/>
    </row>
    <row r="220" spans="1:29" ht="12.75">
      <c r="A220" s="175"/>
      <c r="B220" s="175"/>
      <c r="C220" s="175"/>
      <c r="D220" s="175"/>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c r="AA220" s="175"/>
      <c r="AB220" s="175"/>
      <c r="AC220" s="175"/>
    </row>
    <row r="221" spans="1:29" ht="12.75">
      <c r="A221" s="175"/>
      <c r="B221" s="175"/>
      <c r="C221" s="175"/>
      <c r="D221" s="175"/>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c r="AA221" s="175"/>
      <c r="AB221" s="175"/>
      <c r="AC221" s="175"/>
    </row>
    <row r="222" spans="1:29" ht="12.75">
      <c r="A222" s="175"/>
      <c r="B222" s="175"/>
      <c r="C222" s="175"/>
      <c r="D222" s="175"/>
      <c r="E222" s="175"/>
      <c r="F222" s="175"/>
      <c r="G222" s="175"/>
      <c r="H222" s="175"/>
      <c r="I222" s="175"/>
      <c r="J222" s="175"/>
      <c r="K222" s="175"/>
      <c r="L222" s="175"/>
      <c r="M222" s="175"/>
      <c r="N222" s="175"/>
      <c r="O222" s="175"/>
      <c r="P222" s="175"/>
      <c r="Q222" s="175"/>
      <c r="R222" s="175"/>
      <c r="S222" s="175"/>
      <c r="T222" s="175"/>
      <c r="U222" s="175"/>
      <c r="V222" s="175"/>
      <c r="W222" s="175"/>
      <c r="X222" s="175"/>
      <c r="Y222" s="175"/>
      <c r="Z222" s="175"/>
      <c r="AA222" s="175"/>
      <c r="AB222" s="175"/>
      <c r="AC222" s="175"/>
    </row>
    <row r="223" spans="1:29" ht="12.75">
      <c r="A223" s="175"/>
      <c r="B223" s="175"/>
      <c r="C223" s="175"/>
      <c r="D223" s="175"/>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c r="AA223" s="175"/>
      <c r="AB223" s="175"/>
      <c r="AC223" s="175"/>
    </row>
    <row r="224" spans="1:29" ht="12.75">
      <c r="A224" s="175"/>
      <c r="B224" s="175"/>
      <c r="C224" s="175"/>
      <c r="D224" s="175"/>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c r="AA224" s="175"/>
      <c r="AB224" s="175"/>
      <c r="AC224" s="175"/>
    </row>
    <row r="225" spans="1:29" ht="12.75">
      <c r="A225" s="175"/>
      <c r="B225" s="175"/>
      <c r="C225" s="175"/>
      <c r="D225" s="175"/>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c r="AA225" s="175"/>
      <c r="AB225" s="175"/>
      <c r="AC225" s="175"/>
    </row>
    <row r="226" spans="1:29" ht="12.75">
      <c r="A226" s="175"/>
      <c r="B226" s="175"/>
      <c r="C226" s="175"/>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c r="AA226" s="175"/>
      <c r="AB226" s="175"/>
      <c r="AC226" s="175"/>
    </row>
    <row r="227" spans="1:29" ht="12.75">
      <c r="A227" s="175"/>
      <c r="B227" s="175"/>
      <c r="C227" s="175"/>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c r="AA227" s="175"/>
      <c r="AB227" s="175"/>
      <c r="AC227" s="175"/>
    </row>
    <row r="228" spans="1:29" ht="12.75">
      <c r="A228" s="175"/>
      <c r="B228" s="175"/>
      <c r="C228" s="175"/>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c r="AA228" s="175"/>
      <c r="AB228" s="175"/>
      <c r="AC228" s="175"/>
    </row>
    <row r="229" spans="1:29" ht="12.75">
      <c r="A229" s="175"/>
      <c r="B229" s="175"/>
      <c r="C229" s="175"/>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c r="AA229" s="175"/>
      <c r="AB229" s="175"/>
      <c r="AC229" s="175"/>
    </row>
    <row r="230" spans="1:29" ht="12.75">
      <c r="A230" s="175"/>
      <c r="B230" s="175"/>
      <c r="C230" s="175"/>
      <c r="D230" s="175"/>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c r="AA230" s="175"/>
      <c r="AB230" s="175"/>
      <c r="AC230" s="175"/>
    </row>
    <row r="231" spans="1:29" ht="12.75">
      <c r="A231" s="175"/>
      <c r="B231" s="175"/>
      <c r="C231" s="175"/>
      <c r="D231" s="175"/>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c r="AA231" s="175"/>
      <c r="AB231" s="175"/>
      <c r="AC231" s="175"/>
    </row>
    <row r="232" spans="1:29" ht="12.75">
      <c r="A232" s="175"/>
      <c r="B232" s="175"/>
      <c r="C232" s="175"/>
      <c r="D232" s="175"/>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c r="AA232" s="175"/>
      <c r="AB232" s="175"/>
      <c r="AC232" s="175"/>
    </row>
    <row r="233" spans="1:29" ht="12.75">
      <c r="A233" s="175"/>
      <c r="B233" s="175"/>
      <c r="C233" s="175"/>
      <c r="D233" s="175"/>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c r="AA233" s="175"/>
      <c r="AB233" s="175"/>
      <c r="AC233" s="175"/>
    </row>
    <row r="234" spans="1:29" ht="12.75">
      <c r="A234" s="175"/>
      <c r="B234" s="175"/>
      <c r="C234" s="175"/>
      <c r="D234" s="175"/>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c r="AA234" s="175"/>
      <c r="AB234" s="175"/>
      <c r="AC234" s="175"/>
    </row>
    <row r="235" spans="1:29" ht="12.75">
      <c r="A235" s="175"/>
      <c r="B235" s="175"/>
      <c r="C235" s="175"/>
      <c r="D235" s="175"/>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c r="AA235" s="175"/>
      <c r="AB235" s="175"/>
      <c r="AC235" s="175"/>
    </row>
    <row r="236" spans="1:29" ht="12.75">
      <c r="A236" s="175"/>
      <c r="B236" s="175"/>
      <c r="C236" s="175"/>
      <c r="D236" s="175"/>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c r="AA236" s="175"/>
      <c r="AB236" s="175"/>
      <c r="AC236" s="175"/>
    </row>
    <row r="237" spans="1:29" ht="12.75">
      <c r="A237" s="175"/>
      <c r="B237" s="175"/>
      <c r="C237" s="175"/>
      <c r="D237" s="175"/>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c r="AA237" s="175"/>
      <c r="AB237" s="175"/>
      <c r="AC237" s="175"/>
    </row>
    <row r="238" spans="1:29" ht="12.75">
      <c r="A238" s="175"/>
      <c r="B238" s="175"/>
      <c r="C238" s="175"/>
      <c r="D238" s="175"/>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c r="AA238" s="175"/>
      <c r="AB238" s="175"/>
      <c r="AC238" s="175"/>
    </row>
    <row r="239" spans="1:29" ht="12.75">
      <c r="A239" s="175"/>
      <c r="B239" s="175"/>
      <c r="C239" s="175"/>
      <c r="D239" s="175"/>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c r="AA239" s="175"/>
      <c r="AB239" s="175"/>
      <c r="AC239" s="175"/>
    </row>
    <row r="240" spans="1:29" ht="12.75">
      <c r="A240" s="175"/>
      <c r="B240" s="175"/>
      <c r="C240" s="175"/>
      <c r="D240" s="175"/>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c r="AA240" s="175"/>
      <c r="AB240" s="175"/>
      <c r="AC240" s="175"/>
    </row>
    <row r="241" spans="1:29" ht="12.75">
      <c r="A241" s="175"/>
      <c r="B241" s="175"/>
      <c r="C241" s="175"/>
      <c r="D241" s="175"/>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c r="AA241" s="175"/>
      <c r="AB241" s="175"/>
      <c r="AC241" s="175"/>
    </row>
    <row r="242" spans="1:29" ht="12.75">
      <c r="A242" s="175"/>
      <c r="B242" s="175"/>
      <c r="C242" s="175"/>
      <c r="D242" s="175"/>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c r="AA242" s="175"/>
      <c r="AB242" s="175"/>
      <c r="AC242" s="175"/>
    </row>
    <row r="243" spans="1:29" ht="12.75">
      <c r="A243" s="175"/>
      <c r="B243" s="175"/>
      <c r="C243" s="175"/>
      <c r="D243" s="175"/>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c r="AA243" s="175"/>
      <c r="AB243" s="175"/>
      <c r="AC243" s="175"/>
    </row>
    <row r="244" spans="1:29" ht="12.75">
      <c r="A244" s="175"/>
      <c r="B244" s="175"/>
      <c r="C244" s="175"/>
      <c r="D244" s="175"/>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c r="AA244" s="175"/>
      <c r="AB244" s="175"/>
      <c r="AC244" s="175"/>
    </row>
    <row r="245" spans="1:29" ht="12.75">
      <c r="A245" s="175"/>
      <c r="B245" s="175"/>
      <c r="C245" s="175"/>
      <c r="D245" s="175"/>
      <c r="E245" s="175"/>
      <c r="F245" s="175"/>
      <c r="G245" s="175"/>
      <c r="H245" s="175"/>
      <c r="I245" s="175"/>
      <c r="J245" s="175"/>
      <c r="K245" s="175"/>
      <c r="L245" s="175"/>
      <c r="M245" s="175"/>
      <c r="N245" s="175"/>
      <c r="O245" s="175"/>
      <c r="P245" s="175"/>
      <c r="Q245" s="175"/>
      <c r="R245" s="175"/>
      <c r="S245" s="175"/>
      <c r="T245" s="175"/>
      <c r="U245" s="175"/>
      <c r="V245" s="175"/>
      <c r="W245" s="175"/>
      <c r="X245" s="175"/>
      <c r="Y245" s="175"/>
      <c r="Z245" s="175"/>
      <c r="AA245" s="175"/>
      <c r="AB245" s="175"/>
      <c r="AC245" s="175"/>
    </row>
    <row r="246" spans="1:29" ht="12.75">
      <c r="A246" s="175"/>
      <c r="B246" s="175"/>
      <c r="C246" s="175"/>
      <c r="D246" s="175"/>
      <c r="E246" s="175"/>
      <c r="F246" s="175"/>
      <c r="G246" s="175"/>
      <c r="H246" s="175"/>
      <c r="I246" s="175"/>
      <c r="J246" s="175"/>
      <c r="K246" s="175"/>
      <c r="L246" s="175"/>
      <c r="M246" s="175"/>
      <c r="N246" s="175"/>
      <c r="O246" s="175"/>
      <c r="P246" s="175"/>
      <c r="Q246" s="175"/>
      <c r="R246" s="175"/>
      <c r="S246" s="175"/>
      <c r="T246" s="175"/>
      <c r="U246" s="175"/>
      <c r="V246" s="175"/>
      <c r="W246" s="175"/>
      <c r="X246" s="175"/>
      <c r="Y246" s="175"/>
      <c r="Z246" s="175"/>
      <c r="AA246" s="175"/>
      <c r="AB246" s="175"/>
      <c r="AC246" s="175"/>
    </row>
    <row r="247" spans="1:29" ht="12.75">
      <c r="A247" s="175"/>
      <c r="B247" s="175"/>
      <c r="C247" s="175"/>
      <c r="D247" s="175"/>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c r="AA247" s="175"/>
      <c r="AB247" s="175"/>
      <c r="AC247" s="175"/>
    </row>
    <row r="248" spans="1:29" ht="12.75">
      <c r="A248" s="175"/>
      <c r="B248" s="175"/>
      <c r="C248" s="175"/>
      <c r="D248" s="175"/>
      <c r="E248" s="175"/>
      <c r="F248" s="175"/>
      <c r="G248" s="175"/>
      <c r="H248" s="175"/>
      <c r="I248" s="175"/>
      <c r="J248" s="175"/>
      <c r="K248" s="175"/>
      <c r="L248" s="175"/>
      <c r="M248" s="175"/>
      <c r="N248" s="175"/>
      <c r="O248" s="175"/>
      <c r="P248" s="175"/>
      <c r="Q248" s="175"/>
      <c r="R248" s="175"/>
      <c r="S248" s="175"/>
      <c r="T248" s="175"/>
      <c r="U248" s="175"/>
      <c r="V248" s="175"/>
      <c r="W248" s="175"/>
      <c r="X248" s="175"/>
      <c r="Y248" s="175"/>
      <c r="Z248" s="175"/>
      <c r="AA248" s="175"/>
      <c r="AB248" s="175"/>
      <c r="AC248" s="175"/>
    </row>
    <row r="249" spans="1:29" ht="12.75">
      <c r="A249" s="175"/>
      <c r="B249" s="175"/>
      <c r="C249" s="175"/>
      <c r="D249" s="175"/>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c r="AA249" s="175"/>
      <c r="AB249" s="175"/>
      <c r="AC249" s="175"/>
    </row>
    <row r="250" spans="1:29" ht="12.75">
      <c r="A250" s="175"/>
      <c r="B250" s="175"/>
      <c r="C250" s="175"/>
      <c r="D250" s="175"/>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c r="AA250" s="175"/>
      <c r="AB250" s="175"/>
      <c r="AC250" s="175"/>
    </row>
    <row r="251" spans="1:29" ht="12.75">
      <c r="A251" s="175"/>
      <c r="B251" s="175"/>
      <c r="C251" s="175"/>
      <c r="D251" s="175"/>
      <c r="E251" s="175"/>
      <c r="F251" s="175"/>
      <c r="G251" s="175"/>
      <c r="H251" s="175"/>
      <c r="I251" s="175"/>
      <c r="J251" s="175"/>
      <c r="K251" s="175"/>
      <c r="L251" s="175"/>
      <c r="M251" s="175"/>
      <c r="N251" s="175"/>
      <c r="O251" s="175"/>
      <c r="P251" s="175"/>
      <c r="Q251" s="175"/>
      <c r="R251" s="175"/>
      <c r="S251" s="175"/>
      <c r="T251" s="175"/>
      <c r="U251" s="175"/>
      <c r="V251" s="175"/>
      <c r="W251" s="175"/>
      <c r="X251" s="175"/>
      <c r="Y251" s="175"/>
      <c r="Z251" s="175"/>
      <c r="AA251" s="175"/>
      <c r="AB251" s="175"/>
      <c r="AC251" s="175"/>
    </row>
    <row r="252" spans="1:29" ht="12.75">
      <c r="A252" s="175"/>
      <c r="B252" s="175"/>
      <c r="C252" s="175"/>
      <c r="D252" s="175"/>
      <c r="E252" s="175"/>
      <c r="F252" s="175"/>
      <c r="G252" s="175"/>
      <c r="H252" s="175"/>
      <c r="I252" s="175"/>
      <c r="J252" s="175"/>
      <c r="K252" s="175"/>
      <c r="L252" s="175"/>
      <c r="M252" s="175"/>
      <c r="N252" s="175"/>
      <c r="O252" s="175"/>
      <c r="P252" s="175"/>
      <c r="Q252" s="175"/>
      <c r="R252" s="175"/>
      <c r="S252" s="175"/>
      <c r="T252" s="175"/>
      <c r="U252" s="175"/>
      <c r="V252" s="175"/>
      <c r="W252" s="175"/>
      <c r="X252" s="175"/>
      <c r="Y252" s="175"/>
      <c r="Z252" s="175"/>
      <c r="AA252" s="175"/>
      <c r="AB252" s="175"/>
      <c r="AC252" s="175"/>
    </row>
    <row r="253" spans="1:29" ht="12.75">
      <c r="A253" s="175"/>
      <c r="B253" s="175"/>
      <c r="C253" s="175"/>
      <c r="D253" s="175"/>
      <c r="E253" s="175"/>
      <c r="F253" s="175"/>
      <c r="G253" s="175"/>
      <c r="H253" s="175"/>
      <c r="I253" s="175"/>
      <c r="J253" s="175"/>
      <c r="K253" s="175"/>
      <c r="L253" s="175"/>
      <c r="M253" s="175"/>
      <c r="N253" s="175"/>
      <c r="O253" s="175"/>
      <c r="P253" s="175"/>
      <c r="Q253" s="175"/>
      <c r="R253" s="175"/>
      <c r="S253" s="175"/>
      <c r="T253" s="175"/>
      <c r="U253" s="175"/>
      <c r="V253" s="175"/>
      <c r="W253" s="175"/>
      <c r="X253" s="175"/>
      <c r="Y253" s="175"/>
      <c r="Z253" s="175"/>
      <c r="AA253" s="175"/>
      <c r="AB253" s="175"/>
      <c r="AC253" s="175"/>
    </row>
    <row r="254" spans="1:29" ht="12.75">
      <c r="A254" s="175"/>
      <c r="B254" s="175"/>
      <c r="C254" s="175"/>
      <c r="D254" s="175"/>
      <c r="E254" s="175"/>
      <c r="F254" s="175"/>
      <c r="G254" s="175"/>
      <c r="H254" s="175"/>
      <c r="I254" s="175"/>
      <c r="J254" s="175"/>
      <c r="K254" s="175"/>
      <c r="L254" s="175"/>
      <c r="M254" s="175"/>
      <c r="N254" s="175"/>
      <c r="O254" s="175"/>
      <c r="P254" s="175"/>
      <c r="Q254" s="175"/>
      <c r="R254" s="175"/>
      <c r="S254" s="175"/>
      <c r="T254" s="175"/>
      <c r="U254" s="175"/>
      <c r="V254" s="175"/>
      <c r="W254" s="175"/>
      <c r="X254" s="175"/>
      <c r="Y254" s="175"/>
      <c r="Z254" s="175"/>
      <c r="AA254" s="175"/>
      <c r="AB254" s="175"/>
      <c r="AC254" s="175"/>
    </row>
    <row r="255" spans="1:29" ht="12.75">
      <c r="A255" s="175"/>
      <c r="B255" s="175"/>
      <c r="C255" s="175"/>
      <c r="D255" s="175"/>
      <c r="E255" s="175"/>
      <c r="F255" s="175"/>
      <c r="G255" s="175"/>
      <c r="H255" s="175"/>
      <c r="I255" s="175"/>
      <c r="J255" s="175"/>
      <c r="K255" s="175"/>
      <c r="L255" s="175"/>
      <c r="M255" s="175"/>
      <c r="N255" s="175"/>
      <c r="O255" s="175"/>
      <c r="P255" s="175"/>
      <c r="Q255" s="175"/>
      <c r="R255" s="175"/>
      <c r="S255" s="175"/>
      <c r="T255" s="175"/>
      <c r="U255" s="175"/>
      <c r="V255" s="175"/>
      <c r="W255" s="175"/>
      <c r="X255" s="175"/>
      <c r="Y255" s="175"/>
      <c r="Z255" s="175"/>
      <c r="AA255" s="175"/>
      <c r="AB255" s="175"/>
      <c r="AC255" s="175"/>
    </row>
    <row r="256" spans="1:29" ht="12.75">
      <c r="A256" s="175"/>
      <c r="B256" s="175"/>
      <c r="C256" s="175"/>
      <c r="D256" s="175"/>
      <c r="E256" s="175"/>
      <c r="F256" s="175"/>
      <c r="G256" s="175"/>
      <c r="H256" s="175"/>
      <c r="I256" s="175"/>
      <c r="J256" s="175"/>
      <c r="K256" s="175"/>
      <c r="L256" s="175"/>
      <c r="M256" s="175"/>
      <c r="N256" s="175"/>
      <c r="O256" s="175"/>
      <c r="P256" s="175"/>
      <c r="Q256" s="175"/>
      <c r="R256" s="175"/>
      <c r="S256" s="175"/>
      <c r="T256" s="175"/>
      <c r="U256" s="175"/>
      <c r="V256" s="175"/>
      <c r="W256" s="175"/>
      <c r="X256" s="175"/>
      <c r="Y256" s="175"/>
      <c r="Z256" s="175"/>
      <c r="AA256" s="175"/>
      <c r="AB256" s="175"/>
      <c r="AC256" s="175"/>
    </row>
    <row r="257" spans="1:29" ht="12.75">
      <c r="A257" s="175"/>
      <c r="B257" s="175"/>
      <c r="C257" s="175"/>
      <c r="D257" s="175"/>
      <c r="E257" s="175"/>
      <c r="F257" s="175"/>
      <c r="G257" s="175"/>
      <c r="H257" s="175"/>
      <c r="I257" s="175"/>
      <c r="J257" s="175"/>
      <c r="K257" s="175"/>
      <c r="L257" s="175"/>
      <c r="M257" s="175"/>
      <c r="N257" s="175"/>
      <c r="O257" s="175"/>
      <c r="P257" s="175"/>
      <c r="Q257" s="175"/>
      <c r="R257" s="175"/>
      <c r="S257" s="175"/>
      <c r="T257" s="175"/>
      <c r="U257" s="175"/>
      <c r="V257" s="175"/>
      <c r="W257" s="175"/>
      <c r="X257" s="175"/>
      <c r="Y257" s="175"/>
      <c r="Z257" s="175"/>
      <c r="AA257" s="175"/>
      <c r="AB257" s="175"/>
      <c r="AC257" s="175"/>
    </row>
    <row r="258" spans="1:29" ht="12.75">
      <c r="A258" s="175"/>
      <c r="B258" s="175"/>
      <c r="C258" s="175"/>
      <c r="D258" s="175"/>
      <c r="E258" s="175"/>
      <c r="F258" s="175"/>
      <c r="G258" s="175"/>
      <c r="H258" s="175"/>
      <c r="I258" s="175"/>
      <c r="J258" s="175"/>
      <c r="K258" s="175"/>
      <c r="L258" s="175"/>
      <c r="M258" s="175"/>
      <c r="N258" s="175"/>
      <c r="O258" s="175"/>
      <c r="P258" s="175"/>
      <c r="Q258" s="175"/>
      <c r="R258" s="175"/>
      <c r="S258" s="175"/>
      <c r="T258" s="175"/>
      <c r="U258" s="175"/>
      <c r="V258" s="175"/>
      <c r="W258" s="175"/>
      <c r="X258" s="175"/>
      <c r="Y258" s="175"/>
      <c r="Z258" s="175"/>
      <c r="AA258" s="175"/>
      <c r="AB258" s="175"/>
      <c r="AC258" s="175"/>
    </row>
    <row r="259" spans="1:29" ht="12.75">
      <c r="A259" s="175"/>
      <c r="B259" s="175"/>
      <c r="C259" s="175"/>
      <c r="D259" s="175"/>
      <c r="E259" s="175"/>
      <c r="F259" s="175"/>
      <c r="G259" s="175"/>
      <c r="H259" s="175"/>
      <c r="I259" s="175"/>
      <c r="J259" s="175"/>
      <c r="K259" s="175"/>
      <c r="L259" s="175"/>
      <c r="M259" s="175"/>
      <c r="N259" s="175"/>
      <c r="O259" s="175"/>
      <c r="P259" s="175"/>
      <c r="Q259" s="175"/>
      <c r="R259" s="175"/>
      <c r="S259" s="175"/>
      <c r="T259" s="175"/>
      <c r="U259" s="175"/>
      <c r="V259" s="175"/>
      <c r="W259" s="175"/>
      <c r="X259" s="175"/>
      <c r="Y259" s="175"/>
      <c r="Z259" s="175"/>
      <c r="AA259" s="175"/>
      <c r="AB259" s="175"/>
      <c r="AC259" s="175"/>
    </row>
    <row r="260" spans="1:29" ht="12.75">
      <c r="A260" s="175"/>
      <c r="B260" s="175"/>
      <c r="C260" s="175"/>
      <c r="D260" s="175"/>
      <c r="E260" s="175"/>
      <c r="F260" s="175"/>
      <c r="G260" s="175"/>
      <c r="H260" s="175"/>
      <c r="I260" s="175"/>
      <c r="J260" s="175"/>
      <c r="K260" s="175"/>
      <c r="L260" s="175"/>
      <c r="M260" s="175"/>
      <c r="N260" s="175"/>
      <c r="O260" s="175"/>
      <c r="P260" s="175"/>
      <c r="Q260" s="175"/>
      <c r="R260" s="175"/>
      <c r="S260" s="175"/>
      <c r="T260" s="175"/>
      <c r="U260" s="175"/>
      <c r="V260" s="175"/>
      <c r="W260" s="175"/>
      <c r="X260" s="175"/>
      <c r="Y260" s="175"/>
      <c r="Z260" s="175"/>
      <c r="AA260" s="175"/>
      <c r="AB260" s="175"/>
      <c r="AC260" s="175"/>
    </row>
    <row r="261" spans="1:29" ht="12.75">
      <c r="A261" s="175"/>
      <c r="B261" s="175"/>
      <c r="C261" s="175"/>
      <c r="D261" s="175"/>
      <c r="E261" s="175"/>
      <c r="F261" s="175"/>
      <c r="G261" s="175"/>
      <c r="H261" s="175"/>
      <c r="I261" s="175"/>
      <c r="J261" s="175"/>
      <c r="K261" s="175"/>
      <c r="L261" s="175"/>
      <c r="M261" s="175"/>
      <c r="N261" s="175"/>
      <c r="O261" s="175"/>
      <c r="P261" s="175"/>
      <c r="Q261" s="175"/>
      <c r="R261" s="175"/>
      <c r="S261" s="175"/>
      <c r="T261" s="175"/>
      <c r="U261" s="175"/>
      <c r="V261" s="175"/>
      <c r="W261" s="175"/>
      <c r="X261" s="175"/>
      <c r="Y261" s="175"/>
      <c r="Z261" s="175"/>
      <c r="AA261" s="175"/>
      <c r="AB261" s="175"/>
      <c r="AC261" s="175"/>
    </row>
    <row r="262" spans="1:29" ht="12.75">
      <c r="A262" s="175"/>
      <c r="B262" s="175"/>
      <c r="C262" s="175"/>
      <c r="D262" s="175"/>
      <c r="E262" s="175"/>
      <c r="F262" s="175"/>
      <c r="G262" s="175"/>
      <c r="H262" s="175"/>
      <c r="I262" s="175"/>
      <c r="J262" s="175"/>
      <c r="K262" s="175"/>
      <c r="L262" s="175"/>
      <c r="M262" s="175"/>
      <c r="N262" s="175"/>
      <c r="O262" s="175"/>
      <c r="P262" s="175"/>
      <c r="Q262" s="175"/>
      <c r="R262" s="175"/>
      <c r="S262" s="175"/>
      <c r="T262" s="175"/>
      <c r="U262" s="175"/>
      <c r="V262" s="175"/>
      <c r="W262" s="175"/>
      <c r="X262" s="175"/>
      <c r="Y262" s="175"/>
      <c r="Z262" s="175"/>
      <c r="AA262" s="175"/>
      <c r="AB262" s="175"/>
      <c r="AC262" s="175"/>
    </row>
    <row r="263" spans="1:29" ht="12.75">
      <c r="A263" s="175"/>
      <c r="B263" s="175"/>
      <c r="C263" s="175"/>
      <c r="D263" s="175"/>
      <c r="E263" s="175"/>
      <c r="F263" s="175"/>
      <c r="G263" s="175"/>
      <c r="H263" s="175"/>
      <c r="I263" s="175"/>
      <c r="J263" s="175"/>
      <c r="K263" s="175"/>
      <c r="L263" s="175"/>
      <c r="M263" s="175"/>
      <c r="N263" s="175"/>
      <c r="O263" s="175"/>
      <c r="P263" s="175"/>
      <c r="Q263" s="175"/>
      <c r="R263" s="175"/>
      <c r="S263" s="175"/>
      <c r="T263" s="175"/>
      <c r="U263" s="175"/>
      <c r="V263" s="175"/>
      <c r="W263" s="175"/>
      <c r="X263" s="175"/>
      <c r="Y263" s="175"/>
      <c r="Z263" s="175"/>
      <c r="AA263" s="175"/>
      <c r="AB263" s="175"/>
      <c r="AC263" s="175"/>
    </row>
    <row r="264" spans="1:29" ht="12.75">
      <c r="A264" s="175"/>
      <c r="B264" s="175"/>
      <c r="C264" s="175"/>
      <c r="D264" s="175"/>
      <c r="E264" s="175"/>
      <c r="F264" s="175"/>
      <c r="G264" s="175"/>
      <c r="H264" s="175"/>
      <c r="I264" s="175"/>
      <c r="J264" s="175"/>
      <c r="K264" s="175"/>
      <c r="L264" s="175"/>
      <c r="M264" s="175"/>
      <c r="N264" s="175"/>
      <c r="O264" s="175"/>
      <c r="P264" s="175"/>
      <c r="Q264" s="175"/>
      <c r="R264" s="175"/>
      <c r="S264" s="175"/>
      <c r="T264" s="175"/>
      <c r="U264" s="175"/>
      <c r="V264" s="175"/>
      <c r="W264" s="175"/>
      <c r="X264" s="175"/>
      <c r="Y264" s="175"/>
      <c r="Z264" s="175"/>
      <c r="AA264" s="175"/>
      <c r="AB264" s="175"/>
      <c r="AC264" s="175"/>
    </row>
    <row r="265" spans="1:29" ht="12.75">
      <c r="A265" s="175"/>
      <c r="B265" s="175"/>
      <c r="C265" s="175"/>
      <c r="D265" s="175"/>
      <c r="E265" s="175"/>
      <c r="F265" s="175"/>
      <c r="G265" s="175"/>
      <c r="H265" s="175"/>
      <c r="I265" s="175"/>
      <c r="J265" s="175"/>
      <c r="K265" s="175"/>
      <c r="L265" s="175"/>
      <c r="M265" s="175"/>
      <c r="N265" s="175"/>
      <c r="O265" s="175"/>
      <c r="P265" s="175"/>
      <c r="Q265" s="175"/>
      <c r="R265" s="175"/>
      <c r="S265" s="175"/>
      <c r="T265" s="175"/>
      <c r="U265" s="175"/>
      <c r="V265" s="175"/>
      <c r="W265" s="175"/>
      <c r="X265" s="175"/>
      <c r="Y265" s="175"/>
      <c r="Z265" s="175"/>
      <c r="AA265" s="175"/>
      <c r="AB265" s="175"/>
      <c r="AC265" s="175"/>
    </row>
    <row r="266" spans="1:29" ht="12.75">
      <c r="A266" s="175"/>
      <c r="B266" s="175"/>
      <c r="C266" s="175"/>
      <c r="D266" s="175"/>
      <c r="E266" s="175"/>
      <c r="F266" s="175"/>
      <c r="G266" s="175"/>
      <c r="H266" s="175"/>
      <c r="I266" s="175"/>
      <c r="J266" s="175"/>
      <c r="K266" s="175"/>
      <c r="L266" s="175"/>
      <c r="M266" s="175"/>
      <c r="N266" s="175"/>
      <c r="O266" s="175"/>
      <c r="P266" s="175"/>
      <c r="Q266" s="175"/>
      <c r="R266" s="175"/>
      <c r="S266" s="175"/>
      <c r="T266" s="175"/>
      <c r="U266" s="175"/>
      <c r="V266" s="175"/>
      <c r="W266" s="175"/>
      <c r="X266" s="175"/>
      <c r="Y266" s="175"/>
      <c r="Z266" s="175"/>
      <c r="AA266" s="175"/>
      <c r="AB266" s="175"/>
      <c r="AC266" s="175"/>
    </row>
    <row r="267" spans="1:29" ht="12.75">
      <c r="A267" s="175"/>
      <c r="B267" s="175"/>
      <c r="C267" s="175"/>
      <c r="D267" s="175"/>
      <c r="E267" s="175"/>
      <c r="F267" s="175"/>
      <c r="G267" s="175"/>
      <c r="H267" s="175"/>
      <c r="I267" s="175"/>
      <c r="J267" s="175"/>
      <c r="K267" s="175"/>
      <c r="L267" s="175"/>
      <c r="M267" s="175"/>
      <c r="N267" s="175"/>
      <c r="O267" s="175"/>
      <c r="P267" s="175"/>
      <c r="Q267" s="175"/>
      <c r="R267" s="175"/>
      <c r="S267" s="175"/>
      <c r="T267" s="175"/>
      <c r="U267" s="175"/>
      <c r="V267" s="175"/>
      <c r="W267" s="175"/>
      <c r="X267" s="175"/>
      <c r="Y267" s="175"/>
      <c r="Z267" s="175"/>
      <c r="AA267" s="175"/>
      <c r="AB267" s="175"/>
      <c r="AC267" s="175"/>
    </row>
    <row r="268" spans="1:29" ht="12.75">
      <c r="A268" s="175"/>
      <c r="B268" s="175"/>
      <c r="C268" s="175"/>
      <c r="D268" s="175"/>
      <c r="E268" s="175"/>
      <c r="F268" s="175"/>
      <c r="G268" s="175"/>
      <c r="H268" s="175"/>
      <c r="I268" s="175"/>
      <c r="J268" s="175"/>
      <c r="K268" s="175"/>
      <c r="L268" s="175"/>
      <c r="M268" s="175"/>
      <c r="N268" s="175"/>
      <c r="O268" s="175"/>
      <c r="P268" s="175"/>
      <c r="Q268" s="175"/>
      <c r="R268" s="175"/>
      <c r="S268" s="175"/>
      <c r="T268" s="175"/>
      <c r="U268" s="175"/>
      <c r="V268" s="175"/>
      <c r="W268" s="175"/>
      <c r="X268" s="175"/>
      <c r="Y268" s="175"/>
      <c r="Z268" s="175"/>
      <c r="AA268" s="175"/>
      <c r="AB268" s="175"/>
      <c r="AC268" s="175"/>
    </row>
    <row r="269" spans="1:29" ht="12.75">
      <c r="A269" s="175"/>
      <c r="B269" s="175"/>
      <c r="C269" s="175"/>
      <c r="D269" s="175"/>
      <c r="E269" s="175"/>
      <c r="F269" s="175"/>
      <c r="G269" s="175"/>
      <c r="H269" s="175"/>
      <c r="I269" s="175"/>
      <c r="J269" s="175"/>
      <c r="K269" s="175"/>
      <c r="L269" s="175"/>
      <c r="M269" s="175"/>
      <c r="N269" s="175"/>
      <c r="O269" s="175"/>
      <c r="P269" s="175"/>
      <c r="Q269" s="175"/>
      <c r="R269" s="175"/>
      <c r="S269" s="175"/>
      <c r="T269" s="175"/>
      <c r="U269" s="175"/>
      <c r="V269" s="175"/>
      <c r="W269" s="175"/>
      <c r="X269" s="175"/>
      <c r="Y269" s="175"/>
      <c r="Z269" s="175"/>
      <c r="AA269" s="175"/>
      <c r="AB269" s="175"/>
      <c r="AC269" s="175"/>
    </row>
    <row r="270" spans="1:29" ht="12.75">
      <c r="A270" s="175"/>
      <c r="B270" s="175"/>
      <c r="C270" s="175"/>
      <c r="D270" s="175"/>
      <c r="E270" s="175"/>
      <c r="F270" s="175"/>
      <c r="G270" s="175"/>
      <c r="H270" s="175"/>
      <c r="I270" s="175"/>
      <c r="J270" s="175"/>
      <c r="K270" s="175"/>
      <c r="L270" s="175"/>
      <c r="M270" s="175"/>
      <c r="N270" s="175"/>
      <c r="O270" s="175"/>
      <c r="P270" s="175"/>
      <c r="Q270" s="175"/>
      <c r="R270" s="175"/>
      <c r="S270" s="175"/>
      <c r="T270" s="175"/>
      <c r="U270" s="175"/>
      <c r="V270" s="175"/>
      <c r="W270" s="175"/>
      <c r="X270" s="175"/>
      <c r="Y270" s="175"/>
      <c r="Z270" s="175"/>
      <c r="AA270" s="175"/>
      <c r="AB270" s="175"/>
      <c r="AC270" s="175"/>
    </row>
    <row r="271" spans="1:29" ht="12.75">
      <c r="A271" s="175"/>
      <c r="B271" s="175"/>
      <c r="C271" s="175"/>
      <c r="D271" s="175"/>
      <c r="E271" s="175"/>
      <c r="F271" s="175"/>
      <c r="G271" s="175"/>
      <c r="H271" s="175"/>
      <c r="I271" s="175"/>
      <c r="J271" s="175"/>
      <c r="K271" s="175"/>
      <c r="L271" s="175"/>
      <c r="M271" s="175"/>
      <c r="N271" s="175"/>
      <c r="O271" s="175"/>
      <c r="P271" s="175"/>
      <c r="Q271" s="175"/>
      <c r="R271" s="175"/>
      <c r="S271" s="175"/>
      <c r="T271" s="175"/>
      <c r="U271" s="175"/>
      <c r="V271" s="175"/>
      <c r="W271" s="175"/>
      <c r="X271" s="175"/>
      <c r="Y271" s="175"/>
      <c r="Z271" s="175"/>
      <c r="AA271" s="175"/>
      <c r="AB271" s="175"/>
      <c r="AC271" s="175"/>
    </row>
    <row r="272" spans="1:29" ht="12.75">
      <c r="A272" s="175"/>
      <c r="B272" s="175"/>
      <c r="C272" s="175"/>
      <c r="D272" s="175"/>
      <c r="E272" s="175"/>
      <c r="F272" s="175"/>
      <c r="G272" s="175"/>
      <c r="H272" s="175"/>
      <c r="I272" s="175"/>
      <c r="J272" s="175"/>
      <c r="K272" s="175"/>
      <c r="L272" s="175"/>
      <c r="M272" s="175"/>
      <c r="N272" s="175"/>
      <c r="O272" s="175"/>
      <c r="P272" s="175"/>
      <c r="Q272" s="175"/>
      <c r="R272" s="175"/>
      <c r="S272" s="175"/>
      <c r="T272" s="175"/>
      <c r="U272" s="175"/>
      <c r="V272" s="175"/>
      <c r="W272" s="175"/>
      <c r="X272" s="175"/>
      <c r="Y272" s="175"/>
      <c r="Z272" s="175"/>
      <c r="AA272" s="175"/>
      <c r="AB272" s="175"/>
      <c r="AC272" s="175"/>
    </row>
    <row r="273" spans="1:29" ht="12.75">
      <c r="A273" s="175"/>
      <c r="B273" s="175"/>
      <c r="C273" s="175"/>
      <c r="D273" s="175"/>
      <c r="E273" s="175"/>
      <c r="F273" s="175"/>
      <c r="G273" s="175"/>
      <c r="H273" s="175"/>
      <c r="I273" s="175"/>
      <c r="J273" s="175"/>
      <c r="K273" s="175"/>
      <c r="L273" s="175"/>
      <c r="M273" s="175"/>
      <c r="N273" s="175"/>
      <c r="O273" s="175"/>
      <c r="P273" s="175"/>
      <c r="Q273" s="175"/>
      <c r="R273" s="175"/>
      <c r="S273" s="175"/>
      <c r="T273" s="175"/>
      <c r="U273" s="175"/>
      <c r="V273" s="175"/>
      <c r="W273" s="175"/>
      <c r="X273" s="175"/>
      <c r="Y273" s="175"/>
      <c r="Z273" s="175"/>
      <c r="AA273" s="175"/>
      <c r="AB273" s="175"/>
      <c r="AC273" s="175"/>
    </row>
    <row r="274" spans="1:29" ht="12.75">
      <c r="A274" s="175"/>
      <c r="B274" s="175"/>
      <c r="C274" s="175"/>
      <c r="D274" s="175"/>
      <c r="E274" s="175"/>
      <c r="F274" s="175"/>
      <c r="G274" s="175"/>
      <c r="H274" s="175"/>
      <c r="I274" s="175"/>
      <c r="J274" s="175"/>
      <c r="K274" s="175"/>
      <c r="L274" s="175"/>
      <c r="M274" s="175"/>
      <c r="N274" s="175"/>
      <c r="O274" s="175"/>
      <c r="P274" s="175"/>
      <c r="Q274" s="175"/>
      <c r="R274" s="175"/>
      <c r="S274" s="175"/>
      <c r="T274" s="175"/>
      <c r="U274" s="175"/>
      <c r="V274" s="175"/>
      <c r="W274" s="175"/>
      <c r="X274" s="175"/>
      <c r="Y274" s="175"/>
      <c r="Z274" s="175"/>
      <c r="AA274" s="175"/>
      <c r="AB274" s="175"/>
      <c r="AC274" s="175"/>
    </row>
    <row r="275" spans="1:29" ht="12.75">
      <c r="A275" s="175"/>
      <c r="B275" s="175"/>
      <c r="C275" s="175"/>
      <c r="D275" s="175"/>
      <c r="E275" s="175"/>
      <c r="F275" s="175"/>
      <c r="G275" s="175"/>
      <c r="H275" s="175"/>
      <c r="I275" s="175"/>
      <c r="J275" s="175"/>
      <c r="K275" s="175"/>
      <c r="L275" s="175"/>
      <c r="M275" s="175"/>
      <c r="N275" s="175"/>
      <c r="O275" s="175"/>
      <c r="P275" s="175"/>
      <c r="Q275" s="175"/>
      <c r="R275" s="175"/>
      <c r="S275" s="175"/>
      <c r="T275" s="175"/>
      <c r="U275" s="175"/>
      <c r="V275" s="175"/>
      <c r="W275" s="175"/>
      <c r="X275" s="175"/>
      <c r="Y275" s="175"/>
      <c r="Z275" s="175"/>
      <c r="AA275" s="175"/>
      <c r="AB275" s="175"/>
      <c r="AC275" s="175"/>
    </row>
    <row r="276" spans="1:29" ht="12.75">
      <c r="A276" s="175"/>
      <c r="B276" s="175"/>
      <c r="C276" s="175"/>
      <c r="D276" s="175"/>
      <c r="E276" s="175"/>
      <c r="F276" s="175"/>
      <c r="G276" s="175"/>
      <c r="H276" s="175"/>
      <c r="I276" s="175"/>
      <c r="J276" s="175"/>
      <c r="K276" s="175"/>
      <c r="L276" s="175"/>
      <c r="M276" s="175"/>
      <c r="N276" s="175"/>
      <c r="O276" s="175"/>
      <c r="P276" s="175"/>
      <c r="Q276" s="175"/>
      <c r="R276" s="175"/>
      <c r="S276" s="175"/>
      <c r="T276" s="175"/>
      <c r="U276" s="175"/>
      <c r="V276" s="175"/>
      <c r="W276" s="175"/>
      <c r="X276" s="175"/>
      <c r="Y276" s="175"/>
      <c r="Z276" s="175"/>
      <c r="AA276" s="175"/>
      <c r="AB276" s="175"/>
      <c r="AC276" s="175"/>
    </row>
    <row r="277" spans="1:29" ht="12.75">
      <c r="A277" s="175"/>
      <c r="B277" s="175"/>
      <c r="C277" s="175"/>
      <c r="D277" s="175"/>
      <c r="E277" s="175"/>
      <c r="F277" s="175"/>
      <c r="G277" s="175"/>
      <c r="H277" s="175"/>
      <c r="I277" s="175"/>
      <c r="J277" s="175"/>
      <c r="K277" s="175"/>
      <c r="L277" s="175"/>
      <c r="M277" s="175"/>
      <c r="N277" s="175"/>
      <c r="O277" s="175"/>
      <c r="P277" s="175"/>
      <c r="Q277" s="175"/>
      <c r="R277" s="175"/>
      <c r="S277" s="175"/>
      <c r="T277" s="175"/>
      <c r="U277" s="175"/>
      <c r="V277" s="175"/>
      <c r="W277" s="175"/>
      <c r="X277" s="175"/>
      <c r="Y277" s="175"/>
      <c r="Z277" s="175"/>
      <c r="AA277" s="175"/>
      <c r="AB277" s="175"/>
      <c r="AC277" s="175"/>
    </row>
    <row r="278" spans="1:29" ht="12.75">
      <c r="A278" s="175"/>
      <c r="B278" s="175"/>
      <c r="C278" s="175"/>
      <c r="D278" s="175"/>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c r="AA278" s="175"/>
      <c r="AB278" s="175"/>
      <c r="AC278" s="175"/>
    </row>
    <row r="279" spans="1:29" ht="12.75">
      <c r="A279" s="175"/>
      <c r="B279" s="175"/>
      <c r="C279" s="175"/>
      <c r="D279" s="175"/>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c r="AA279" s="175"/>
      <c r="AB279" s="175"/>
      <c r="AC279" s="175"/>
    </row>
    <row r="280" spans="1:29" ht="12.75">
      <c r="A280" s="175"/>
      <c r="B280" s="175"/>
      <c r="C280" s="175"/>
      <c r="D280" s="175"/>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c r="AA280" s="175"/>
      <c r="AB280" s="175"/>
      <c r="AC280" s="175"/>
    </row>
    <row r="281" spans="1:29" ht="12.75">
      <c r="A281" s="175"/>
      <c r="B281" s="175"/>
      <c r="C281" s="175"/>
      <c r="D281" s="175"/>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c r="AA281" s="175"/>
      <c r="AB281" s="175"/>
      <c r="AC281" s="175"/>
    </row>
    <row r="282" spans="1:29" ht="12.75">
      <c r="A282" s="175"/>
      <c r="B282" s="175"/>
      <c r="C282" s="175"/>
      <c r="D282" s="175"/>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c r="AA282" s="175"/>
      <c r="AB282" s="175"/>
      <c r="AC282" s="175"/>
    </row>
    <row r="283" spans="1:29" ht="12.75">
      <c r="A283" s="175"/>
      <c r="B283" s="175"/>
      <c r="C283" s="175"/>
      <c r="D283" s="175"/>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c r="AA283" s="175"/>
      <c r="AB283" s="175"/>
      <c r="AC283" s="175"/>
    </row>
    <row r="284" spans="1:29" ht="12.75">
      <c r="A284" s="175"/>
      <c r="B284" s="175"/>
      <c r="C284" s="175"/>
      <c r="D284" s="175"/>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c r="AA284" s="175"/>
      <c r="AB284" s="175"/>
      <c r="AC284" s="175"/>
    </row>
    <row r="285" spans="1:29" ht="12.75">
      <c r="A285" s="175"/>
      <c r="B285" s="175"/>
      <c r="C285" s="175"/>
      <c r="D285" s="175"/>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c r="AA285" s="175"/>
      <c r="AB285" s="175"/>
      <c r="AC285" s="175"/>
    </row>
    <row r="286" spans="1:29" ht="12.75">
      <c r="A286" s="175"/>
      <c r="B286" s="175"/>
      <c r="C286" s="175"/>
      <c r="D286" s="175"/>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c r="AA286" s="175"/>
      <c r="AB286" s="175"/>
      <c r="AC286" s="175"/>
    </row>
    <row r="287" spans="1:29" ht="12.75">
      <c r="A287" s="175"/>
      <c r="B287" s="175"/>
      <c r="C287" s="175"/>
      <c r="D287" s="175"/>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c r="AA287" s="175"/>
      <c r="AB287" s="175"/>
      <c r="AC287" s="175"/>
    </row>
    <row r="288" spans="1:29" ht="12.75">
      <c r="A288" s="175"/>
      <c r="B288" s="175"/>
      <c r="C288" s="175"/>
      <c r="D288" s="175"/>
      <c r="E288" s="175"/>
      <c r="F288" s="175"/>
      <c r="G288" s="175"/>
      <c r="H288" s="175"/>
      <c r="I288" s="175"/>
      <c r="J288" s="175"/>
      <c r="K288" s="175"/>
      <c r="L288" s="175"/>
      <c r="M288" s="175"/>
      <c r="N288" s="175"/>
      <c r="O288" s="175"/>
      <c r="P288" s="175"/>
      <c r="Q288" s="175"/>
      <c r="R288" s="175"/>
      <c r="S288" s="175"/>
      <c r="T288" s="175"/>
      <c r="U288" s="175"/>
      <c r="V288" s="175"/>
      <c r="W288" s="175"/>
      <c r="X288" s="175"/>
      <c r="Y288" s="175"/>
      <c r="Z288" s="175"/>
      <c r="AA288" s="175"/>
      <c r="AB288" s="175"/>
      <c r="AC288" s="175"/>
    </row>
    <row r="289" spans="1:29" ht="12.75">
      <c r="A289" s="175"/>
      <c r="B289" s="175"/>
      <c r="C289" s="175"/>
      <c r="D289" s="175"/>
      <c r="E289" s="175"/>
      <c r="F289" s="175"/>
      <c r="G289" s="175"/>
      <c r="H289" s="175"/>
      <c r="I289" s="175"/>
      <c r="J289" s="175"/>
      <c r="K289" s="175"/>
      <c r="L289" s="175"/>
      <c r="M289" s="175"/>
      <c r="N289" s="175"/>
      <c r="O289" s="175"/>
      <c r="P289" s="175"/>
      <c r="Q289" s="175"/>
      <c r="R289" s="175"/>
      <c r="S289" s="175"/>
      <c r="T289" s="175"/>
      <c r="U289" s="175"/>
      <c r="V289" s="175"/>
      <c r="W289" s="175"/>
      <c r="X289" s="175"/>
      <c r="Y289" s="175"/>
      <c r="Z289" s="175"/>
      <c r="AA289" s="175"/>
      <c r="AB289" s="175"/>
      <c r="AC289" s="175"/>
    </row>
    <row r="290" spans="1:29" ht="12.75">
      <c r="A290" s="175"/>
      <c r="B290" s="175"/>
      <c r="C290" s="175"/>
      <c r="D290" s="175"/>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c r="AA290" s="175"/>
      <c r="AB290" s="175"/>
      <c r="AC290" s="175"/>
    </row>
    <row r="291" spans="1:29" ht="12.75">
      <c r="A291" s="175"/>
      <c r="B291" s="175"/>
      <c r="C291" s="175"/>
      <c r="D291" s="175"/>
      <c r="E291" s="175"/>
      <c r="F291" s="175"/>
      <c r="G291" s="175"/>
      <c r="H291" s="175"/>
      <c r="I291" s="175"/>
      <c r="J291" s="175"/>
      <c r="K291" s="175"/>
      <c r="L291" s="175"/>
      <c r="M291" s="175"/>
      <c r="N291" s="175"/>
      <c r="O291" s="175"/>
      <c r="P291" s="175"/>
      <c r="Q291" s="175"/>
      <c r="R291" s="175"/>
      <c r="S291" s="175"/>
      <c r="T291" s="175"/>
      <c r="U291" s="175"/>
      <c r="V291" s="175"/>
      <c r="W291" s="175"/>
      <c r="X291" s="175"/>
      <c r="Y291" s="175"/>
      <c r="Z291" s="175"/>
      <c r="AA291" s="175"/>
      <c r="AB291" s="175"/>
      <c r="AC291" s="175"/>
    </row>
    <row r="292" spans="1:29" ht="12.75">
      <c r="A292" s="175"/>
      <c r="B292" s="175"/>
      <c r="C292" s="175"/>
      <c r="D292" s="175"/>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c r="AA292" s="175"/>
      <c r="AB292" s="175"/>
      <c r="AC292" s="175"/>
    </row>
    <row r="293" spans="1:29" ht="12.75">
      <c r="A293" s="175"/>
      <c r="B293" s="175"/>
      <c r="C293" s="175"/>
      <c r="D293" s="175"/>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c r="AA293" s="175"/>
      <c r="AB293" s="175"/>
      <c r="AC293" s="175"/>
    </row>
    <row r="294" spans="1:29" ht="12.75">
      <c r="A294" s="175"/>
      <c r="B294" s="175"/>
      <c r="C294" s="175"/>
      <c r="D294" s="175"/>
      <c r="E294" s="175"/>
      <c r="F294" s="175"/>
      <c r="G294" s="175"/>
      <c r="H294" s="175"/>
      <c r="I294" s="175"/>
      <c r="J294" s="175"/>
      <c r="K294" s="175"/>
      <c r="L294" s="175"/>
      <c r="M294" s="175"/>
      <c r="N294" s="175"/>
      <c r="O294" s="175"/>
      <c r="P294" s="175"/>
      <c r="Q294" s="175"/>
      <c r="R294" s="175"/>
      <c r="S294" s="175"/>
      <c r="T294" s="175"/>
      <c r="U294" s="175"/>
      <c r="V294" s="175"/>
      <c r="W294" s="175"/>
      <c r="X294" s="175"/>
      <c r="Y294" s="175"/>
      <c r="Z294" s="175"/>
      <c r="AA294" s="175"/>
      <c r="AB294" s="175"/>
      <c r="AC294" s="175"/>
    </row>
    <row r="295" spans="1:29" ht="12.75">
      <c r="A295" s="175"/>
      <c r="B295" s="175"/>
      <c r="C295" s="175"/>
      <c r="D295" s="175"/>
      <c r="E295" s="175"/>
      <c r="F295" s="175"/>
      <c r="G295" s="175"/>
      <c r="H295" s="175"/>
      <c r="I295" s="175"/>
      <c r="J295" s="175"/>
      <c r="K295" s="175"/>
      <c r="L295" s="175"/>
      <c r="M295" s="175"/>
      <c r="N295" s="175"/>
      <c r="O295" s="175"/>
      <c r="P295" s="175"/>
      <c r="Q295" s="175"/>
      <c r="R295" s="175"/>
      <c r="S295" s="175"/>
      <c r="T295" s="175"/>
      <c r="U295" s="175"/>
      <c r="V295" s="175"/>
      <c r="W295" s="175"/>
      <c r="X295" s="175"/>
      <c r="Y295" s="175"/>
      <c r="Z295" s="175"/>
      <c r="AA295" s="175"/>
      <c r="AB295" s="175"/>
      <c r="AC295" s="175"/>
    </row>
    <row r="296" spans="1:29" ht="12.75">
      <c r="A296" s="175"/>
      <c r="B296" s="175"/>
      <c r="C296" s="175"/>
      <c r="D296" s="175"/>
      <c r="E296" s="175"/>
      <c r="F296" s="175"/>
      <c r="G296" s="175"/>
      <c r="H296" s="175"/>
      <c r="I296" s="175"/>
      <c r="J296" s="175"/>
      <c r="K296" s="175"/>
      <c r="L296" s="175"/>
      <c r="M296" s="175"/>
      <c r="N296" s="175"/>
      <c r="O296" s="175"/>
      <c r="P296" s="175"/>
      <c r="Q296" s="175"/>
      <c r="R296" s="175"/>
      <c r="S296" s="175"/>
      <c r="T296" s="175"/>
      <c r="U296" s="175"/>
      <c r="V296" s="175"/>
      <c r="W296" s="175"/>
      <c r="X296" s="175"/>
      <c r="Y296" s="175"/>
      <c r="Z296" s="175"/>
      <c r="AA296" s="175"/>
      <c r="AB296" s="175"/>
      <c r="AC296" s="175"/>
    </row>
    <row r="297" spans="1:29" ht="12.75">
      <c r="A297" s="175"/>
      <c r="B297" s="175"/>
      <c r="C297" s="175"/>
      <c r="D297" s="175"/>
      <c r="E297" s="175"/>
      <c r="F297" s="175"/>
      <c r="G297" s="175"/>
      <c r="H297" s="175"/>
      <c r="I297" s="175"/>
      <c r="J297" s="175"/>
      <c r="K297" s="175"/>
      <c r="L297" s="175"/>
      <c r="M297" s="175"/>
      <c r="N297" s="175"/>
      <c r="O297" s="175"/>
      <c r="P297" s="175"/>
      <c r="Q297" s="175"/>
      <c r="R297" s="175"/>
      <c r="S297" s="175"/>
      <c r="T297" s="175"/>
      <c r="U297" s="175"/>
      <c r="V297" s="175"/>
      <c r="W297" s="175"/>
      <c r="X297" s="175"/>
      <c r="Y297" s="175"/>
      <c r="Z297" s="175"/>
      <c r="AA297" s="175"/>
      <c r="AB297" s="175"/>
      <c r="AC297" s="175"/>
    </row>
    <row r="298" spans="1:29" ht="12.75">
      <c r="A298" s="175"/>
      <c r="B298" s="175"/>
      <c r="C298" s="175"/>
      <c r="D298" s="175"/>
      <c r="E298" s="175"/>
      <c r="F298" s="175"/>
      <c r="G298" s="175"/>
      <c r="H298" s="175"/>
      <c r="I298" s="175"/>
      <c r="J298" s="175"/>
      <c r="K298" s="175"/>
      <c r="L298" s="175"/>
      <c r="M298" s="175"/>
      <c r="N298" s="175"/>
      <c r="O298" s="175"/>
      <c r="P298" s="175"/>
      <c r="Q298" s="175"/>
      <c r="R298" s="175"/>
      <c r="S298" s="175"/>
      <c r="T298" s="175"/>
      <c r="U298" s="175"/>
      <c r="V298" s="175"/>
      <c r="W298" s="175"/>
      <c r="X298" s="175"/>
      <c r="Y298" s="175"/>
      <c r="Z298" s="175"/>
      <c r="AA298" s="175"/>
      <c r="AB298" s="175"/>
      <c r="AC298" s="175"/>
    </row>
    <row r="299" spans="1:29" ht="12.75">
      <c r="A299" s="175"/>
      <c r="B299" s="175"/>
      <c r="C299" s="175"/>
      <c r="D299" s="175"/>
      <c r="E299" s="175"/>
      <c r="F299" s="175"/>
      <c r="G299" s="175"/>
      <c r="H299" s="175"/>
      <c r="I299" s="175"/>
      <c r="J299" s="175"/>
      <c r="K299" s="175"/>
      <c r="L299" s="175"/>
      <c r="M299" s="175"/>
      <c r="N299" s="175"/>
      <c r="O299" s="175"/>
      <c r="P299" s="175"/>
      <c r="Q299" s="175"/>
      <c r="R299" s="175"/>
      <c r="S299" s="175"/>
      <c r="T299" s="175"/>
      <c r="U299" s="175"/>
      <c r="V299" s="175"/>
      <c r="W299" s="175"/>
      <c r="X299" s="175"/>
      <c r="Y299" s="175"/>
      <c r="Z299" s="175"/>
      <c r="AA299" s="175"/>
      <c r="AB299" s="175"/>
      <c r="AC299" s="175"/>
    </row>
    <row r="300" spans="1:29" ht="12.75">
      <c r="A300" s="175"/>
      <c r="B300" s="175"/>
      <c r="C300" s="175"/>
      <c r="D300" s="175"/>
      <c r="E300" s="175"/>
      <c r="F300" s="175"/>
      <c r="G300" s="175"/>
      <c r="H300" s="175"/>
      <c r="I300" s="175"/>
      <c r="J300" s="175"/>
      <c r="K300" s="175"/>
      <c r="L300" s="175"/>
      <c r="M300" s="175"/>
      <c r="N300" s="175"/>
      <c r="O300" s="175"/>
      <c r="P300" s="175"/>
      <c r="Q300" s="175"/>
      <c r="R300" s="175"/>
      <c r="S300" s="175"/>
      <c r="T300" s="175"/>
      <c r="U300" s="175"/>
      <c r="V300" s="175"/>
      <c r="W300" s="175"/>
      <c r="X300" s="175"/>
      <c r="Y300" s="175"/>
      <c r="Z300" s="175"/>
      <c r="AA300" s="175"/>
      <c r="AB300" s="175"/>
      <c r="AC300" s="175"/>
    </row>
    <row r="301" spans="1:29" ht="12.75">
      <c r="A301" s="175"/>
      <c r="B301" s="175"/>
      <c r="C301" s="175"/>
      <c r="D301" s="175"/>
      <c r="E301" s="175"/>
      <c r="F301" s="175"/>
      <c r="G301" s="175"/>
      <c r="H301" s="175"/>
      <c r="I301" s="175"/>
      <c r="J301" s="175"/>
      <c r="K301" s="175"/>
      <c r="L301" s="175"/>
      <c r="M301" s="175"/>
      <c r="N301" s="175"/>
      <c r="O301" s="175"/>
      <c r="P301" s="175"/>
      <c r="Q301" s="175"/>
      <c r="R301" s="175"/>
      <c r="S301" s="175"/>
      <c r="T301" s="175"/>
      <c r="U301" s="175"/>
      <c r="V301" s="175"/>
      <c r="W301" s="175"/>
      <c r="X301" s="175"/>
      <c r="Y301" s="175"/>
      <c r="Z301" s="175"/>
      <c r="AA301" s="175"/>
      <c r="AB301" s="175"/>
      <c r="AC301" s="175"/>
    </row>
    <row r="302" spans="1:29" ht="12.75">
      <c r="A302" s="175"/>
      <c r="B302" s="175"/>
      <c r="C302" s="175"/>
      <c r="D302" s="175"/>
      <c r="E302" s="175"/>
      <c r="F302" s="175"/>
      <c r="G302" s="175"/>
      <c r="H302" s="175"/>
      <c r="I302" s="175"/>
      <c r="J302" s="175"/>
      <c r="K302" s="175"/>
      <c r="L302" s="175"/>
      <c r="M302" s="175"/>
      <c r="N302" s="175"/>
      <c r="O302" s="175"/>
      <c r="P302" s="175"/>
      <c r="Q302" s="175"/>
      <c r="R302" s="175"/>
      <c r="S302" s="175"/>
      <c r="T302" s="175"/>
      <c r="U302" s="175"/>
      <c r="V302" s="175"/>
      <c r="W302" s="175"/>
      <c r="X302" s="175"/>
      <c r="Y302" s="175"/>
      <c r="Z302" s="175"/>
      <c r="AA302" s="175"/>
      <c r="AB302" s="175"/>
      <c r="AC302" s="175"/>
    </row>
    <row r="303" spans="1:29" ht="12.75">
      <c r="A303" s="175"/>
      <c r="B303" s="175"/>
      <c r="C303" s="175"/>
      <c r="D303" s="175"/>
      <c r="E303" s="175"/>
      <c r="F303" s="175"/>
      <c r="G303" s="175"/>
      <c r="H303" s="175"/>
      <c r="I303" s="175"/>
      <c r="J303" s="175"/>
      <c r="K303" s="175"/>
      <c r="L303" s="175"/>
      <c r="M303" s="175"/>
      <c r="N303" s="175"/>
      <c r="O303" s="175"/>
      <c r="P303" s="175"/>
      <c r="Q303" s="175"/>
      <c r="R303" s="175"/>
      <c r="S303" s="175"/>
      <c r="T303" s="175"/>
      <c r="U303" s="175"/>
      <c r="V303" s="175"/>
      <c r="W303" s="175"/>
      <c r="X303" s="175"/>
      <c r="Y303" s="175"/>
      <c r="Z303" s="175"/>
      <c r="AA303" s="175"/>
      <c r="AB303" s="175"/>
      <c r="AC303" s="175"/>
    </row>
    <row r="304" spans="1:29" ht="12.75">
      <c r="A304" s="175"/>
      <c r="B304" s="175"/>
      <c r="C304" s="175"/>
      <c r="D304" s="175"/>
      <c r="E304" s="175"/>
      <c r="F304" s="175"/>
      <c r="G304" s="175"/>
      <c r="H304" s="175"/>
      <c r="I304" s="175"/>
      <c r="J304" s="175"/>
      <c r="K304" s="175"/>
      <c r="L304" s="175"/>
      <c r="M304" s="175"/>
      <c r="N304" s="175"/>
      <c r="O304" s="175"/>
      <c r="P304" s="175"/>
      <c r="Q304" s="175"/>
      <c r="R304" s="175"/>
      <c r="S304" s="175"/>
      <c r="T304" s="175"/>
      <c r="U304" s="175"/>
      <c r="V304" s="175"/>
      <c r="W304" s="175"/>
      <c r="X304" s="175"/>
      <c r="Y304" s="175"/>
      <c r="Z304" s="175"/>
      <c r="AA304" s="175"/>
      <c r="AB304" s="175"/>
      <c r="AC304" s="175"/>
    </row>
    <row r="305" spans="1:29" ht="12.75">
      <c r="A305" s="175"/>
      <c r="B305" s="175"/>
      <c r="C305" s="175"/>
      <c r="D305" s="175"/>
      <c r="E305" s="175"/>
      <c r="F305" s="175"/>
      <c r="G305" s="175"/>
      <c r="H305" s="175"/>
      <c r="I305" s="175"/>
      <c r="J305" s="175"/>
      <c r="K305" s="175"/>
      <c r="L305" s="175"/>
      <c r="M305" s="175"/>
      <c r="N305" s="175"/>
      <c r="O305" s="175"/>
      <c r="P305" s="175"/>
      <c r="Q305" s="175"/>
      <c r="R305" s="175"/>
      <c r="S305" s="175"/>
      <c r="T305" s="175"/>
      <c r="U305" s="175"/>
      <c r="V305" s="175"/>
      <c r="W305" s="175"/>
      <c r="X305" s="175"/>
      <c r="Y305" s="175"/>
      <c r="Z305" s="175"/>
      <c r="AA305" s="175"/>
      <c r="AB305" s="175"/>
      <c r="AC305" s="175"/>
    </row>
    <row r="306" spans="1:29" ht="12.75">
      <c r="A306" s="175"/>
      <c r="B306" s="175"/>
      <c r="C306" s="175"/>
      <c r="D306" s="175"/>
      <c r="E306" s="175"/>
      <c r="F306" s="175"/>
      <c r="G306" s="175"/>
      <c r="H306" s="175"/>
      <c r="I306" s="175"/>
      <c r="J306" s="175"/>
      <c r="K306" s="175"/>
      <c r="L306" s="175"/>
      <c r="M306" s="175"/>
      <c r="N306" s="175"/>
      <c r="O306" s="175"/>
      <c r="P306" s="175"/>
      <c r="Q306" s="175"/>
      <c r="R306" s="175"/>
      <c r="S306" s="175"/>
      <c r="T306" s="175"/>
      <c r="U306" s="175"/>
      <c r="V306" s="175"/>
      <c r="W306" s="175"/>
      <c r="X306" s="175"/>
      <c r="Y306" s="175"/>
      <c r="Z306" s="175"/>
      <c r="AA306" s="175"/>
      <c r="AB306" s="175"/>
      <c r="AC306" s="175"/>
    </row>
    <row r="307" spans="1:29" ht="12.75">
      <c r="A307" s="175"/>
      <c r="B307" s="175"/>
      <c r="C307" s="175"/>
      <c r="D307" s="175"/>
      <c r="E307" s="175"/>
      <c r="F307" s="175"/>
      <c r="G307" s="175"/>
      <c r="H307" s="175"/>
      <c r="I307" s="175"/>
      <c r="J307" s="175"/>
      <c r="K307" s="175"/>
      <c r="L307" s="175"/>
      <c r="M307" s="175"/>
      <c r="N307" s="175"/>
      <c r="O307" s="175"/>
      <c r="P307" s="175"/>
      <c r="Q307" s="175"/>
      <c r="R307" s="175"/>
      <c r="S307" s="175"/>
      <c r="T307" s="175"/>
      <c r="U307" s="175"/>
      <c r="V307" s="175"/>
      <c r="W307" s="175"/>
      <c r="X307" s="175"/>
      <c r="Y307" s="175"/>
      <c r="Z307" s="175"/>
      <c r="AA307" s="175"/>
      <c r="AB307" s="175"/>
      <c r="AC307" s="175"/>
    </row>
    <row r="308" spans="1:29" ht="12.75">
      <c r="A308" s="175"/>
      <c r="B308" s="175"/>
      <c r="C308" s="175"/>
      <c r="D308" s="175"/>
      <c r="E308" s="175"/>
      <c r="F308" s="175"/>
      <c r="G308" s="175"/>
      <c r="H308" s="175"/>
      <c r="I308" s="175"/>
      <c r="J308" s="175"/>
      <c r="K308" s="175"/>
      <c r="L308" s="175"/>
      <c r="M308" s="175"/>
      <c r="N308" s="175"/>
      <c r="O308" s="175"/>
      <c r="P308" s="175"/>
      <c r="Q308" s="175"/>
      <c r="R308" s="175"/>
      <c r="S308" s="175"/>
      <c r="T308" s="175"/>
      <c r="U308" s="175"/>
      <c r="V308" s="175"/>
      <c r="W308" s="175"/>
      <c r="X308" s="175"/>
      <c r="Y308" s="175"/>
      <c r="Z308" s="175"/>
      <c r="AA308" s="175"/>
      <c r="AB308" s="175"/>
      <c r="AC308" s="175"/>
    </row>
    <row r="309" spans="1:29" ht="12.75">
      <c r="A309" s="175"/>
      <c r="B309" s="175"/>
      <c r="C309" s="175"/>
      <c r="D309" s="175"/>
      <c r="E309" s="175"/>
      <c r="F309" s="175"/>
      <c r="G309" s="175"/>
      <c r="H309" s="175"/>
      <c r="I309" s="175"/>
      <c r="J309" s="175"/>
      <c r="K309" s="175"/>
      <c r="L309" s="175"/>
      <c r="M309" s="175"/>
      <c r="N309" s="175"/>
      <c r="O309" s="175"/>
      <c r="P309" s="175"/>
      <c r="Q309" s="175"/>
      <c r="R309" s="175"/>
      <c r="S309" s="175"/>
      <c r="T309" s="175"/>
      <c r="U309" s="175"/>
      <c r="V309" s="175"/>
      <c r="W309" s="175"/>
      <c r="X309" s="175"/>
      <c r="Y309" s="175"/>
      <c r="Z309" s="175"/>
      <c r="AA309" s="175"/>
      <c r="AB309" s="175"/>
      <c r="AC309" s="175"/>
    </row>
    <row r="310" spans="1:29" ht="12.75">
      <c r="A310" s="175"/>
      <c r="B310" s="175"/>
      <c r="C310" s="175"/>
      <c r="D310" s="175"/>
      <c r="E310" s="175"/>
      <c r="F310" s="175"/>
      <c r="G310" s="175"/>
      <c r="H310" s="175"/>
      <c r="I310" s="175"/>
      <c r="J310" s="175"/>
      <c r="K310" s="175"/>
      <c r="L310" s="175"/>
      <c r="M310" s="175"/>
      <c r="N310" s="175"/>
      <c r="O310" s="175"/>
      <c r="P310" s="175"/>
      <c r="Q310" s="175"/>
      <c r="R310" s="175"/>
      <c r="S310" s="175"/>
      <c r="T310" s="175"/>
      <c r="U310" s="175"/>
      <c r="V310" s="175"/>
      <c r="W310" s="175"/>
      <c r="X310" s="175"/>
      <c r="Y310" s="175"/>
      <c r="Z310" s="175"/>
      <c r="AA310" s="175"/>
      <c r="AB310" s="175"/>
      <c r="AC310" s="175"/>
    </row>
    <row r="311" spans="1:29" ht="12.75">
      <c r="A311" s="175"/>
      <c r="B311" s="175"/>
      <c r="C311" s="175"/>
      <c r="D311" s="175"/>
      <c r="E311" s="175"/>
      <c r="F311" s="175"/>
      <c r="G311" s="175"/>
      <c r="H311" s="175"/>
      <c r="I311" s="175"/>
      <c r="J311" s="175"/>
      <c r="K311" s="175"/>
      <c r="L311" s="175"/>
      <c r="M311" s="175"/>
      <c r="N311" s="175"/>
      <c r="O311" s="175"/>
      <c r="P311" s="175"/>
      <c r="Q311" s="175"/>
      <c r="R311" s="175"/>
      <c r="S311" s="175"/>
      <c r="T311" s="175"/>
      <c r="U311" s="175"/>
      <c r="V311" s="175"/>
      <c r="W311" s="175"/>
      <c r="X311" s="175"/>
      <c r="Y311" s="175"/>
      <c r="Z311" s="175"/>
      <c r="AA311" s="175"/>
      <c r="AB311" s="175"/>
      <c r="AC311" s="175"/>
    </row>
    <row r="312" spans="1:29" ht="12.75">
      <c r="A312" s="175"/>
      <c r="B312" s="175"/>
      <c r="C312" s="175"/>
      <c r="D312" s="175"/>
      <c r="E312" s="175"/>
      <c r="F312" s="175"/>
      <c r="G312" s="175"/>
      <c r="H312" s="175"/>
      <c r="I312" s="175"/>
      <c r="J312" s="175"/>
      <c r="K312" s="175"/>
      <c r="L312" s="175"/>
      <c r="M312" s="175"/>
      <c r="N312" s="175"/>
      <c r="O312" s="175"/>
      <c r="P312" s="175"/>
      <c r="Q312" s="175"/>
      <c r="R312" s="175"/>
      <c r="S312" s="175"/>
      <c r="T312" s="175"/>
      <c r="U312" s="175"/>
      <c r="V312" s="175"/>
      <c r="W312" s="175"/>
      <c r="X312" s="175"/>
      <c r="Y312" s="175"/>
      <c r="Z312" s="175"/>
      <c r="AA312" s="175"/>
      <c r="AB312" s="175"/>
      <c r="AC312" s="175"/>
    </row>
    <row r="313" spans="1:29" ht="12.75">
      <c r="A313" s="175"/>
      <c r="B313" s="175"/>
      <c r="C313" s="175"/>
      <c r="D313" s="175"/>
      <c r="E313" s="175"/>
      <c r="F313" s="175"/>
      <c r="G313" s="175"/>
      <c r="H313" s="175"/>
      <c r="I313" s="175"/>
      <c r="J313" s="175"/>
      <c r="K313" s="175"/>
      <c r="L313" s="175"/>
      <c r="M313" s="175"/>
      <c r="N313" s="175"/>
      <c r="O313" s="175"/>
      <c r="P313" s="175"/>
      <c r="Q313" s="175"/>
      <c r="R313" s="175"/>
      <c r="S313" s="175"/>
      <c r="T313" s="175"/>
      <c r="U313" s="175"/>
      <c r="V313" s="175"/>
      <c r="W313" s="175"/>
      <c r="X313" s="175"/>
      <c r="Y313" s="175"/>
      <c r="Z313" s="175"/>
      <c r="AA313" s="175"/>
      <c r="AB313" s="175"/>
      <c r="AC313" s="175"/>
    </row>
    <row r="314" spans="1:29" ht="12.75">
      <c r="A314" s="175"/>
      <c r="B314" s="175"/>
      <c r="C314" s="175"/>
      <c r="D314" s="175"/>
      <c r="E314" s="175"/>
      <c r="F314" s="175"/>
      <c r="G314" s="175"/>
      <c r="H314" s="175"/>
      <c r="I314" s="175"/>
      <c r="J314" s="175"/>
      <c r="K314" s="175"/>
      <c r="L314" s="175"/>
      <c r="M314" s="175"/>
      <c r="N314" s="175"/>
      <c r="O314" s="175"/>
      <c r="P314" s="175"/>
      <c r="Q314" s="175"/>
      <c r="R314" s="175"/>
      <c r="S314" s="175"/>
      <c r="T314" s="175"/>
      <c r="U314" s="175"/>
      <c r="V314" s="175"/>
      <c r="W314" s="175"/>
      <c r="X314" s="175"/>
      <c r="Y314" s="175"/>
      <c r="Z314" s="175"/>
      <c r="AA314" s="175"/>
      <c r="AB314" s="175"/>
      <c r="AC314" s="175"/>
    </row>
    <row r="315" spans="1:29" ht="12.75">
      <c r="A315" s="175"/>
      <c r="B315" s="175"/>
      <c r="C315" s="175"/>
      <c r="D315" s="175"/>
      <c r="E315" s="175"/>
      <c r="F315" s="175"/>
      <c r="G315" s="175"/>
      <c r="H315" s="175"/>
      <c r="I315" s="175"/>
      <c r="J315" s="175"/>
      <c r="K315" s="175"/>
      <c r="L315" s="175"/>
      <c r="M315" s="175"/>
      <c r="N315" s="175"/>
      <c r="O315" s="175"/>
      <c r="P315" s="175"/>
      <c r="Q315" s="175"/>
      <c r="R315" s="175"/>
      <c r="S315" s="175"/>
      <c r="T315" s="175"/>
      <c r="U315" s="175"/>
      <c r="V315" s="175"/>
      <c r="W315" s="175"/>
      <c r="X315" s="175"/>
      <c r="Y315" s="175"/>
      <c r="Z315" s="175"/>
      <c r="AA315" s="175"/>
      <c r="AB315" s="175"/>
      <c r="AC315" s="175"/>
    </row>
    <row r="316" spans="1:29" ht="12.75">
      <c r="A316" s="175"/>
      <c r="B316" s="175"/>
      <c r="C316" s="175"/>
      <c r="D316" s="175"/>
      <c r="E316" s="175"/>
      <c r="F316" s="175"/>
      <c r="G316" s="175"/>
      <c r="H316" s="175"/>
      <c r="I316" s="175"/>
      <c r="J316" s="175"/>
      <c r="K316" s="175"/>
      <c r="L316" s="175"/>
      <c r="M316" s="175"/>
      <c r="N316" s="175"/>
      <c r="O316" s="175"/>
      <c r="P316" s="175"/>
      <c r="Q316" s="175"/>
      <c r="R316" s="175"/>
      <c r="S316" s="175"/>
      <c r="T316" s="175"/>
      <c r="U316" s="175"/>
      <c r="V316" s="175"/>
      <c r="W316" s="175"/>
      <c r="X316" s="175"/>
      <c r="Y316" s="175"/>
      <c r="Z316" s="175"/>
      <c r="AA316" s="175"/>
      <c r="AB316" s="175"/>
      <c r="AC316" s="175"/>
    </row>
    <row r="317" spans="1:29" ht="12.75">
      <c r="A317" s="175"/>
      <c r="B317" s="175"/>
      <c r="C317" s="175"/>
      <c r="D317" s="175"/>
      <c r="E317" s="175"/>
      <c r="F317" s="175"/>
      <c r="G317" s="175"/>
      <c r="H317" s="175"/>
      <c r="I317" s="175"/>
      <c r="J317" s="175"/>
      <c r="K317" s="175"/>
      <c r="L317" s="175"/>
      <c r="M317" s="175"/>
      <c r="N317" s="175"/>
      <c r="O317" s="175"/>
      <c r="P317" s="175"/>
      <c r="Q317" s="175"/>
      <c r="R317" s="175"/>
      <c r="S317" s="175"/>
      <c r="T317" s="175"/>
      <c r="U317" s="175"/>
      <c r="V317" s="175"/>
      <c r="W317" s="175"/>
      <c r="X317" s="175"/>
      <c r="Y317" s="175"/>
      <c r="Z317" s="175"/>
      <c r="AA317" s="175"/>
      <c r="AB317" s="175"/>
      <c r="AC317" s="175"/>
    </row>
    <row r="318" spans="1:29" ht="12.75">
      <c r="A318" s="175"/>
      <c r="B318" s="175"/>
      <c r="C318" s="175"/>
      <c r="D318" s="175"/>
      <c r="E318" s="175"/>
      <c r="F318" s="175"/>
      <c r="G318" s="175"/>
      <c r="H318" s="175"/>
      <c r="I318" s="175"/>
      <c r="J318" s="175"/>
      <c r="K318" s="175"/>
      <c r="L318" s="175"/>
      <c r="M318" s="175"/>
      <c r="N318" s="175"/>
      <c r="O318" s="175"/>
      <c r="P318" s="175"/>
      <c r="Q318" s="175"/>
      <c r="R318" s="175"/>
      <c r="S318" s="175"/>
      <c r="T318" s="175"/>
      <c r="U318" s="175"/>
      <c r="V318" s="175"/>
      <c r="W318" s="175"/>
      <c r="X318" s="175"/>
      <c r="Y318" s="175"/>
      <c r="Z318" s="175"/>
      <c r="AA318" s="175"/>
      <c r="AB318" s="175"/>
      <c r="AC318" s="175"/>
    </row>
    <row r="319" spans="1:29" ht="12.75">
      <c r="A319" s="175"/>
      <c r="B319" s="175"/>
      <c r="C319" s="175"/>
      <c r="D319" s="175"/>
      <c r="E319" s="175"/>
      <c r="F319" s="175"/>
      <c r="G319" s="175"/>
      <c r="H319" s="175"/>
      <c r="I319" s="175"/>
      <c r="J319" s="175"/>
      <c r="K319" s="175"/>
      <c r="L319" s="175"/>
      <c r="M319" s="175"/>
      <c r="N319" s="175"/>
      <c r="O319" s="175"/>
      <c r="P319" s="175"/>
      <c r="Q319" s="175"/>
      <c r="R319" s="175"/>
      <c r="S319" s="175"/>
      <c r="T319" s="175"/>
      <c r="U319" s="175"/>
      <c r="V319" s="175"/>
      <c r="W319" s="175"/>
      <c r="X319" s="175"/>
      <c r="Y319" s="175"/>
      <c r="Z319" s="175"/>
      <c r="AA319" s="175"/>
      <c r="AB319" s="175"/>
      <c r="AC319" s="175"/>
    </row>
    <row r="320" spans="1:29" ht="12.75">
      <c r="A320" s="175"/>
      <c r="B320" s="175"/>
      <c r="C320" s="175"/>
      <c r="D320" s="175"/>
      <c r="E320" s="175"/>
      <c r="F320" s="175"/>
      <c r="G320" s="175"/>
      <c r="H320" s="175"/>
      <c r="I320" s="175"/>
      <c r="J320" s="175"/>
      <c r="K320" s="175"/>
      <c r="L320" s="175"/>
      <c r="M320" s="175"/>
      <c r="N320" s="175"/>
      <c r="O320" s="175"/>
      <c r="P320" s="175"/>
      <c r="Q320" s="175"/>
      <c r="R320" s="175"/>
      <c r="S320" s="175"/>
      <c r="T320" s="175"/>
      <c r="U320" s="175"/>
      <c r="V320" s="175"/>
      <c r="W320" s="175"/>
      <c r="X320" s="175"/>
      <c r="Y320" s="175"/>
      <c r="Z320" s="175"/>
      <c r="AA320" s="175"/>
      <c r="AB320" s="175"/>
      <c r="AC320" s="175"/>
    </row>
    <row r="321" spans="1:29" ht="12.75">
      <c r="A321" s="175"/>
      <c r="B321" s="175"/>
      <c r="C321" s="175"/>
      <c r="D321" s="175"/>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c r="AA321" s="175"/>
      <c r="AB321" s="175"/>
      <c r="AC321" s="175"/>
    </row>
    <row r="322" spans="1:29" ht="12.75">
      <c r="A322" s="175"/>
      <c r="B322" s="175"/>
      <c r="C322" s="175"/>
      <c r="D322" s="175"/>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c r="AA322" s="175"/>
      <c r="AB322" s="175"/>
      <c r="AC322" s="175"/>
    </row>
    <row r="323" spans="1:29" ht="12.75">
      <c r="A323" s="175"/>
      <c r="B323" s="175"/>
      <c r="C323" s="175"/>
      <c r="D323" s="175"/>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c r="AA323" s="175"/>
      <c r="AB323" s="175"/>
      <c r="AC323" s="175"/>
    </row>
    <row r="324" spans="1:29" ht="12.75">
      <c r="A324" s="175"/>
      <c r="B324" s="175"/>
      <c r="C324" s="175"/>
      <c r="D324" s="175"/>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c r="AA324" s="175"/>
      <c r="AB324" s="175"/>
      <c r="AC324" s="175"/>
    </row>
    <row r="325" spans="1:29" ht="12.75">
      <c r="A325" s="175"/>
      <c r="B325" s="175"/>
      <c r="C325" s="175"/>
      <c r="D325" s="175"/>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c r="AA325" s="175"/>
      <c r="AB325" s="175"/>
      <c r="AC325" s="175"/>
    </row>
    <row r="326" spans="1:29" ht="12.75">
      <c r="A326" s="175"/>
      <c r="B326" s="175"/>
      <c r="C326" s="175"/>
      <c r="D326" s="175"/>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c r="AA326" s="175"/>
      <c r="AB326" s="175"/>
      <c r="AC326" s="175"/>
    </row>
    <row r="327" spans="1:29" ht="12.75">
      <c r="A327" s="175"/>
      <c r="B327" s="175"/>
      <c r="C327" s="175"/>
      <c r="D327" s="175"/>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c r="AA327" s="175"/>
      <c r="AB327" s="175"/>
      <c r="AC327" s="175"/>
    </row>
    <row r="328" spans="1:29" ht="12.75">
      <c r="A328" s="175"/>
      <c r="B328" s="175"/>
      <c r="C328" s="175"/>
      <c r="D328" s="175"/>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c r="AA328" s="175"/>
      <c r="AB328" s="175"/>
      <c r="AC328" s="175"/>
    </row>
    <row r="329" spans="1:29" ht="12.75">
      <c r="A329" s="175"/>
      <c r="B329" s="175"/>
      <c r="C329" s="175"/>
      <c r="D329" s="175"/>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c r="AA329" s="175"/>
      <c r="AB329" s="175"/>
      <c r="AC329" s="175"/>
    </row>
    <row r="330" spans="1:29" ht="12.75">
      <c r="A330" s="175"/>
      <c r="B330" s="175"/>
      <c r="C330" s="175"/>
      <c r="D330" s="175"/>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c r="AA330" s="175"/>
      <c r="AB330" s="175"/>
      <c r="AC330" s="175"/>
    </row>
    <row r="331" spans="1:29" ht="12.75">
      <c r="A331" s="175"/>
      <c r="B331" s="175"/>
      <c r="C331" s="175"/>
      <c r="D331" s="175"/>
      <c r="E331" s="175"/>
      <c r="F331" s="175"/>
      <c r="G331" s="175"/>
      <c r="H331" s="175"/>
      <c r="I331" s="175"/>
      <c r="J331" s="175"/>
      <c r="K331" s="175"/>
      <c r="L331" s="175"/>
      <c r="M331" s="175"/>
      <c r="N331" s="175"/>
      <c r="O331" s="175"/>
      <c r="P331" s="175"/>
      <c r="Q331" s="175"/>
      <c r="R331" s="175"/>
      <c r="S331" s="175"/>
      <c r="T331" s="175"/>
      <c r="U331" s="175"/>
      <c r="V331" s="175"/>
      <c r="W331" s="175"/>
      <c r="X331" s="175"/>
      <c r="Y331" s="175"/>
      <c r="Z331" s="175"/>
      <c r="AA331" s="175"/>
      <c r="AB331" s="175"/>
      <c r="AC331" s="175"/>
    </row>
    <row r="332" spans="1:29" ht="12.75">
      <c r="A332" s="175"/>
      <c r="B332" s="175"/>
      <c r="C332" s="175"/>
      <c r="D332" s="175"/>
      <c r="E332" s="175"/>
      <c r="F332" s="175"/>
      <c r="G332" s="175"/>
      <c r="H332" s="175"/>
      <c r="I332" s="175"/>
      <c r="J332" s="175"/>
      <c r="K332" s="175"/>
      <c r="L332" s="175"/>
      <c r="M332" s="175"/>
      <c r="N332" s="175"/>
      <c r="O332" s="175"/>
      <c r="P332" s="175"/>
      <c r="Q332" s="175"/>
      <c r="R332" s="175"/>
      <c r="S332" s="175"/>
      <c r="T332" s="175"/>
      <c r="U332" s="175"/>
      <c r="V332" s="175"/>
      <c r="W332" s="175"/>
      <c r="X332" s="175"/>
      <c r="Y332" s="175"/>
      <c r="Z332" s="175"/>
      <c r="AA332" s="175"/>
      <c r="AB332" s="175"/>
      <c r="AC332" s="175"/>
    </row>
    <row r="333" spans="1:29" ht="12.75">
      <c r="A333" s="175"/>
      <c r="B333" s="175"/>
      <c r="C333" s="175"/>
      <c r="D333" s="175"/>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c r="AA333" s="175"/>
      <c r="AB333" s="175"/>
      <c r="AC333" s="175"/>
    </row>
    <row r="334" spans="1:29" ht="12.75">
      <c r="A334" s="175"/>
      <c r="B334" s="175"/>
      <c r="C334" s="175"/>
      <c r="D334" s="175"/>
      <c r="E334" s="175"/>
      <c r="F334" s="175"/>
      <c r="G334" s="175"/>
      <c r="H334" s="175"/>
      <c r="I334" s="175"/>
      <c r="J334" s="175"/>
      <c r="K334" s="175"/>
      <c r="L334" s="175"/>
      <c r="M334" s="175"/>
      <c r="N334" s="175"/>
      <c r="O334" s="175"/>
      <c r="P334" s="175"/>
      <c r="Q334" s="175"/>
      <c r="R334" s="175"/>
      <c r="S334" s="175"/>
      <c r="T334" s="175"/>
      <c r="U334" s="175"/>
      <c r="V334" s="175"/>
      <c r="W334" s="175"/>
      <c r="X334" s="175"/>
      <c r="Y334" s="175"/>
      <c r="Z334" s="175"/>
      <c r="AA334" s="175"/>
      <c r="AB334" s="175"/>
      <c r="AC334" s="175"/>
    </row>
    <row r="335" spans="1:29" ht="12.75">
      <c r="A335" s="175"/>
      <c r="B335" s="175"/>
      <c r="C335" s="175"/>
      <c r="D335" s="175"/>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c r="AA335" s="175"/>
      <c r="AB335" s="175"/>
      <c r="AC335" s="175"/>
    </row>
    <row r="336" spans="1:29" ht="12.75">
      <c r="A336" s="175"/>
      <c r="B336" s="175"/>
      <c r="C336" s="175"/>
      <c r="D336" s="175"/>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c r="AA336" s="175"/>
      <c r="AB336" s="175"/>
      <c r="AC336" s="175"/>
    </row>
    <row r="337" spans="1:29" ht="12.75">
      <c r="A337" s="175"/>
      <c r="B337" s="175"/>
      <c r="C337" s="175"/>
      <c r="D337" s="175"/>
      <c r="E337" s="175"/>
      <c r="F337" s="175"/>
      <c r="G337" s="175"/>
      <c r="H337" s="175"/>
      <c r="I337" s="175"/>
      <c r="J337" s="175"/>
      <c r="K337" s="175"/>
      <c r="L337" s="175"/>
      <c r="M337" s="175"/>
      <c r="N337" s="175"/>
      <c r="O337" s="175"/>
      <c r="P337" s="175"/>
      <c r="Q337" s="175"/>
      <c r="R337" s="175"/>
      <c r="S337" s="175"/>
      <c r="T337" s="175"/>
      <c r="U337" s="175"/>
      <c r="V337" s="175"/>
      <c r="W337" s="175"/>
      <c r="X337" s="175"/>
      <c r="Y337" s="175"/>
      <c r="Z337" s="175"/>
      <c r="AA337" s="175"/>
      <c r="AB337" s="175"/>
      <c r="AC337" s="175"/>
    </row>
    <row r="338" spans="1:29" ht="12.75">
      <c r="A338" s="175"/>
      <c r="B338" s="175"/>
      <c r="C338" s="175"/>
      <c r="D338" s="175"/>
      <c r="E338" s="175"/>
      <c r="F338" s="175"/>
      <c r="G338" s="175"/>
      <c r="H338" s="175"/>
      <c r="I338" s="175"/>
      <c r="J338" s="175"/>
      <c r="K338" s="175"/>
      <c r="L338" s="175"/>
      <c r="M338" s="175"/>
      <c r="N338" s="175"/>
      <c r="O338" s="175"/>
      <c r="P338" s="175"/>
      <c r="Q338" s="175"/>
      <c r="R338" s="175"/>
      <c r="S338" s="175"/>
      <c r="T338" s="175"/>
      <c r="U338" s="175"/>
      <c r="V338" s="175"/>
      <c r="W338" s="175"/>
      <c r="X338" s="175"/>
      <c r="Y338" s="175"/>
      <c r="Z338" s="175"/>
      <c r="AA338" s="175"/>
      <c r="AB338" s="175"/>
      <c r="AC338" s="175"/>
    </row>
    <row r="339" spans="1:29" ht="12.75">
      <c r="A339" s="175"/>
      <c r="B339" s="175"/>
      <c r="C339" s="175"/>
      <c r="D339" s="175"/>
      <c r="E339" s="175"/>
      <c r="F339" s="175"/>
      <c r="G339" s="175"/>
      <c r="H339" s="175"/>
      <c r="I339" s="175"/>
      <c r="J339" s="175"/>
      <c r="K339" s="175"/>
      <c r="L339" s="175"/>
      <c r="M339" s="175"/>
      <c r="N339" s="175"/>
      <c r="O339" s="175"/>
      <c r="P339" s="175"/>
      <c r="Q339" s="175"/>
      <c r="R339" s="175"/>
      <c r="S339" s="175"/>
      <c r="T339" s="175"/>
      <c r="U339" s="175"/>
      <c r="V339" s="175"/>
      <c r="W339" s="175"/>
      <c r="X339" s="175"/>
      <c r="Y339" s="175"/>
      <c r="Z339" s="175"/>
      <c r="AA339" s="175"/>
      <c r="AB339" s="175"/>
      <c r="AC339" s="175"/>
    </row>
    <row r="340" spans="1:29" ht="12.75">
      <c r="A340" s="175"/>
      <c r="B340" s="175"/>
      <c r="C340" s="175"/>
      <c r="D340" s="175"/>
      <c r="E340" s="175"/>
      <c r="F340" s="175"/>
      <c r="G340" s="175"/>
      <c r="H340" s="175"/>
      <c r="I340" s="175"/>
      <c r="J340" s="175"/>
      <c r="K340" s="175"/>
      <c r="L340" s="175"/>
      <c r="M340" s="175"/>
      <c r="N340" s="175"/>
      <c r="O340" s="175"/>
      <c r="P340" s="175"/>
      <c r="Q340" s="175"/>
      <c r="R340" s="175"/>
      <c r="S340" s="175"/>
      <c r="T340" s="175"/>
      <c r="U340" s="175"/>
      <c r="V340" s="175"/>
      <c r="W340" s="175"/>
      <c r="X340" s="175"/>
      <c r="Y340" s="175"/>
      <c r="Z340" s="175"/>
      <c r="AA340" s="175"/>
      <c r="AB340" s="175"/>
      <c r="AC340" s="175"/>
    </row>
    <row r="341" spans="1:29" ht="12.75">
      <c r="A341" s="175"/>
      <c r="B341" s="175"/>
      <c r="C341" s="175"/>
      <c r="D341" s="175"/>
      <c r="E341" s="175"/>
      <c r="F341" s="175"/>
      <c r="G341" s="175"/>
      <c r="H341" s="175"/>
      <c r="I341" s="175"/>
      <c r="J341" s="175"/>
      <c r="K341" s="175"/>
      <c r="L341" s="175"/>
      <c r="M341" s="175"/>
      <c r="N341" s="175"/>
      <c r="O341" s="175"/>
      <c r="P341" s="175"/>
      <c r="Q341" s="175"/>
      <c r="R341" s="175"/>
      <c r="S341" s="175"/>
      <c r="T341" s="175"/>
      <c r="U341" s="175"/>
      <c r="V341" s="175"/>
      <c r="W341" s="175"/>
      <c r="X341" s="175"/>
      <c r="Y341" s="175"/>
      <c r="Z341" s="175"/>
      <c r="AA341" s="175"/>
      <c r="AB341" s="175"/>
      <c r="AC341" s="175"/>
    </row>
    <row r="342" spans="1:29" ht="12.75">
      <c r="A342" s="175"/>
      <c r="B342" s="175"/>
      <c r="C342" s="175"/>
      <c r="D342" s="175"/>
      <c r="E342" s="175"/>
      <c r="F342" s="175"/>
      <c r="G342" s="175"/>
      <c r="H342" s="175"/>
      <c r="I342" s="175"/>
      <c r="J342" s="175"/>
      <c r="K342" s="175"/>
      <c r="L342" s="175"/>
      <c r="M342" s="175"/>
      <c r="N342" s="175"/>
      <c r="O342" s="175"/>
      <c r="P342" s="175"/>
      <c r="Q342" s="175"/>
      <c r="R342" s="175"/>
      <c r="S342" s="175"/>
      <c r="T342" s="175"/>
      <c r="U342" s="175"/>
      <c r="V342" s="175"/>
      <c r="W342" s="175"/>
      <c r="X342" s="175"/>
      <c r="Y342" s="175"/>
      <c r="Z342" s="175"/>
      <c r="AA342" s="175"/>
      <c r="AB342" s="175"/>
      <c r="AC342" s="175"/>
    </row>
    <row r="343" spans="1:29" ht="12.75">
      <c r="A343" s="175"/>
      <c r="B343" s="175"/>
      <c r="C343" s="175"/>
      <c r="D343" s="175"/>
      <c r="E343" s="175"/>
      <c r="F343" s="175"/>
      <c r="G343" s="175"/>
      <c r="H343" s="175"/>
      <c r="I343" s="175"/>
      <c r="J343" s="175"/>
      <c r="K343" s="175"/>
      <c r="L343" s="175"/>
      <c r="M343" s="175"/>
      <c r="N343" s="175"/>
      <c r="O343" s="175"/>
      <c r="P343" s="175"/>
      <c r="Q343" s="175"/>
      <c r="R343" s="175"/>
      <c r="S343" s="175"/>
      <c r="T343" s="175"/>
      <c r="U343" s="175"/>
      <c r="V343" s="175"/>
      <c r="W343" s="175"/>
      <c r="X343" s="175"/>
      <c r="Y343" s="175"/>
      <c r="Z343" s="175"/>
      <c r="AA343" s="175"/>
      <c r="AB343" s="175"/>
      <c r="AC343" s="175"/>
    </row>
    <row r="344" spans="1:29" ht="12.75">
      <c r="A344" s="175"/>
      <c r="B344" s="175"/>
      <c r="C344" s="175"/>
      <c r="D344" s="175"/>
      <c r="E344" s="175"/>
      <c r="F344" s="175"/>
      <c r="G344" s="175"/>
      <c r="H344" s="175"/>
      <c r="I344" s="175"/>
      <c r="J344" s="175"/>
      <c r="K344" s="175"/>
      <c r="L344" s="175"/>
      <c r="M344" s="175"/>
      <c r="N344" s="175"/>
      <c r="O344" s="175"/>
      <c r="P344" s="175"/>
      <c r="Q344" s="175"/>
      <c r="R344" s="175"/>
      <c r="S344" s="175"/>
      <c r="T344" s="175"/>
      <c r="U344" s="175"/>
      <c r="V344" s="175"/>
      <c r="W344" s="175"/>
      <c r="X344" s="175"/>
      <c r="Y344" s="175"/>
      <c r="Z344" s="175"/>
      <c r="AA344" s="175"/>
      <c r="AB344" s="175"/>
      <c r="AC344" s="175"/>
    </row>
    <row r="345" spans="1:29" ht="12.75">
      <c r="A345" s="175"/>
      <c r="B345" s="175"/>
      <c r="C345" s="175"/>
      <c r="D345" s="175"/>
      <c r="E345" s="175"/>
      <c r="F345" s="175"/>
      <c r="G345" s="175"/>
      <c r="H345" s="175"/>
      <c r="I345" s="175"/>
      <c r="J345" s="175"/>
      <c r="K345" s="175"/>
      <c r="L345" s="175"/>
      <c r="M345" s="175"/>
      <c r="N345" s="175"/>
      <c r="O345" s="175"/>
      <c r="P345" s="175"/>
      <c r="Q345" s="175"/>
      <c r="R345" s="175"/>
      <c r="S345" s="175"/>
      <c r="T345" s="175"/>
      <c r="U345" s="175"/>
      <c r="V345" s="175"/>
      <c r="W345" s="175"/>
      <c r="X345" s="175"/>
      <c r="Y345" s="175"/>
      <c r="Z345" s="175"/>
      <c r="AA345" s="175"/>
      <c r="AB345" s="175"/>
      <c r="AC345" s="175"/>
    </row>
    <row r="346" spans="1:29" ht="12.75">
      <c r="A346" s="175"/>
      <c r="B346" s="175"/>
      <c r="C346" s="175"/>
      <c r="D346" s="175"/>
      <c r="E346" s="175"/>
      <c r="F346" s="175"/>
      <c r="G346" s="175"/>
      <c r="H346" s="175"/>
      <c r="I346" s="175"/>
      <c r="J346" s="175"/>
      <c r="K346" s="175"/>
      <c r="L346" s="175"/>
      <c r="M346" s="175"/>
      <c r="N346" s="175"/>
      <c r="O346" s="175"/>
      <c r="P346" s="175"/>
      <c r="Q346" s="175"/>
      <c r="R346" s="175"/>
      <c r="S346" s="175"/>
      <c r="T346" s="175"/>
      <c r="U346" s="175"/>
      <c r="V346" s="175"/>
      <c r="W346" s="175"/>
      <c r="X346" s="175"/>
      <c r="Y346" s="175"/>
      <c r="Z346" s="175"/>
      <c r="AA346" s="175"/>
      <c r="AB346" s="175"/>
      <c r="AC346" s="175"/>
    </row>
    <row r="347" spans="1:29" ht="12.75">
      <c r="A347" s="175"/>
      <c r="B347" s="175"/>
      <c r="C347" s="175"/>
      <c r="D347" s="175"/>
      <c r="E347" s="175"/>
      <c r="F347" s="175"/>
      <c r="G347" s="175"/>
      <c r="H347" s="175"/>
      <c r="I347" s="175"/>
      <c r="J347" s="175"/>
      <c r="K347" s="175"/>
      <c r="L347" s="175"/>
      <c r="M347" s="175"/>
      <c r="N347" s="175"/>
      <c r="O347" s="175"/>
      <c r="P347" s="175"/>
      <c r="Q347" s="175"/>
      <c r="R347" s="175"/>
      <c r="S347" s="175"/>
      <c r="T347" s="175"/>
      <c r="U347" s="175"/>
      <c r="V347" s="175"/>
      <c r="W347" s="175"/>
      <c r="X347" s="175"/>
      <c r="Y347" s="175"/>
      <c r="Z347" s="175"/>
      <c r="AA347" s="175"/>
      <c r="AB347" s="175"/>
      <c r="AC347" s="175"/>
    </row>
    <row r="348" spans="1:29" ht="12.75">
      <c r="A348" s="175"/>
      <c r="B348" s="175"/>
      <c r="C348" s="175"/>
      <c r="D348" s="175"/>
      <c r="E348" s="175"/>
      <c r="F348" s="175"/>
      <c r="G348" s="175"/>
      <c r="H348" s="175"/>
      <c r="I348" s="175"/>
      <c r="J348" s="175"/>
      <c r="K348" s="175"/>
      <c r="L348" s="175"/>
      <c r="M348" s="175"/>
      <c r="N348" s="175"/>
      <c r="O348" s="175"/>
      <c r="P348" s="175"/>
      <c r="Q348" s="175"/>
      <c r="R348" s="175"/>
      <c r="S348" s="175"/>
      <c r="T348" s="175"/>
      <c r="U348" s="175"/>
      <c r="V348" s="175"/>
      <c r="W348" s="175"/>
      <c r="X348" s="175"/>
      <c r="Y348" s="175"/>
      <c r="Z348" s="175"/>
      <c r="AA348" s="175"/>
      <c r="AB348" s="175"/>
      <c r="AC348" s="175"/>
    </row>
    <row r="349" spans="1:29" ht="12.75">
      <c r="A349" s="175"/>
      <c r="B349" s="175"/>
      <c r="C349" s="175"/>
      <c r="D349" s="175"/>
      <c r="E349" s="175"/>
      <c r="F349" s="175"/>
      <c r="G349" s="175"/>
      <c r="H349" s="175"/>
      <c r="I349" s="175"/>
      <c r="J349" s="175"/>
      <c r="K349" s="175"/>
      <c r="L349" s="175"/>
      <c r="M349" s="175"/>
      <c r="N349" s="175"/>
      <c r="O349" s="175"/>
      <c r="P349" s="175"/>
      <c r="Q349" s="175"/>
      <c r="R349" s="175"/>
      <c r="S349" s="175"/>
      <c r="T349" s="175"/>
      <c r="U349" s="175"/>
      <c r="V349" s="175"/>
      <c r="W349" s="175"/>
      <c r="X349" s="175"/>
      <c r="Y349" s="175"/>
      <c r="Z349" s="175"/>
      <c r="AA349" s="175"/>
      <c r="AB349" s="175"/>
      <c r="AC349" s="175"/>
    </row>
    <row r="350" spans="1:29" ht="12.75">
      <c r="A350" s="175"/>
      <c r="B350" s="175"/>
      <c r="C350" s="175"/>
      <c r="D350" s="175"/>
      <c r="E350" s="175"/>
      <c r="F350" s="175"/>
      <c r="G350" s="175"/>
      <c r="H350" s="175"/>
      <c r="I350" s="175"/>
      <c r="J350" s="175"/>
      <c r="K350" s="175"/>
      <c r="L350" s="175"/>
      <c r="M350" s="175"/>
      <c r="N350" s="175"/>
      <c r="O350" s="175"/>
      <c r="P350" s="175"/>
      <c r="Q350" s="175"/>
      <c r="R350" s="175"/>
      <c r="S350" s="175"/>
      <c r="T350" s="175"/>
      <c r="U350" s="175"/>
      <c r="V350" s="175"/>
      <c r="W350" s="175"/>
      <c r="X350" s="175"/>
      <c r="Y350" s="175"/>
      <c r="Z350" s="175"/>
      <c r="AA350" s="175"/>
      <c r="AB350" s="175"/>
      <c r="AC350" s="175"/>
    </row>
    <row r="351" spans="1:29" ht="12.75">
      <c r="A351" s="175"/>
      <c r="B351" s="175"/>
      <c r="C351" s="175"/>
      <c r="D351" s="175"/>
      <c r="E351" s="175"/>
      <c r="F351" s="175"/>
      <c r="G351" s="175"/>
      <c r="H351" s="175"/>
      <c r="I351" s="175"/>
      <c r="J351" s="175"/>
      <c r="K351" s="175"/>
      <c r="L351" s="175"/>
      <c r="M351" s="175"/>
      <c r="N351" s="175"/>
      <c r="O351" s="175"/>
      <c r="P351" s="175"/>
      <c r="Q351" s="175"/>
      <c r="R351" s="175"/>
      <c r="S351" s="175"/>
      <c r="T351" s="175"/>
      <c r="U351" s="175"/>
      <c r="V351" s="175"/>
      <c r="W351" s="175"/>
      <c r="X351" s="175"/>
      <c r="Y351" s="175"/>
      <c r="Z351" s="175"/>
      <c r="AA351" s="175"/>
      <c r="AB351" s="175"/>
      <c r="AC351" s="175"/>
    </row>
    <row r="352" spans="1:29" ht="12.75">
      <c r="A352" s="175"/>
      <c r="B352" s="175"/>
      <c r="C352" s="175"/>
      <c r="D352" s="175"/>
      <c r="E352" s="175"/>
      <c r="F352" s="175"/>
      <c r="G352" s="175"/>
      <c r="H352" s="175"/>
      <c r="I352" s="175"/>
      <c r="J352" s="175"/>
      <c r="K352" s="175"/>
      <c r="L352" s="175"/>
      <c r="M352" s="175"/>
      <c r="N352" s="175"/>
      <c r="O352" s="175"/>
      <c r="P352" s="175"/>
      <c r="Q352" s="175"/>
      <c r="R352" s="175"/>
      <c r="S352" s="175"/>
      <c r="T352" s="175"/>
      <c r="U352" s="175"/>
      <c r="V352" s="175"/>
      <c r="W352" s="175"/>
      <c r="X352" s="175"/>
      <c r="Y352" s="175"/>
      <c r="Z352" s="175"/>
      <c r="AA352" s="175"/>
      <c r="AB352" s="175"/>
      <c r="AC352" s="175"/>
    </row>
    <row r="353" spans="1:29" ht="12.75">
      <c r="A353" s="175"/>
      <c r="B353" s="175"/>
      <c r="C353" s="175"/>
      <c r="D353" s="175"/>
      <c r="E353" s="175"/>
      <c r="F353" s="175"/>
      <c r="G353" s="175"/>
      <c r="H353" s="175"/>
      <c r="I353" s="175"/>
      <c r="J353" s="175"/>
      <c r="K353" s="175"/>
      <c r="L353" s="175"/>
      <c r="M353" s="175"/>
      <c r="N353" s="175"/>
      <c r="O353" s="175"/>
      <c r="P353" s="175"/>
      <c r="Q353" s="175"/>
      <c r="R353" s="175"/>
      <c r="S353" s="175"/>
      <c r="T353" s="175"/>
      <c r="U353" s="175"/>
      <c r="V353" s="175"/>
      <c r="W353" s="175"/>
      <c r="X353" s="175"/>
      <c r="Y353" s="175"/>
      <c r="Z353" s="175"/>
      <c r="AA353" s="175"/>
      <c r="AB353" s="175"/>
      <c r="AC353" s="175"/>
    </row>
    <row r="354" spans="1:29" ht="12.75">
      <c r="A354" s="175"/>
      <c r="B354" s="175"/>
      <c r="C354" s="175"/>
      <c r="D354" s="175"/>
      <c r="E354" s="175"/>
      <c r="F354" s="175"/>
      <c r="G354" s="175"/>
      <c r="H354" s="175"/>
      <c r="I354" s="175"/>
      <c r="J354" s="175"/>
      <c r="K354" s="175"/>
      <c r="L354" s="175"/>
      <c r="M354" s="175"/>
      <c r="N354" s="175"/>
      <c r="O354" s="175"/>
      <c r="P354" s="175"/>
      <c r="Q354" s="175"/>
      <c r="R354" s="175"/>
      <c r="S354" s="175"/>
      <c r="T354" s="175"/>
      <c r="U354" s="175"/>
      <c r="V354" s="175"/>
      <c r="W354" s="175"/>
      <c r="X354" s="175"/>
      <c r="Y354" s="175"/>
      <c r="Z354" s="175"/>
      <c r="AA354" s="175"/>
      <c r="AB354" s="175"/>
      <c r="AC354" s="175"/>
    </row>
    <row r="355" spans="1:29" ht="12.75">
      <c r="A355" s="175"/>
      <c r="B355" s="175"/>
      <c r="C355" s="175"/>
      <c r="D355" s="175"/>
      <c r="E355" s="175"/>
      <c r="F355" s="175"/>
      <c r="G355" s="175"/>
      <c r="H355" s="175"/>
      <c r="I355" s="175"/>
      <c r="J355" s="175"/>
      <c r="K355" s="175"/>
      <c r="L355" s="175"/>
      <c r="M355" s="175"/>
      <c r="N355" s="175"/>
      <c r="O355" s="175"/>
      <c r="P355" s="175"/>
      <c r="Q355" s="175"/>
      <c r="R355" s="175"/>
      <c r="S355" s="175"/>
      <c r="T355" s="175"/>
      <c r="U355" s="175"/>
      <c r="V355" s="175"/>
      <c r="W355" s="175"/>
      <c r="X355" s="175"/>
      <c r="Y355" s="175"/>
      <c r="Z355" s="175"/>
      <c r="AA355" s="175"/>
      <c r="AB355" s="175"/>
      <c r="AC355" s="175"/>
    </row>
    <row r="356" spans="1:29" ht="12.75">
      <c r="A356" s="175"/>
      <c r="B356" s="175"/>
      <c r="C356" s="175"/>
      <c r="D356" s="175"/>
      <c r="E356" s="175"/>
      <c r="F356" s="175"/>
      <c r="G356" s="175"/>
      <c r="H356" s="175"/>
      <c r="I356" s="175"/>
      <c r="J356" s="175"/>
      <c r="K356" s="175"/>
      <c r="L356" s="175"/>
      <c r="M356" s="175"/>
      <c r="N356" s="175"/>
      <c r="O356" s="175"/>
      <c r="P356" s="175"/>
      <c r="Q356" s="175"/>
      <c r="R356" s="175"/>
      <c r="S356" s="175"/>
      <c r="T356" s="175"/>
      <c r="U356" s="175"/>
      <c r="V356" s="175"/>
      <c r="W356" s="175"/>
      <c r="X356" s="175"/>
      <c r="Y356" s="175"/>
      <c r="Z356" s="175"/>
      <c r="AA356" s="175"/>
      <c r="AB356" s="175"/>
      <c r="AC356" s="175"/>
    </row>
    <row r="357" spans="1:29" ht="12.75">
      <c r="A357" s="175"/>
      <c r="B357" s="175"/>
      <c r="C357" s="175"/>
      <c r="D357" s="175"/>
      <c r="E357" s="175"/>
      <c r="F357" s="175"/>
      <c r="G357" s="175"/>
      <c r="H357" s="175"/>
      <c r="I357" s="175"/>
      <c r="J357" s="175"/>
      <c r="K357" s="175"/>
      <c r="L357" s="175"/>
      <c r="M357" s="175"/>
      <c r="N357" s="175"/>
      <c r="O357" s="175"/>
      <c r="P357" s="175"/>
      <c r="Q357" s="175"/>
      <c r="R357" s="175"/>
      <c r="S357" s="175"/>
      <c r="T357" s="175"/>
      <c r="U357" s="175"/>
      <c r="V357" s="175"/>
      <c r="W357" s="175"/>
      <c r="X357" s="175"/>
      <c r="Y357" s="175"/>
      <c r="Z357" s="175"/>
      <c r="AA357" s="175"/>
      <c r="AB357" s="175"/>
      <c r="AC357" s="175"/>
    </row>
    <row r="358" spans="1:29" ht="12.75">
      <c r="A358" s="175"/>
      <c r="B358" s="175"/>
      <c r="C358" s="175"/>
      <c r="D358" s="175"/>
      <c r="E358" s="175"/>
      <c r="F358" s="175"/>
      <c r="G358" s="175"/>
      <c r="H358" s="175"/>
      <c r="I358" s="175"/>
      <c r="J358" s="175"/>
      <c r="K358" s="175"/>
      <c r="L358" s="175"/>
      <c r="M358" s="175"/>
      <c r="N358" s="175"/>
      <c r="O358" s="175"/>
      <c r="P358" s="175"/>
      <c r="Q358" s="175"/>
      <c r="R358" s="175"/>
      <c r="S358" s="175"/>
      <c r="T358" s="175"/>
      <c r="U358" s="175"/>
      <c r="V358" s="175"/>
      <c r="W358" s="175"/>
      <c r="X358" s="175"/>
      <c r="Y358" s="175"/>
      <c r="Z358" s="175"/>
      <c r="AA358" s="175"/>
      <c r="AB358" s="175"/>
      <c r="AC358" s="175"/>
    </row>
    <row r="359" spans="1:29" ht="12.75">
      <c r="A359" s="175"/>
      <c r="B359" s="175"/>
      <c r="C359" s="175"/>
      <c r="D359" s="175"/>
      <c r="E359" s="175"/>
      <c r="F359" s="175"/>
      <c r="G359" s="175"/>
      <c r="H359" s="175"/>
      <c r="I359" s="175"/>
      <c r="J359" s="175"/>
      <c r="K359" s="175"/>
      <c r="L359" s="175"/>
      <c r="M359" s="175"/>
      <c r="N359" s="175"/>
      <c r="O359" s="175"/>
      <c r="P359" s="175"/>
      <c r="Q359" s="175"/>
      <c r="R359" s="175"/>
      <c r="S359" s="175"/>
      <c r="T359" s="175"/>
      <c r="U359" s="175"/>
      <c r="V359" s="175"/>
      <c r="W359" s="175"/>
      <c r="X359" s="175"/>
      <c r="Y359" s="175"/>
      <c r="Z359" s="175"/>
      <c r="AA359" s="175"/>
      <c r="AB359" s="175"/>
      <c r="AC359" s="175"/>
    </row>
    <row r="360" spans="1:29" ht="12.75">
      <c r="A360" s="175"/>
      <c r="B360" s="175"/>
      <c r="C360" s="175"/>
      <c r="D360" s="175"/>
      <c r="E360" s="175"/>
      <c r="F360" s="175"/>
      <c r="G360" s="175"/>
      <c r="H360" s="175"/>
      <c r="I360" s="175"/>
      <c r="J360" s="175"/>
      <c r="K360" s="175"/>
      <c r="L360" s="175"/>
      <c r="M360" s="175"/>
      <c r="N360" s="175"/>
      <c r="O360" s="175"/>
      <c r="P360" s="175"/>
      <c r="Q360" s="175"/>
      <c r="R360" s="175"/>
      <c r="S360" s="175"/>
      <c r="T360" s="175"/>
      <c r="U360" s="175"/>
      <c r="V360" s="175"/>
      <c r="W360" s="175"/>
      <c r="X360" s="175"/>
      <c r="Y360" s="175"/>
      <c r="Z360" s="175"/>
      <c r="AA360" s="175"/>
      <c r="AB360" s="175"/>
      <c r="AC360" s="175"/>
    </row>
    <row r="361" spans="1:29" ht="12.75">
      <c r="A361" s="175"/>
      <c r="B361" s="175"/>
      <c r="C361" s="175"/>
      <c r="D361" s="175"/>
      <c r="E361" s="175"/>
      <c r="F361" s="175"/>
      <c r="G361" s="175"/>
      <c r="H361" s="175"/>
      <c r="I361" s="175"/>
      <c r="J361" s="175"/>
      <c r="K361" s="175"/>
      <c r="L361" s="175"/>
      <c r="M361" s="175"/>
      <c r="N361" s="175"/>
      <c r="O361" s="175"/>
      <c r="P361" s="175"/>
      <c r="Q361" s="175"/>
      <c r="R361" s="175"/>
      <c r="S361" s="175"/>
      <c r="T361" s="175"/>
      <c r="U361" s="175"/>
      <c r="V361" s="175"/>
      <c r="W361" s="175"/>
      <c r="X361" s="175"/>
      <c r="Y361" s="175"/>
      <c r="Z361" s="175"/>
      <c r="AA361" s="175"/>
      <c r="AB361" s="175"/>
      <c r="AC361" s="175"/>
    </row>
    <row r="362" spans="1:29" ht="12.75">
      <c r="A362" s="175"/>
      <c r="B362" s="175"/>
      <c r="C362" s="175"/>
      <c r="D362" s="175"/>
      <c r="E362" s="175"/>
      <c r="F362" s="175"/>
      <c r="G362" s="175"/>
      <c r="H362" s="175"/>
      <c r="I362" s="175"/>
      <c r="J362" s="175"/>
      <c r="K362" s="175"/>
      <c r="L362" s="175"/>
      <c r="M362" s="175"/>
      <c r="N362" s="175"/>
      <c r="O362" s="175"/>
      <c r="P362" s="175"/>
      <c r="Q362" s="175"/>
      <c r="R362" s="175"/>
      <c r="S362" s="175"/>
      <c r="T362" s="175"/>
      <c r="U362" s="175"/>
      <c r="V362" s="175"/>
      <c r="W362" s="175"/>
      <c r="X362" s="175"/>
      <c r="Y362" s="175"/>
      <c r="Z362" s="175"/>
      <c r="AA362" s="175"/>
      <c r="AB362" s="175"/>
      <c r="AC362" s="175"/>
    </row>
    <row r="363" spans="1:29" ht="12.75">
      <c r="A363" s="175"/>
      <c r="B363" s="175"/>
      <c r="C363" s="175"/>
      <c r="D363" s="175"/>
      <c r="E363" s="175"/>
      <c r="F363" s="175"/>
      <c r="G363" s="175"/>
      <c r="H363" s="175"/>
      <c r="I363" s="175"/>
      <c r="J363" s="175"/>
      <c r="K363" s="175"/>
      <c r="L363" s="175"/>
      <c r="M363" s="175"/>
      <c r="N363" s="175"/>
      <c r="O363" s="175"/>
      <c r="P363" s="175"/>
      <c r="Q363" s="175"/>
      <c r="R363" s="175"/>
      <c r="S363" s="175"/>
      <c r="T363" s="175"/>
      <c r="U363" s="175"/>
      <c r="V363" s="175"/>
      <c r="W363" s="175"/>
      <c r="X363" s="175"/>
      <c r="Y363" s="175"/>
      <c r="Z363" s="175"/>
      <c r="AA363" s="175"/>
      <c r="AB363" s="175"/>
      <c r="AC363" s="175"/>
    </row>
    <row r="364" spans="1:29" ht="12.75">
      <c r="A364" s="175"/>
      <c r="B364" s="175"/>
      <c r="C364" s="175"/>
      <c r="D364" s="175"/>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c r="AA364" s="175"/>
      <c r="AB364" s="175"/>
      <c r="AC364" s="175"/>
    </row>
    <row r="365" spans="1:29" ht="12.75">
      <c r="A365" s="175"/>
      <c r="B365" s="175"/>
      <c r="C365" s="175"/>
      <c r="D365" s="175"/>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c r="AA365" s="175"/>
      <c r="AB365" s="175"/>
      <c r="AC365" s="175"/>
    </row>
    <row r="366" spans="1:29" ht="12.75">
      <c r="A366" s="175"/>
      <c r="B366" s="175"/>
      <c r="C366" s="175"/>
      <c r="D366" s="175"/>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c r="AA366" s="175"/>
      <c r="AB366" s="175"/>
      <c r="AC366" s="175"/>
    </row>
    <row r="367" spans="1:29" ht="12.75">
      <c r="A367" s="175"/>
      <c r="B367" s="175"/>
      <c r="C367" s="175"/>
      <c r="D367" s="175"/>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c r="AA367" s="175"/>
      <c r="AB367" s="175"/>
      <c r="AC367" s="175"/>
    </row>
    <row r="368" spans="1:29" ht="12.75">
      <c r="A368" s="175"/>
      <c r="B368" s="175"/>
      <c r="C368" s="175"/>
      <c r="D368" s="175"/>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c r="AA368" s="175"/>
      <c r="AB368" s="175"/>
      <c r="AC368" s="175"/>
    </row>
    <row r="369" spans="1:29" ht="12.75">
      <c r="A369" s="175"/>
      <c r="B369" s="175"/>
      <c r="C369" s="175"/>
      <c r="D369" s="175"/>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c r="AA369" s="175"/>
      <c r="AB369" s="175"/>
      <c r="AC369" s="175"/>
    </row>
    <row r="370" spans="1:29" ht="12.75">
      <c r="A370" s="175"/>
      <c r="B370" s="175"/>
      <c r="C370" s="175"/>
      <c r="D370" s="175"/>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c r="AA370" s="175"/>
      <c r="AB370" s="175"/>
      <c r="AC370" s="175"/>
    </row>
    <row r="371" spans="1:29" ht="12.75">
      <c r="A371" s="175"/>
      <c r="B371" s="175"/>
      <c r="C371" s="175"/>
      <c r="D371" s="175"/>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c r="AA371" s="175"/>
      <c r="AB371" s="175"/>
      <c r="AC371" s="175"/>
    </row>
    <row r="372" spans="1:29" ht="12.75">
      <c r="A372" s="175"/>
      <c r="B372" s="175"/>
      <c r="C372" s="175"/>
      <c r="D372" s="175"/>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c r="AA372" s="175"/>
      <c r="AB372" s="175"/>
      <c r="AC372" s="175"/>
    </row>
    <row r="373" spans="1:29" ht="12.75">
      <c r="A373" s="175"/>
      <c r="B373" s="175"/>
      <c r="C373" s="175"/>
      <c r="D373" s="175"/>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c r="AA373" s="175"/>
      <c r="AB373" s="175"/>
      <c r="AC373" s="175"/>
    </row>
    <row r="374" spans="1:29" ht="12.75">
      <c r="A374" s="175"/>
      <c r="B374" s="175"/>
      <c r="C374" s="175"/>
      <c r="D374" s="175"/>
      <c r="E374" s="175"/>
      <c r="F374" s="175"/>
      <c r="G374" s="175"/>
      <c r="H374" s="175"/>
      <c r="I374" s="175"/>
      <c r="J374" s="175"/>
      <c r="K374" s="175"/>
      <c r="L374" s="175"/>
      <c r="M374" s="175"/>
      <c r="N374" s="175"/>
      <c r="O374" s="175"/>
      <c r="P374" s="175"/>
      <c r="Q374" s="175"/>
      <c r="R374" s="175"/>
      <c r="S374" s="175"/>
      <c r="T374" s="175"/>
      <c r="U374" s="175"/>
      <c r="V374" s="175"/>
      <c r="W374" s="175"/>
      <c r="X374" s="175"/>
      <c r="Y374" s="175"/>
      <c r="Z374" s="175"/>
      <c r="AA374" s="175"/>
      <c r="AB374" s="175"/>
      <c r="AC374" s="175"/>
    </row>
    <row r="375" spans="1:29" ht="12.75">
      <c r="A375" s="175"/>
      <c r="B375" s="175"/>
      <c r="C375" s="175"/>
      <c r="D375" s="175"/>
      <c r="E375" s="175"/>
      <c r="F375" s="175"/>
      <c r="G375" s="175"/>
      <c r="H375" s="175"/>
      <c r="I375" s="175"/>
      <c r="J375" s="175"/>
      <c r="K375" s="175"/>
      <c r="L375" s="175"/>
      <c r="M375" s="175"/>
      <c r="N375" s="175"/>
      <c r="O375" s="175"/>
      <c r="P375" s="175"/>
      <c r="Q375" s="175"/>
      <c r="R375" s="175"/>
      <c r="S375" s="175"/>
      <c r="T375" s="175"/>
      <c r="U375" s="175"/>
      <c r="V375" s="175"/>
      <c r="W375" s="175"/>
      <c r="X375" s="175"/>
      <c r="Y375" s="175"/>
      <c r="Z375" s="175"/>
      <c r="AA375" s="175"/>
      <c r="AB375" s="175"/>
      <c r="AC375" s="175"/>
    </row>
    <row r="376" spans="1:29" ht="12.75">
      <c r="A376" s="175"/>
      <c r="B376" s="175"/>
      <c r="C376" s="175"/>
      <c r="D376" s="175"/>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c r="AA376" s="175"/>
      <c r="AB376" s="175"/>
      <c r="AC376" s="175"/>
    </row>
    <row r="377" spans="1:29" ht="12.75">
      <c r="A377" s="175"/>
      <c r="B377" s="175"/>
      <c r="C377" s="175"/>
      <c r="D377" s="175"/>
      <c r="E377" s="175"/>
      <c r="F377" s="175"/>
      <c r="G377" s="175"/>
      <c r="H377" s="175"/>
      <c r="I377" s="175"/>
      <c r="J377" s="175"/>
      <c r="K377" s="175"/>
      <c r="L377" s="175"/>
      <c r="M377" s="175"/>
      <c r="N377" s="175"/>
      <c r="O377" s="175"/>
      <c r="P377" s="175"/>
      <c r="Q377" s="175"/>
      <c r="R377" s="175"/>
      <c r="S377" s="175"/>
      <c r="T377" s="175"/>
      <c r="U377" s="175"/>
      <c r="V377" s="175"/>
      <c r="W377" s="175"/>
      <c r="X377" s="175"/>
      <c r="Y377" s="175"/>
      <c r="Z377" s="175"/>
      <c r="AA377" s="175"/>
      <c r="AB377" s="175"/>
      <c r="AC377" s="175"/>
    </row>
    <row r="378" spans="1:29" ht="12.75">
      <c r="A378" s="175"/>
      <c r="B378" s="175"/>
      <c r="C378" s="175"/>
      <c r="D378" s="175"/>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c r="AA378" s="175"/>
      <c r="AB378" s="175"/>
      <c r="AC378" s="175"/>
    </row>
    <row r="379" spans="1:29" ht="12.75">
      <c r="A379" s="175"/>
      <c r="B379" s="175"/>
      <c r="C379" s="175"/>
      <c r="D379" s="175"/>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c r="AA379" s="175"/>
      <c r="AB379" s="175"/>
      <c r="AC379" s="175"/>
    </row>
    <row r="380" spans="1:29" ht="12.75">
      <c r="A380" s="175"/>
      <c r="B380" s="175"/>
      <c r="C380" s="175"/>
      <c r="D380" s="175"/>
      <c r="E380" s="175"/>
      <c r="F380" s="175"/>
      <c r="G380" s="175"/>
      <c r="H380" s="175"/>
      <c r="I380" s="175"/>
      <c r="J380" s="175"/>
      <c r="K380" s="175"/>
      <c r="L380" s="175"/>
      <c r="M380" s="175"/>
      <c r="N380" s="175"/>
      <c r="O380" s="175"/>
      <c r="P380" s="175"/>
      <c r="Q380" s="175"/>
      <c r="R380" s="175"/>
      <c r="S380" s="175"/>
      <c r="T380" s="175"/>
      <c r="U380" s="175"/>
      <c r="V380" s="175"/>
      <c r="W380" s="175"/>
      <c r="X380" s="175"/>
      <c r="Y380" s="175"/>
      <c r="Z380" s="175"/>
      <c r="AA380" s="175"/>
      <c r="AB380" s="175"/>
      <c r="AC380" s="175"/>
    </row>
    <row r="381" spans="1:29" ht="12.75">
      <c r="A381" s="175"/>
      <c r="B381" s="175"/>
      <c r="C381" s="175"/>
      <c r="D381" s="175"/>
      <c r="E381" s="175"/>
      <c r="F381" s="175"/>
      <c r="G381" s="175"/>
      <c r="H381" s="175"/>
      <c r="I381" s="175"/>
      <c r="J381" s="175"/>
      <c r="K381" s="175"/>
      <c r="L381" s="175"/>
      <c r="M381" s="175"/>
      <c r="N381" s="175"/>
      <c r="O381" s="175"/>
      <c r="P381" s="175"/>
      <c r="Q381" s="175"/>
      <c r="R381" s="175"/>
      <c r="S381" s="175"/>
      <c r="T381" s="175"/>
      <c r="U381" s="175"/>
      <c r="V381" s="175"/>
      <c r="W381" s="175"/>
      <c r="X381" s="175"/>
      <c r="Y381" s="175"/>
      <c r="Z381" s="175"/>
      <c r="AA381" s="175"/>
      <c r="AB381" s="175"/>
      <c r="AC381" s="175"/>
    </row>
    <row r="382" spans="1:29" ht="12.75">
      <c r="A382" s="175"/>
      <c r="B382" s="175"/>
      <c r="C382" s="175"/>
      <c r="D382" s="175"/>
      <c r="E382" s="175"/>
      <c r="F382" s="175"/>
      <c r="G382" s="175"/>
      <c r="H382" s="175"/>
      <c r="I382" s="175"/>
      <c r="J382" s="175"/>
      <c r="K382" s="175"/>
      <c r="L382" s="175"/>
      <c r="M382" s="175"/>
      <c r="N382" s="175"/>
      <c r="O382" s="175"/>
      <c r="P382" s="175"/>
      <c r="Q382" s="175"/>
      <c r="R382" s="175"/>
      <c r="S382" s="175"/>
      <c r="T382" s="175"/>
      <c r="U382" s="175"/>
      <c r="V382" s="175"/>
      <c r="W382" s="175"/>
      <c r="X382" s="175"/>
      <c r="Y382" s="175"/>
      <c r="Z382" s="175"/>
      <c r="AA382" s="175"/>
      <c r="AB382" s="175"/>
      <c r="AC382" s="175"/>
    </row>
    <row r="383" spans="1:29" ht="12.75">
      <c r="A383" s="175"/>
      <c r="B383" s="175"/>
      <c r="C383" s="175"/>
      <c r="D383" s="175"/>
      <c r="E383" s="175"/>
      <c r="F383" s="175"/>
      <c r="G383" s="175"/>
      <c r="H383" s="175"/>
      <c r="I383" s="175"/>
      <c r="J383" s="175"/>
      <c r="K383" s="175"/>
      <c r="L383" s="175"/>
      <c r="M383" s="175"/>
      <c r="N383" s="175"/>
      <c r="O383" s="175"/>
      <c r="P383" s="175"/>
      <c r="Q383" s="175"/>
      <c r="R383" s="175"/>
      <c r="S383" s="175"/>
      <c r="T383" s="175"/>
      <c r="U383" s="175"/>
      <c r="V383" s="175"/>
      <c r="W383" s="175"/>
      <c r="X383" s="175"/>
      <c r="Y383" s="175"/>
      <c r="Z383" s="175"/>
      <c r="AA383" s="175"/>
      <c r="AB383" s="175"/>
      <c r="AC383" s="175"/>
    </row>
    <row r="384" spans="1:29" ht="12.75">
      <c r="A384" s="175"/>
      <c r="B384" s="175"/>
      <c r="C384" s="175"/>
      <c r="D384" s="175"/>
      <c r="E384" s="175"/>
      <c r="F384" s="175"/>
      <c r="G384" s="175"/>
      <c r="H384" s="175"/>
      <c r="I384" s="175"/>
      <c r="J384" s="175"/>
      <c r="K384" s="175"/>
      <c r="L384" s="175"/>
      <c r="M384" s="175"/>
      <c r="N384" s="175"/>
      <c r="O384" s="175"/>
      <c r="P384" s="175"/>
      <c r="Q384" s="175"/>
      <c r="R384" s="175"/>
      <c r="S384" s="175"/>
      <c r="T384" s="175"/>
      <c r="U384" s="175"/>
      <c r="V384" s="175"/>
      <c r="W384" s="175"/>
      <c r="X384" s="175"/>
      <c r="Y384" s="175"/>
      <c r="Z384" s="175"/>
      <c r="AA384" s="175"/>
      <c r="AB384" s="175"/>
      <c r="AC384" s="175"/>
    </row>
    <row r="385" spans="1:29" ht="12.75">
      <c r="A385" s="175"/>
      <c r="B385" s="175"/>
      <c r="C385" s="175"/>
      <c r="D385" s="175"/>
      <c r="E385" s="175"/>
      <c r="F385" s="175"/>
      <c r="G385" s="175"/>
      <c r="H385" s="175"/>
      <c r="I385" s="175"/>
      <c r="J385" s="175"/>
      <c r="K385" s="175"/>
      <c r="L385" s="175"/>
      <c r="M385" s="175"/>
      <c r="N385" s="175"/>
      <c r="O385" s="175"/>
      <c r="P385" s="175"/>
      <c r="Q385" s="175"/>
      <c r="R385" s="175"/>
      <c r="S385" s="175"/>
      <c r="T385" s="175"/>
      <c r="U385" s="175"/>
      <c r="V385" s="175"/>
      <c r="W385" s="175"/>
      <c r="X385" s="175"/>
      <c r="Y385" s="175"/>
      <c r="Z385" s="175"/>
      <c r="AA385" s="175"/>
      <c r="AB385" s="175"/>
      <c r="AC385" s="175"/>
    </row>
    <row r="386" spans="1:29" ht="12.75">
      <c r="A386" s="175"/>
      <c r="B386" s="175"/>
      <c r="C386" s="175"/>
      <c r="D386" s="175"/>
      <c r="E386" s="175"/>
      <c r="F386" s="175"/>
      <c r="G386" s="175"/>
      <c r="H386" s="175"/>
      <c r="I386" s="175"/>
      <c r="J386" s="175"/>
      <c r="K386" s="175"/>
      <c r="L386" s="175"/>
      <c r="M386" s="175"/>
      <c r="N386" s="175"/>
      <c r="O386" s="175"/>
      <c r="P386" s="175"/>
      <c r="Q386" s="175"/>
      <c r="R386" s="175"/>
      <c r="S386" s="175"/>
      <c r="T386" s="175"/>
      <c r="U386" s="175"/>
      <c r="V386" s="175"/>
      <c r="W386" s="175"/>
      <c r="X386" s="175"/>
      <c r="Y386" s="175"/>
      <c r="Z386" s="175"/>
      <c r="AA386" s="175"/>
      <c r="AB386" s="175"/>
      <c r="AC386" s="175"/>
    </row>
    <row r="387" spans="1:29" ht="12.75">
      <c r="A387" s="175"/>
      <c r="B387" s="175"/>
      <c r="C387" s="175"/>
      <c r="D387" s="175"/>
      <c r="E387" s="175"/>
      <c r="F387" s="175"/>
      <c r="G387" s="175"/>
      <c r="H387" s="175"/>
      <c r="I387" s="175"/>
      <c r="J387" s="175"/>
      <c r="K387" s="175"/>
      <c r="L387" s="175"/>
      <c r="M387" s="175"/>
      <c r="N387" s="175"/>
      <c r="O387" s="175"/>
      <c r="P387" s="175"/>
      <c r="Q387" s="175"/>
      <c r="R387" s="175"/>
      <c r="S387" s="175"/>
      <c r="T387" s="175"/>
      <c r="U387" s="175"/>
      <c r="V387" s="175"/>
      <c r="W387" s="175"/>
      <c r="X387" s="175"/>
      <c r="Y387" s="175"/>
      <c r="Z387" s="175"/>
      <c r="AA387" s="175"/>
      <c r="AB387" s="175"/>
      <c r="AC387" s="175"/>
    </row>
    <row r="388" spans="1:29" ht="12.75">
      <c r="A388" s="175"/>
      <c r="B388" s="175"/>
      <c r="C388" s="175"/>
      <c r="D388" s="175"/>
      <c r="E388" s="175"/>
      <c r="F388" s="175"/>
      <c r="G388" s="175"/>
      <c r="H388" s="175"/>
      <c r="I388" s="175"/>
      <c r="J388" s="175"/>
      <c r="K388" s="175"/>
      <c r="L388" s="175"/>
      <c r="M388" s="175"/>
      <c r="N388" s="175"/>
      <c r="O388" s="175"/>
      <c r="P388" s="175"/>
      <c r="Q388" s="175"/>
      <c r="R388" s="175"/>
      <c r="S388" s="175"/>
      <c r="T388" s="175"/>
      <c r="U388" s="175"/>
      <c r="V388" s="175"/>
      <c r="W388" s="175"/>
      <c r="X388" s="175"/>
      <c r="Y388" s="175"/>
      <c r="Z388" s="175"/>
      <c r="AA388" s="175"/>
      <c r="AB388" s="175"/>
      <c r="AC388" s="175"/>
    </row>
    <row r="389" spans="1:29" ht="12.75">
      <c r="A389" s="175"/>
      <c r="B389" s="175"/>
      <c r="C389" s="175"/>
      <c r="D389" s="175"/>
      <c r="E389" s="175"/>
      <c r="F389" s="175"/>
      <c r="G389" s="175"/>
      <c r="H389" s="175"/>
      <c r="I389" s="175"/>
      <c r="J389" s="175"/>
      <c r="K389" s="175"/>
      <c r="L389" s="175"/>
      <c r="M389" s="175"/>
      <c r="N389" s="175"/>
      <c r="O389" s="175"/>
      <c r="P389" s="175"/>
      <c r="Q389" s="175"/>
      <c r="R389" s="175"/>
      <c r="S389" s="175"/>
      <c r="T389" s="175"/>
      <c r="U389" s="175"/>
      <c r="V389" s="175"/>
      <c r="W389" s="175"/>
      <c r="X389" s="175"/>
      <c r="Y389" s="175"/>
      <c r="Z389" s="175"/>
      <c r="AA389" s="175"/>
      <c r="AB389" s="175"/>
      <c r="AC389" s="175"/>
    </row>
    <row r="390" spans="1:29" ht="12.75">
      <c r="A390" s="175"/>
      <c r="B390" s="175"/>
      <c r="C390" s="175"/>
      <c r="D390" s="175"/>
      <c r="E390" s="175"/>
      <c r="F390" s="175"/>
      <c r="G390" s="175"/>
      <c r="H390" s="175"/>
      <c r="I390" s="175"/>
      <c r="J390" s="175"/>
      <c r="K390" s="175"/>
      <c r="L390" s="175"/>
      <c r="M390" s="175"/>
      <c r="N390" s="175"/>
      <c r="O390" s="175"/>
      <c r="P390" s="175"/>
      <c r="Q390" s="175"/>
      <c r="R390" s="175"/>
      <c r="S390" s="175"/>
      <c r="T390" s="175"/>
      <c r="U390" s="175"/>
      <c r="V390" s="175"/>
      <c r="W390" s="175"/>
      <c r="X390" s="175"/>
      <c r="Y390" s="175"/>
      <c r="Z390" s="175"/>
      <c r="AA390" s="175"/>
      <c r="AB390" s="175"/>
      <c r="AC390" s="175"/>
    </row>
    <row r="391" spans="1:29" ht="12.75">
      <c r="A391" s="175"/>
      <c r="B391" s="175"/>
      <c r="C391" s="175"/>
      <c r="D391" s="175"/>
      <c r="E391" s="175"/>
      <c r="F391" s="175"/>
      <c r="G391" s="175"/>
      <c r="H391" s="175"/>
      <c r="I391" s="175"/>
      <c r="J391" s="175"/>
      <c r="K391" s="175"/>
      <c r="L391" s="175"/>
      <c r="M391" s="175"/>
      <c r="N391" s="175"/>
      <c r="O391" s="175"/>
      <c r="P391" s="175"/>
      <c r="Q391" s="175"/>
      <c r="R391" s="175"/>
      <c r="S391" s="175"/>
      <c r="T391" s="175"/>
      <c r="U391" s="175"/>
      <c r="V391" s="175"/>
      <c r="W391" s="175"/>
      <c r="X391" s="175"/>
      <c r="Y391" s="175"/>
      <c r="Z391" s="175"/>
      <c r="AA391" s="175"/>
      <c r="AB391" s="175"/>
      <c r="AC391" s="175"/>
    </row>
    <row r="392" spans="1:29" ht="12.75">
      <c r="A392" s="175"/>
      <c r="B392" s="175"/>
      <c r="C392" s="175"/>
      <c r="D392" s="175"/>
      <c r="E392" s="175"/>
      <c r="F392" s="175"/>
      <c r="G392" s="175"/>
      <c r="H392" s="175"/>
      <c r="I392" s="175"/>
      <c r="J392" s="175"/>
      <c r="K392" s="175"/>
      <c r="L392" s="175"/>
      <c r="M392" s="175"/>
      <c r="N392" s="175"/>
      <c r="O392" s="175"/>
      <c r="P392" s="175"/>
      <c r="Q392" s="175"/>
      <c r="R392" s="175"/>
      <c r="S392" s="175"/>
      <c r="T392" s="175"/>
      <c r="U392" s="175"/>
      <c r="V392" s="175"/>
      <c r="W392" s="175"/>
      <c r="X392" s="175"/>
      <c r="Y392" s="175"/>
      <c r="Z392" s="175"/>
      <c r="AA392" s="175"/>
      <c r="AB392" s="175"/>
      <c r="AC392" s="175"/>
    </row>
    <row r="393" spans="1:29" ht="12.75">
      <c r="A393" s="175"/>
      <c r="B393" s="175"/>
      <c r="C393" s="175"/>
      <c r="D393" s="175"/>
      <c r="E393" s="175"/>
      <c r="F393" s="175"/>
      <c r="G393" s="175"/>
      <c r="H393" s="175"/>
      <c r="I393" s="175"/>
      <c r="J393" s="175"/>
      <c r="K393" s="175"/>
      <c r="L393" s="175"/>
      <c r="M393" s="175"/>
      <c r="N393" s="175"/>
      <c r="O393" s="175"/>
      <c r="P393" s="175"/>
      <c r="Q393" s="175"/>
      <c r="R393" s="175"/>
      <c r="S393" s="175"/>
      <c r="T393" s="175"/>
      <c r="U393" s="175"/>
      <c r="V393" s="175"/>
      <c r="W393" s="175"/>
      <c r="X393" s="175"/>
      <c r="Y393" s="175"/>
      <c r="Z393" s="175"/>
      <c r="AA393" s="175"/>
      <c r="AB393" s="175"/>
      <c r="AC393" s="175"/>
    </row>
    <row r="394" spans="1:29" ht="12.75">
      <c r="A394" s="175"/>
      <c r="B394" s="175"/>
      <c r="C394" s="175"/>
      <c r="D394" s="175"/>
      <c r="E394" s="175"/>
      <c r="F394" s="175"/>
      <c r="G394" s="175"/>
      <c r="H394" s="175"/>
      <c r="I394" s="175"/>
      <c r="J394" s="175"/>
      <c r="K394" s="175"/>
      <c r="L394" s="175"/>
      <c r="M394" s="175"/>
      <c r="N394" s="175"/>
      <c r="O394" s="175"/>
      <c r="P394" s="175"/>
      <c r="Q394" s="175"/>
      <c r="R394" s="175"/>
      <c r="S394" s="175"/>
      <c r="T394" s="175"/>
      <c r="U394" s="175"/>
      <c r="V394" s="175"/>
      <c r="W394" s="175"/>
      <c r="X394" s="175"/>
      <c r="Y394" s="175"/>
      <c r="Z394" s="175"/>
      <c r="AA394" s="175"/>
      <c r="AB394" s="175"/>
      <c r="AC394" s="175"/>
    </row>
    <row r="395" spans="1:29" ht="12.75">
      <c r="A395" s="175"/>
      <c r="B395" s="175"/>
      <c r="C395" s="175"/>
      <c r="D395" s="175"/>
      <c r="E395" s="175"/>
      <c r="F395" s="175"/>
      <c r="G395" s="175"/>
      <c r="H395" s="175"/>
      <c r="I395" s="175"/>
      <c r="J395" s="175"/>
      <c r="K395" s="175"/>
      <c r="L395" s="175"/>
      <c r="M395" s="175"/>
      <c r="N395" s="175"/>
      <c r="O395" s="175"/>
      <c r="P395" s="175"/>
      <c r="Q395" s="175"/>
      <c r="R395" s="175"/>
      <c r="S395" s="175"/>
      <c r="T395" s="175"/>
      <c r="U395" s="175"/>
      <c r="V395" s="175"/>
      <c r="W395" s="175"/>
      <c r="X395" s="175"/>
      <c r="Y395" s="175"/>
      <c r="Z395" s="175"/>
      <c r="AA395" s="175"/>
      <c r="AB395" s="175"/>
      <c r="AC395" s="175"/>
    </row>
    <row r="396" spans="1:29" ht="12.75">
      <c r="A396" s="175"/>
      <c r="B396" s="175"/>
      <c r="C396" s="175"/>
      <c r="D396" s="175"/>
      <c r="E396" s="175"/>
      <c r="F396" s="175"/>
      <c r="G396" s="175"/>
      <c r="H396" s="175"/>
      <c r="I396" s="175"/>
      <c r="J396" s="175"/>
      <c r="K396" s="175"/>
      <c r="L396" s="175"/>
      <c r="M396" s="175"/>
      <c r="N396" s="175"/>
      <c r="O396" s="175"/>
      <c r="P396" s="175"/>
      <c r="Q396" s="175"/>
      <c r="R396" s="175"/>
      <c r="S396" s="175"/>
      <c r="T396" s="175"/>
      <c r="U396" s="175"/>
      <c r="V396" s="175"/>
      <c r="W396" s="175"/>
      <c r="X396" s="175"/>
      <c r="Y396" s="175"/>
      <c r="Z396" s="175"/>
      <c r="AA396" s="175"/>
      <c r="AB396" s="175"/>
      <c r="AC396" s="175"/>
    </row>
    <row r="397" spans="1:29" ht="12.75">
      <c r="A397" s="175"/>
      <c r="B397" s="175"/>
      <c r="C397" s="175"/>
      <c r="D397" s="175"/>
      <c r="E397" s="175"/>
      <c r="F397" s="175"/>
      <c r="G397" s="175"/>
      <c r="H397" s="175"/>
      <c r="I397" s="175"/>
      <c r="J397" s="175"/>
      <c r="K397" s="175"/>
      <c r="L397" s="175"/>
      <c r="M397" s="175"/>
      <c r="N397" s="175"/>
      <c r="O397" s="175"/>
      <c r="P397" s="175"/>
      <c r="Q397" s="175"/>
      <c r="R397" s="175"/>
      <c r="S397" s="175"/>
      <c r="T397" s="175"/>
      <c r="U397" s="175"/>
      <c r="V397" s="175"/>
      <c r="W397" s="175"/>
      <c r="X397" s="175"/>
      <c r="Y397" s="175"/>
      <c r="Z397" s="175"/>
      <c r="AA397" s="175"/>
      <c r="AB397" s="175"/>
      <c r="AC397" s="175"/>
    </row>
    <row r="398" spans="1:29" ht="12.75">
      <c r="A398" s="175"/>
      <c r="B398" s="175"/>
      <c r="C398" s="175"/>
      <c r="D398" s="175"/>
      <c r="E398" s="175"/>
      <c r="F398" s="175"/>
      <c r="G398" s="175"/>
      <c r="H398" s="175"/>
      <c r="I398" s="175"/>
      <c r="J398" s="175"/>
      <c r="K398" s="175"/>
      <c r="L398" s="175"/>
      <c r="M398" s="175"/>
      <c r="N398" s="175"/>
      <c r="O398" s="175"/>
      <c r="P398" s="175"/>
      <c r="Q398" s="175"/>
      <c r="R398" s="175"/>
      <c r="S398" s="175"/>
      <c r="T398" s="175"/>
      <c r="U398" s="175"/>
      <c r="V398" s="175"/>
      <c r="W398" s="175"/>
      <c r="X398" s="175"/>
      <c r="Y398" s="175"/>
      <c r="Z398" s="175"/>
      <c r="AA398" s="175"/>
      <c r="AB398" s="175"/>
      <c r="AC398" s="175"/>
    </row>
    <row r="399" spans="1:29" ht="12.75">
      <c r="A399" s="175"/>
      <c r="B399" s="175"/>
      <c r="C399" s="175"/>
      <c r="D399" s="175"/>
      <c r="E399" s="175"/>
      <c r="F399" s="175"/>
      <c r="G399" s="175"/>
      <c r="H399" s="175"/>
      <c r="I399" s="175"/>
      <c r="J399" s="175"/>
      <c r="K399" s="175"/>
      <c r="L399" s="175"/>
      <c r="M399" s="175"/>
      <c r="N399" s="175"/>
      <c r="O399" s="175"/>
      <c r="P399" s="175"/>
      <c r="Q399" s="175"/>
      <c r="R399" s="175"/>
      <c r="S399" s="175"/>
      <c r="T399" s="175"/>
      <c r="U399" s="175"/>
      <c r="V399" s="175"/>
      <c r="W399" s="175"/>
      <c r="X399" s="175"/>
      <c r="Y399" s="175"/>
      <c r="Z399" s="175"/>
      <c r="AA399" s="175"/>
      <c r="AB399" s="175"/>
      <c r="AC399" s="175"/>
    </row>
    <row r="400" spans="1:29" ht="12.75">
      <c r="A400" s="175"/>
      <c r="B400" s="175"/>
      <c r="C400" s="175"/>
      <c r="D400" s="175"/>
      <c r="E400" s="175"/>
      <c r="F400" s="175"/>
      <c r="G400" s="175"/>
      <c r="H400" s="175"/>
      <c r="I400" s="175"/>
      <c r="J400" s="175"/>
      <c r="K400" s="175"/>
      <c r="L400" s="175"/>
      <c r="M400" s="175"/>
      <c r="N400" s="175"/>
      <c r="O400" s="175"/>
      <c r="P400" s="175"/>
      <c r="Q400" s="175"/>
      <c r="R400" s="175"/>
      <c r="S400" s="175"/>
      <c r="T400" s="175"/>
      <c r="U400" s="175"/>
      <c r="V400" s="175"/>
      <c r="W400" s="175"/>
      <c r="X400" s="175"/>
      <c r="Y400" s="175"/>
      <c r="Z400" s="175"/>
      <c r="AA400" s="175"/>
      <c r="AB400" s="175"/>
      <c r="AC400" s="175"/>
    </row>
    <row r="401" spans="1:29" ht="12.75">
      <c r="A401" s="175"/>
      <c r="B401" s="175"/>
      <c r="C401" s="175"/>
      <c r="D401" s="175"/>
      <c r="E401" s="175"/>
      <c r="F401" s="175"/>
      <c r="G401" s="175"/>
      <c r="H401" s="175"/>
      <c r="I401" s="175"/>
      <c r="J401" s="175"/>
      <c r="K401" s="175"/>
      <c r="L401" s="175"/>
      <c r="M401" s="175"/>
      <c r="N401" s="175"/>
      <c r="O401" s="175"/>
      <c r="P401" s="175"/>
      <c r="Q401" s="175"/>
      <c r="R401" s="175"/>
      <c r="S401" s="175"/>
      <c r="T401" s="175"/>
      <c r="U401" s="175"/>
      <c r="V401" s="175"/>
      <c r="W401" s="175"/>
      <c r="X401" s="175"/>
      <c r="Y401" s="175"/>
      <c r="Z401" s="175"/>
      <c r="AA401" s="175"/>
      <c r="AB401" s="175"/>
      <c r="AC401" s="175"/>
    </row>
    <row r="402" spans="1:29" ht="12.75">
      <c r="A402" s="175"/>
      <c r="B402" s="175"/>
      <c r="C402" s="175"/>
      <c r="D402" s="175"/>
      <c r="E402" s="175"/>
      <c r="F402" s="175"/>
      <c r="G402" s="175"/>
      <c r="H402" s="175"/>
      <c r="I402" s="175"/>
      <c r="J402" s="175"/>
      <c r="K402" s="175"/>
      <c r="L402" s="175"/>
      <c r="M402" s="175"/>
      <c r="N402" s="175"/>
      <c r="O402" s="175"/>
      <c r="P402" s="175"/>
      <c r="Q402" s="175"/>
      <c r="R402" s="175"/>
      <c r="S402" s="175"/>
      <c r="T402" s="175"/>
      <c r="U402" s="175"/>
      <c r="V402" s="175"/>
      <c r="W402" s="175"/>
      <c r="X402" s="175"/>
      <c r="Y402" s="175"/>
      <c r="Z402" s="175"/>
      <c r="AA402" s="175"/>
      <c r="AB402" s="175"/>
      <c r="AC402" s="175"/>
    </row>
    <row r="403" spans="1:29" ht="12.75">
      <c r="A403" s="175"/>
      <c r="B403" s="175"/>
      <c r="C403" s="175"/>
      <c r="D403" s="175"/>
      <c r="E403" s="175"/>
      <c r="F403" s="175"/>
      <c r="G403" s="175"/>
      <c r="H403" s="175"/>
      <c r="I403" s="175"/>
      <c r="J403" s="175"/>
      <c r="K403" s="175"/>
      <c r="L403" s="175"/>
      <c r="M403" s="175"/>
      <c r="N403" s="175"/>
      <c r="O403" s="175"/>
      <c r="P403" s="175"/>
      <c r="Q403" s="175"/>
      <c r="R403" s="175"/>
      <c r="S403" s="175"/>
      <c r="T403" s="175"/>
      <c r="U403" s="175"/>
      <c r="V403" s="175"/>
      <c r="W403" s="175"/>
      <c r="X403" s="175"/>
      <c r="Y403" s="175"/>
      <c r="Z403" s="175"/>
      <c r="AA403" s="175"/>
      <c r="AB403" s="175"/>
      <c r="AC403" s="175"/>
    </row>
    <row r="404" spans="1:29" ht="12.75">
      <c r="A404" s="175"/>
      <c r="B404" s="175"/>
      <c r="C404" s="175"/>
      <c r="D404" s="175"/>
      <c r="E404" s="175"/>
      <c r="F404" s="175"/>
      <c r="G404" s="175"/>
      <c r="H404" s="175"/>
      <c r="I404" s="175"/>
      <c r="J404" s="175"/>
      <c r="K404" s="175"/>
      <c r="L404" s="175"/>
      <c r="M404" s="175"/>
      <c r="N404" s="175"/>
      <c r="O404" s="175"/>
      <c r="P404" s="175"/>
      <c r="Q404" s="175"/>
      <c r="R404" s="175"/>
      <c r="S404" s="175"/>
      <c r="T404" s="175"/>
      <c r="U404" s="175"/>
      <c r="V404" s="175"/>
      <c r="W404" s="175"/>
      <c r="X404" s="175"/>
      <c r="Y404" s="175"/>
      <c r="Z404" s="175"/>
      <c r="AA404" s="175"/>
      <c r="AB404" s="175"/>
      <c r="AC404" s="175"/>
    </row>
    <row r="405" spans="1:29" ht="12.75">
      <c r="A405" s="175"/>
      <c r="B405" s="175"/>
      <c r="C405" s="175"/>
      <c r="D405" s="175"/>
      <c r="E405" s="175"/>
      <c r="F405" s="175"/>
      <c r="G405" s="175"/>
      <c r="H405" s="175"/>
      <c r="I405" s="175"/>
      <c r="J405" s="175"/>
      <c r="K405" s="175"/>
      <c r="L405" s="175"/>
      <c r="M405" s="175"/>
      <c r="N405" s="175"/>
      <c r="O405" s="175"/>
      <c r="P405" s="175"/>
      <c r="Q405" s="175"/>
      <c r="R405" s="175"/>
      <c r="S405" s="175"/>
      <c r="T405" s="175"/>
      <c r="U405" s="175"/>
      <c r="V405" s="175"/>
      <c r="W405" s="175"/>
      <c r="X405" s="175"/>
      <c r="Y405" s="175"/>
      <c r="Z405" s="175"/>
      <c r="AA405" s="175"/>
      <c r="AB405" s="175"/>
      <c r="AC405" s="175"/>
    </row>
    <row r="406" spans="1:29" ht="12.75">
      <c r="A406" s="175"/>
      <c r="B406" s="175"/>
      <c r="C406" s="175"/>
      <c r="D406" s="175"/>
      <c r="E406" s="175"/>
      <c r="F406" s="175"/>
      <c r="G406" s="175"/>
      <c r="H406" s="175"/>
      <c r="I406" s="175"/>
      <c r="J406" s="175"/>
      <c r="K406" s="175"/>
      <c r="L406" s="175"/>
      <c r="M406" s="175"/>
      <c r="N406" s="175"/>
      <c r="O406" s="175"/>
      <c r="P406" s="175"/>
      <c r="Q406" s="175"/>
      <c r="R406" s="175"/>
      <c r="S406" s="175"/>
      <c r="T406" s="175"/>
      <c r="U406" s="175"/>
      <c r="V406" s="175"/>
      <c r="W406" s="175"/>
      <c r="X406" s="175"/>
      <c r="Y406" s="175"/>
      <c r="Z406" s="175"/>
      <c r="AA406" s="175"/>
      <c r="AB406" s="175"/>
      <c r="AC406" s="175"/>
    </row>
    <row r="407" spans="1:29" ht="12.75">
      <c r="A407" s="175"/>
      <c r="B407" s="175"/>
      <c r="C407" s="175"/>
      <c r="D407" s="175"/>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c r="AA407" s="175"/>
      <c r="AB407" s="175"/>
      <c r="AC407" s="175"/>
    </row>
    <row r="408" spans="1:29" ht="12.75">
      <c r="A408" s="175"/>
      <c r="B408" s="175"/>
      <c r="C408" s="175"/>
      <c r="D408" s="175"/>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c r="AA408" s="175"/>
      <c r="AB408" s="175"/>
      <c r="AC408" s="175"/>
    </row>
    <row r="409" spans="1:29" ht="12.75">
      <c r="A409" s="175"/>
      <c r="B409" s="175"/>
      <c r="C409" s="175"/>
      <c r="D409" s="175"/>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c r="AA409" s="175"/>
      <c r="AB409" s="175"/>
      <c r="AC409" s="175"/>
    </row>
    <row r="410" spans="1:29" ht="12.75">
      <c r="A410" s="175"/>
      <c r="B410" s="175"/>
      <c r="C410" s="175"/>
      <c r="D410" s="175"/>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c r="AA410" s="175"/>
      <c r="AB410" s="175"/>
      <c r="AC410" s="175"/>
    </row>
    <row r="411" spans="1:29" ht="12.75">
      <c r="A411" s="175"/>
      <c r="B411" s="175"/>
      <c r="C411" s="175"/>
      <c r="D411" s="175"/>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c r="AA411" s="175"/>
      <c r="AB411" s="175"/>
      <c r="AC411" s="175"/>
    </row>
    <row r="412" spans="1:29" ht="12.75">
      <c r="A412" s="175"/>
      <c r="B412" s="175"/>
      <c r="C412" s="175"/>
      <c r="D412" s="175"/>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c r="AA412" s="175"/>
      <c r="AB412" s="175"/>
      <c r="AC412" s="175"/>
    </row>
    <row r="413" spans="1:29" ht="12.75">
      <c r="A413" s="175"/>
      <c r="B413" s="175"/>
      <c r="C413" s="175"/>
      <c r="D413" s="175"/>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c r="AA413" s="175"/>
      <c r="AB413" s="175"/>
      <c r="AC413" s="175"/>
    </row>
    <row r="414" spans="1:29" ht="12.75">
      <c r="A414" s="175"/>
      <c r="B414" s="175"/>
      <c r="C414" s="175"/>
      <c r="D414" s="175"/>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c r="AA414" s="175"/>
      <c r="AB414" s="175"/>
      <c r="AC414" s="175"/>
    </row>
    <row r="415" spans="1:29" ht="12.75">
      <c r="A415" s="175"/>
      <c r="B415" s="175"/>
      <c r="C415" s="175"/>
      <c r="D415" s="175"/>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c r="AA415" s="175"/>
      <c r="AB415" s="175"/>
      <c r="AC415" s="175"/>
    </row>
    <row r="416" spans="1:29" ht="12.75">
      <c r="A416" s="175"/>
      <c r="B416" s="175"/>
      <c r="C416" s="175"/>
      <c r="D416" s="175"/>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c r="AA416" s="175"/>
      <c r="AB416" s="175"/>
      <c r="AC416" s="175"/>
    </row>
    <row r="417" spans="1:29" ht="12.75">
      <c r="A417" s="175"/>
      <c r="B417" s="175"/>
      <c r="C417" s="175"/>
      <c r="D417" s="175"/>
      <c r="E417" s="175"/>
      <c r="F417" s="175"/>
      <c r="G417" s="175"/>
      <c r="H417" s="175"/>
      <c r="I417" s="175"/>
      <c r="J417" s="175"/>
      <c r="K417" s="175"/>
      <c r="L417" s="175"/>
      <c r="M417" s="175"/>
      <c r="N417" s="175"/>
      <c r="O417" s="175"/>
      <c r="P417" s="175"/>
      <c r="Q417" s="175"/>
      <c r="R417" s="175"/>
      <c r="S417" s="175"/>
      <c r="T417" s="175"/>
      <c r="U417" s="175"/>
      <c r="V417" s="175"/>
      <c r="W417" s="175"/>
      <c r="X417" s="175"/>
      <c r="Y417" s="175"/>
      <c r="Z417" s="175"/>
      <c r="AA417" s="175"/>
      <c r="AB417" s="175"/>
      <c r="AC417" s="175"/>
    </row>
    <row r="418" spans="1:29" ht="12.75">
      <c r="A418" s="175"/>
      <c r="B418" s="175"/>
      <c r="C418" s="175"/>
      <c r="D418" s="175"/>
      <c r="E418" s="175"/>
      <c r="F418" s="175"/>
      <c r="G418" s="175"/>
      <c r="H418" s="175"/>
      <c r="I418" s="175"/>
      <c r="J418" s="175"/>
      <c r="K418" s="175"/>
      <c r="L418" s="175"/>
      <c r="M418" s="175"/>
      <c r="N418" s="175"/>
      <c r="O418" s="175"/>
      <c r="P418" s="175"/>
      <c r="Q418" s="175"/>
      <c r="R418" s="175"/>
      <c r="S418" s="175"/>
      <c r="T418" s="175"/>
      <c r="U418" s="175"/>
      <c r="V418" s="175"/>
      <c r="W418" s="175"/>
      <c r="X418" s="175"/>
      <c r="Y418" s="175"/>
      <c r="Z418" s="175"/>
      <c r="AA418" s="175"/>
      <c r="AB418" s="175"/>
      <c r="AC418" s="175"/>
    </row>
    <row r="419" spans="1:29" ht="12.75">
      <c r="A419" s="175"/>
      <c r="B419" s="175"/>
      <c r="C419" s="175"/>
      <c r="D419" s="175"/>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c r="AA419" s="175"/>
      <c r="AB419" s="175"/>
      <c r="AC419" s="175"/>
    </row>
    <row r="420" spans="1:29" ht="12.75">
      <c r="A420" s="175"/>
      <c r="B420" s="175"/>
      <c r="C420" s="175"/>
      <c r="D420" s="175"/>
      <c r="E420" s="175"/>
      <c r="F420" s="175"/>
      <c r="G420" s="175"/>
      <c r="H420" s="175"/>
      <c r="I420" s="175"/>
      <c r="J420" s="175"/>
      <c r="K420" s="175"/>
      <c r="L420" s="175"/>
      <c r="M420" s="175"/>
      <c r="N420" s="175"/>
      <c r="O420" s="175"/>
      <c r="P420" s="175"/>
      <c r="Q420" s="175"/>
      <c r="R420" s="175"/>
      <c r="S420" s="175"/>
      <c r="T420" s="175"/>
      <c r="U420" s="175"/>
      <c r="V420" s="175"/>
      <c r="W420" s="175"/>
      <c r="X420" s="175"/>
      <c r="Y420" s="175"/>
      <c r="Z420" s="175"/>
      <c r="AA420" s="175"/>
      <c r="AB420" s="175"/>
      <c r="AC420" s="175"/>
    </row>
    <row r="421" spans="1:29" ht="12.75">
      <c r="A421" s="175"/>
      <c r="B421" s="175"/>
      <c r="C421" s="175"/>
      <c r="D421" s="175"/>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c r="AA421" s="175"/>
      <c r="AB421" s="175"/>
      <c r="AC421" s="175"/>
    </row>
    <row r="422" spans="1:29" ht="12.75">
      <c r="A422" s="175"/>
      <c r="B422" s="175"/>
      <c r="C422" s="175"/>
      <c r="D422" s="175"/>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c r="AA422" s="175"/>
      <c r="AB422" s="175"/>
      <c r="AC422" s="175"/>
    </row>
    <row r="423" spans="1:29" ht="12.75">
      <c r="A423" s="175"/>
      <c r="B423" s="175"/>
      <c r="C423" s="175"/>
      <c r="D423" s="175"/>
      <c r="E423" s="175"/>
      <c r="F423" s="175"/>
      <c r="G423" s="175"/>
      <c r="H423" s="175"/>
      <c r="I423" s="175"/>
      <c r="J423" s="175"/>
      <c r="K423" s="175"/>
      <c r="L423" s="175"/>
      <c r="M423" s="175"/>
      <c r="N423" s="175"/>
      <c r="O423" s="175"/>
      <c r="P423" s="175"/>
      <c r="Q423" s="175"/>
      <c r="R423" s="175"/>
      <c r="S423" s="175"/>
      <c r="T423" s="175"/>
      <c r="U423" s="175"/>
      <c r="V423" s="175"/>
      <c r="W423" s="175"/>
      <c r="X423" s="175"/>
      <c r="Y423" s="175"/>
      <c r="Z423" s="175"/>
      <c r="AA423" s="175"/>
      <c r="AB423" s="175"/>
      <c r="AC423" s="175"/>
    </row>
    <row r="424" spans="1:29" ht="12.75">
      <c r="A424" s="175"/>
      <c r="B424" s="175"/>
      <c r="C424" s="175"/>
      <c r="D424" s="175"/>
      <c r="E424" s="175"/>
      <c r="F424" s="175"/>
      <c r="G424" s="175"/>
      <c r="H424" s="175"/>
      <c r="I424" s="175"/>
      <c r="J424" s="175"/>
      <c r="K424" s="175"/>
      <c r="L424" s="175"/>
      <c r="M424" s="175"/>
      <c r="N424" s="175"/>
      <c r="O424" s="175"/>
      <c r="P424" s="175"/>
      <c r="Q424" s="175"/>
      <c r="R424" s="175"/>
      <c r="S424" s="175"/>
      <c r="T424" s="175"/>
      <c r="U424" s="175"/>
      <c r="V424" s="175"/>
      <c r="W424" s="175"/>
      <c r="X424" s="175"/>
      <c r="Y424" s="175"/>
      <c r="Z424" s="175"/>
      <c r="AA424" s="175"/>
      <c r="AB424" s="175"/>
      <c r="AC424" s="175"/>
    </row>
    <row r="425" spans="1:29" ht="12.75">
      <c r="A425" s="175"/>
      <c r="B425" s="175"/>
      <c r="C425" s="175"/>
      <c r="D425" s="175"/>
      <c r="E425" s="175"/>
      <c r="F425" s="175"/>
      <c r="G425" s="175"/>
      <c r="H425" s="175"/>
      <c r="I425" s="175"/>
      <c r="J425" s="175"/>
      <c r="K425" s="175"/>
      <c r="L425" s="175"/>
      <c r="M425" s="175"/>
      <c r="N425" s="175"/>
      <c r="O425" s="175"/>
      <c r="P425" s="175"/>
      <c r="Q425" s="175"/>
      <c r="R425" s="175"/>
      <c r="S425" s="175"/>
      <c r="T425" s="175"/>
      <c r="U425" s="175"/>
      <c r="V425" s="175"/>
      <c r="W425" s="175"/>
      <c r="X425" s="175"/>
      <c r="Y425" s="175"/>
      <c r="Z425" s="175"/>
      <c r="AA425" s="175"/>
      <c r="AB425" s="175"/>
      <c r="AC425" s="175"/>
    </row>
    <row r="426" spans="1:29" ht="12.75">
      <c r="A426" s="175"/>
      <c r="B426" s="175"/>
      <c r="C426" s="175"/>
      <c r="D426" s="175"/>
      <c r="E426" s="175"/>
      <c r="F426" s="175"/>
      <c r="G426" s="175"/>
      <c r="H426" s="175"/>
      <c r="I426" s="175"/>
      <c r="J426" s="175"/>
      <c r="K426" s="175"/>
      <c r="L426" s="175"/>
      <c r="M426" s="175"/>
      <c r="N426" s="175"/>
      <c r="O426" s="175"/>
      <c r="P426" s="175"/>
      <c r="Q426" s="175"/>
      <c r="R426" s="175"/>
      <c r="S426" s="175"/>
      <c r="T426" s="175"/>
      <c r="U426" s="175"/>
      <c r="V426" s="175"/>
      <c r="W426" s="175"/>
      <c r="X426" s="175"/>
      <c r="Y426" s="175"/>
      <c r="Z426" s="175"/>
      <c r="AA426" s="175"/>
      <c r="AB426" s="175"/>
      <c r="AC426" s="175"/>
    </row>
    <row r="427" spans="1:29" ht="12.75">
      <c r="A427" s="175"/>
      <c r="B427" s="175"/>
      <c r="C427" s="175"/>
      <c r="D427" s="175"/>
      <c r="E427" s="175"/>
      <c r="F427" s="175"/>
      <c r="G427" s="175"/>
      <c r="H427" s="175"/>
      <c r="I427" s="175"/>
      <c r="J427" s="175"/>
      <c r="K427" s="175"/>
      <c r="L427" s="175"/>
      <c r="M427" s="175"/>
      <c r="N427" s="175"/>
      <c r="O427" s="175"/>
      <c r="P427" s="175"/>
      <c r="Q427" s="175"/>
      <c r="R427" s="175"/>
      <c r="S427" s="175"/>
      <c r="T427" s="175"/>
      <c r="U427" s="175"/>
      <c r="V427" s="175"/>
      <c r="W427" s="175"/>
      <c r="X427" s="175"/>
      <c r="Y427" s="175"/>
      <c r="Z427" s="175"/>
      <c r="AA427" s="175"/>
      <c r="AB427" s="175"/>
      <c r="AC427" s="175"/>
    </row>
    <row r="428" spans="1:29" ht="12.75">
      <c r="A428" s="175"/>
      <c r="B428" s="175"/>
      <c r="C428" s="175"/>
      <c r="D428" s="175"/>
      <c r="E428" s="175"/>
      <c r="F428" s="175"/>
      <c r="G428" s="175"/>
      <c r="H428" s="175"/>
      <c r="I428" s="175"/>
      <c r="J428" s="175"/>
      <c r="K428" s="175"/>
      <c r="L428" s="175"/>
      <c r="M428" s="175"/>
      <c r="N428" s="175"/>
      <c r="O428" s="175"/>
      <c r="P428" s="175"/>
      <c r="Q428" s="175"/>
      <c r="R428" s="175"/>
      <c r="S428" s="175"/>
      <c r="T428" s="175"/>
      <c r="U428" s="175"/>
      <c r="V428" s="175"/>
      <c r="W428" s="175"/>
      <c r="X428" s="175"/>
      <c r="Y428" s="175"/>
      <c r="Z428" s="175"/>
      <c r="AA428" s="175"/>
      <c r="AB428" s="175"/>
      <c r="AC428" s="175"/>
    </row>
    <row r="429" spans="1:29" ht="12.75">
      <c r="A429" s="175"/>
      <c r="B429" s="175"/>
      <c r="C429" s="175"/>
      <c r="D429" s="175"/>
      <c r="E429" s="175"/>
      <c r="F429" s="175"/>
      <c r="G429" s="175"/>
      <c r="H429" s="175"/>
      <c r="I429" s="175"/>
      <c r="J429" s="175"/>
      <c r="K429" s="175"/>
      <c r="L429" s="175"/>
      <c r="M429" s="175"/>
      <c r="N429" s="175"/>
      <c r="O429" s="175"/>
      <c r="P429" s="175"/>
      <c r="Q429" s="175"/>
      <c r="R429" s="175"/>
      <c r="S429" s="175"/>
      <c r="T429" s="175"/>
      <c r="U429" s="175"/>
      <c r="V429" s="175"/>
      <c r="W429" s="175"/>
      <c r="X429" s="175"/>
      <c r="Y429" s="175"/>
      <c r="Z429" s="175"/>
      <c r="AA429" s="175"/>
      <c r="AB429" s="175"/>
      <c r="AC429" s="175"/>
    </row>
    <row r="430" spans="1:29" ht="12.75">
      <c r="A430" s="175"/>
      <c r="B430" s="175"/>
      <c r="C430" s="175"/>
      <c r="D430" s="175"/>
      <c r="E430" s="175"/>
      <c r="F430" s="175"/>
      <c r="G430" s="175"/>
      <c r="H430" s="175"/>
      <c r="I430" s="175"/>
      <c r="J430" s="175"/>
      <c r="K430" s="175"/>
      <c r="L430" s="175"/>
      <c r="M430" s="175"/>
      <c r="N430" s="175"/>
      <c r="O430" s="175"/>
      <c r="P430" s="175"/>
      <c r="Q430" s="175"/>
      <c r="R430" s="175"/>
      <c r="S430" s="175"/>
      <c r="T430" s="175"/>
      <c r="U430" s="175"/>
      <c r="V430" s="175"/>
      <c r="W430" s="175"/>
      <c r="X430" s="175"/>
      <c r="Y430" s="175"/>
      <c r="Z430" s="175"/>
      <c r="AA430" s="175"/>
      <c r="AB430" s="175"/>
      <c r="AC430" s="175"/>
    </row>
    <row r="431" spans="1:29" ht="12.75">
      <c r="A431" s="175"/>
      <c r="B431" s="175"/>
      <c r="C431" s="175"/>
      <c r="D431" s="175"/>
      <c r="E431" s="175"/>
      <c r="F431" s="175"/>
      <c r="G431" s="175"/>
      <c r="H431" s="175"/>
      <c r="I431" s="175"/>
      <c r="J431" s="175"/>
      <c r="K431" s="175"/>
      <c r="L431" s="175"/>
      <c r="M431" s="175"/>
      <c r="N431" s="175"/>
      <c r="O431" s="175"/>
      <c r="P431" s="175"/>
      <c r="Q431" s="175"/>
      <c r="R431" s="175"/>
      <c r="S431" s="175"/>
      <c r="T431" s="175"/>
      <c r="U431" s="175"/>
      <c r="V431" s="175"/>
      <c r="W431" s="175"/>
      <c r="X431" s="175"/>
      <c r="Y431" s="175"/>
      <c r="Z431" s="175"/>
      <c r="AA431" s="175"/>
      <c r="AB431" s="175"/>
      <c r="AC431" s="175"/>
    </row>
    <row r="432" spans="1:29" ht="12.75">
      <c r="A432" s="175"/>
      <c r="B432" s="175"/>
      <c r="C432" s="175"/>
      <c r="D432" s="175"/>
      <c r="E432" s="175"/>
      <c r="F432" s="175"/>
      <c r="G432" s="175"/>
      <c r="H432" s="175"/>
      <c r="I432" s="175"/>
      <c r="J432" s="175"/>
      <c r="K432" s="175"/>
      <c r="L432" s="175"/>
      <c r="M432" s="175"/>
      <c r="N432" s="175"/>
      <c r="O432" s="175"/>
      <c r="P432" s="175"/>
      <c r="Q432" s="175"/>
      <c r="R432" s="175"/>
      <c r="S432" s="175"/>
      <c r="T432" s="175"/>
      <c r="U432" s="175"/>
      <c r="V432" s="175"/>
      <c r="W432" s="175"/>
      <c r="X432" s="175"/>
      <c r="Y432" s="175"/>
      <c r="Z432" s="175"/>
      <c r="AA432" s="175"/>
      <c r="AB432" s="175"/>
      <c r="AC432" s="175"/>
    </row>
    <row r="433" spans="1:29" ht="12.75">
      <c r="A433" s="175"/>
      <c r="B433" s="175"/>
      <c r="C433" s="175"/>
      <c r="D433" s="175"/>
      <c r="E433" s="175"/>
      <c r="F433" s="175"/>
      <c r="G433" s="175"/>
      <c r="H433" s="175"/>
      <c r="I433" s="175"/>
      <c r="J433" s="175"/>
      <c r="K433" s="175"/>
      <c r="L433" s="175"/>
      <c r="M433" s="175"/>
      <c r="N433" s="175"/>
      <c r="O433" s="175"/>
      <c r="P433" s="175"/>
      <c r="Q433" s="175"/>
      <c r="R433" s="175"/>
      <c r="S433" s="175"/>
      <c r="T433" s="175"/>
      <c r="U433" s="175"/>
      <c r="V433" s="175"/>
      <c r="W433" s="175"/>
      <c r="X433" s="175"/>
      <c r="Y433" s="175"/>
      <c r="Z433" s="175"/>
      <c r="AA433" s="175"/>
      <c r="AB433" s="175"/>
      <c r="AC433" s="175"/>
    </row>
    <row r="434" spans="1:29" ht="12.75">
      <c r="A434" s="175"/>
      <c r="B434" s="175"/>
      <c r="C434" s="175"/>
      <c r="D434" s="175"/>
      <c r="E434" s="175"/>
      <c r="F434" s="175"/>
      <c r="G434" s="175"/>
      <c r="H434" s="175"/>
      <c r="I434" s="175"/>
      <c r="J434" s="175"/>
      <c r="K434" s="175"/>
      <c r="L434" s="175"/>
      <c r="M434" s="175"/>
      <c r="N434" s="175"/>
      <c r="O434" s="175"/>
      <c r="P434" s="175"/>
      <c r="Q434" s="175"/>
      <c r="R434" s="175"/>
      <c r="S434" s="175"/>
      <c r="T434" s="175"/>
      <c r="U434" s="175"/>
      <c r="V434" s="175"/>
      <c r="W434" s="175"/>
      <c r="X434" s="175"/>
      <c r="Y434" s="175"/>
      <c r="Z434" s="175"/>
      <c r="AA434" s="175"/>
      <c r="AB434" s="175"/>
      <c r="AC434" s="175"/>
    </row>
    <row r="435" spans="1:29" ht="12.75">
      <c r="A435" s="175"/>
      <c r="B435" s="175"/>
      <c r="C435" s="175"/>
      <c r="D435" s="175"/>
      <c r="E435" s="175"/>
      <c r="F435" s="175"/>
      <c r="G435" s="175"/>
      <c r="H435" s="175"/>
      <c r="I435" s="175"/>
      <c r="J435" s="175"/>
      <c r="K435" s="175"/>
      <c r="L435" s="175"/>
      <c r="M435" s="175"/>
      <c r="N435" s="175"/>
      <c r="O435" s="175"/>
      <c r="P435" s="175"/>
      <c r="Q435" s="175"/>
      <c r="R435" s="175"/>
      <c r="S435" s="175"/>
      <c r="T435" s="175"/>
      <c r="U435" s="175"/>
      <c r="V435" s="175"/>
      <c r="W435" s="175"/>
      <c r="X435" s="175"/>
      <c r="Y435" s="175"/>
      <c r="Z435" s="175"/>
      <c r="AA435" s="175"/>
      <c r="AB435" s="175"/>
      <c r="AC435" s="175"/>
    </row>
    <row r="436" spans="1:29" ht="12.75">
      <c r="A436" s="175"/>
      <c r="B436" s="175"/>
      <c r="C436" s="175"/>
      <c r="D436" s="175"/>
      <c r="E436" s="175"/>
      <c r="F436" s="175"/>
      <c r="G436" s="175"/>
      <c r="H436" s="175"/>
      <c r="I436" s="175"/>
      <c r="J436" s="175"/>
      <c r="K436" s="175"/>
      <c r="L436" s="175"/>
      <c r="M436" s="175"/>
      <c r="N436" s="175"/>
      <c r="O436" s="175"/>
      <c r="P436" s="175"/>
      <c r="Q436" s="175"/>
      <c r="R436" s="175"/>
      <c r="S436" s="175"/>
      <c r="T436" s="175"/>
      <c r="U436" s="175"/>
      <c r="V436" s="175"/>
      <c r="W436" s="175"/>
      <c r="X436" s="175"/>
      <c r="Y436" s="175"/>
      <c r="Z436" s="175"/>
      <c r="AA436" s="175"/>
      <c r="AB436" s="175"/>
      <c r="AC436" s="175"/>
    </row>
    <row r="437" spans="1:29" ht="12.75">
      <c r="A437" s="175"/>
      <c r="B437" s="175"/>
      <c r="C437" s="175"/>
      <c r="D437" s="175"/>
      <c r="E437" s="175"/>
      <c r="F437" s="175"/>
      <c r="G437" s="175"/>
      <c r="H437" s="175"/>
      <c r="I437" s="175"/>
      <c r="J437" s="175"/>
      <c r="K437" s="175"/>
      <c r="L437" s="175"/>
      <c r="M437" s="175"/>
      <c r="N437" s="175"/>
      <c r="O437" s="175"/>
      <c r="P437" s="175"/>
      <c r="Q437" s="175"/>
      <c r="R437" s="175"/>
      <c r="S437" s="175"/>
      <c r="T437" s="175"/>
      <c r="U437" s="175"/>
      <c r="V437" s="175"/>
      <c r="W437" s="175"/>
      <c r="X437" s="175"/>
      <c r="Y437" s="175"/>
      <c r="Z437" s="175"/>
      <c r="AA437" s="175"/>
      <c r="AB437" s="175"/>
      <c r="AC437" s="175"/>
    </row>
    <row r="438" spans="1:29" ht="12.75">
      <c r="A438" s="175"/>
      <c r="B438" s="175"/>
      <c r="C438" s="175"/>
      <c r="D438" s="175"/>
      <c r="E438" s="175"/>
      <c r="F438" s="175"/>
      <c r="G438" s="175"/>
      <c r="H438" s="175"/>
      <c r="I438" s="175"/>
      <c r="J438" s="175"/>
      <c r="K438" s="175"/>
      <c r="L438" s="175"/>
      <c r="M438" s="175"/>
      <c r="N438" s="175"/>
      <c r="O438" s="175"/>
      <c r="P438" s="175"/>
      <c r="Q438" s="175"/>
      <c r="R438" s="175"/>
      <c r="S438" s="175"/>
      <c r="T438" s="175"/>
      <c r="U438" s="175"/>
      <c r="V438" s="175"/>
      <c r="W438" s="175"/>
      <c r="X438" s="175"/>
      <c r="Y438" s="175"/>
      <c r="Z438" s="175"/>
      <c r="AA438" s="175"/>
      <c r="AB438" s="175"/>
      <c r="AC438" s="175"/>
    </row>
    <row r="439" spans="1:29" ht="12.75">
      <c r="A439" s="175"/>
      <c r="B439" s="175"/>
      <c r="C439" s="175"/>
      <c r="D439" s="175"/>
      <c r="E439" s="175"/>
      <c r="F439" s="175"/>
      <c r="G439" s="175"/>
      <c r="H439" s="175"/>
      <c r="I439" s="175"/>
      <c r="J439" s="175"/>
      <c r="K439" s="175"/>
      <c r="L439" s="175"/>
      <c r="M439" s="175"/>
      <c r="N439" s="175"/>
      <c r="O439" s="175"/>
      <c r="P439" s="175"/>
      <c r="Q439" s="175"/>
      <c r="R439" s="175"/>
      <c r="S439" s="175"/>
      <c r="T439" s="175"/>
      <c r="U439" s="175"/>
      <c r="V439" s="175"/>
      <c r="W439" s="175"/>
      <c r="X439" s="175"/>
      <c r="Y439" s="175"/>
      <c r="Z439" s="175"/>
      <c r="AA439" s="175"/>
      <c r="AB439" s="175"/>
      <c r="AC439" s="175"/>
    </row>
    <row r="440" spans="1:29" ht="12.75">
      <c r="A440" s="175"/>
      <c r="B440" s="175"/>
      <c r="C440" s="175"/>
      <c r="D440" s="175"/>
      <c r="E440" s="175"/>
      <c r="F440" s="175"/>
      <c r="G440" s="175"/>
      <c r="H440" s="175"/>
      <c r="I440" s="175"/>
      <c r="J440" s="175"/>
      <c r="K440" s="175"/>
      <c r="L440" s="175"/>
      <c r="M440" s="175"/>
      <c r="N440" s="175"/>
      <c r="O440" s="175"/>
      <c r="P440" s="175"/>
      <c r="Q440" s="175"/>
      <c r="R440" s="175"/>
      <c r="S440" s="175"/>
      <c r="T440" s="175"/>
      <c r="U440" s="175"/>
      <c r="V440" s="175"/>
      <c r="W440" s="175"/>
      <c r="X440" s="175"/>
      <c r="Y440" s="175"/>
      <c r="Z440" s="175"/>
      <c r="AA440" s="175"/>
      <c r="AB440" s="175"/>
      <c r="AC440" s="175"/>
    </row>
    <row r="441" spans="1:29" ht="12.75">
      <c r="A441" s="175"/>
      <c r="B441" s="175"/>
      <c r="C441" s="175"/>
      <c r="D441" s="175"/>
      <c r="E441" s="175"/>
      <c r="F441" s="175"/>
      <c r="G441" s="175"/>
      <c r="H441" s="175"/>
      <c r="I441" s="175"/>
      <c r="J441" s="175"/>
      <c r="K441" s="175"/>
      <c r="L441" s="175"/>
      <c r="M441" s="175"/>
      <c r="N441" s="175"/>
      <c r="O441" s="175"/>
      <c r="P441" s="175"/>
      <c r="Q441" s="175"/>
      <c r="R441" s="175"/>
      <c r="S441" s="175"/>
      <c r="T441" s="175"/>
      <c r="U441" s="175"/>
      <c r="V441" s="175"/>
      <c r="W441" s="175"/>
      <c r="X441" s="175"/>
      <c r="Y441" s="175"/>
      <c r="Z441" s="175"/>
      <c r="AA441" s="175"/>
      <c r="AB441" s="175"/>
      <c r="AC441" s="175"/>
    </row>
    <row r="442" spans="1:29" ht="12.75">
      <c r="A442" s="175"/>
      <c r="B442" s="175"/>
      <c r="C442" s="175"/>
      <c r="D442" s="175"/>
      <c r="E442" s="175"/>
      <c r="F442" s="175"/>
      <c r="G442" s="175"/>
      <c r="H442" s="175"/>
      <c r="I442" s="175"/>
      <c r="J442" s="175"/>
      <c r="K442" s="175"/>
      <c r="L442" s="175"/>
      <c r="M442" s="175"/>
      <c r="N442" s="175"/>
      <c r="O442" s="175"/>
      <c r="P442" s="175"/>
      <c r="Q442" s="175"/>
      <c r="R442" s="175"/>
      <c r="S442" s="175"/>
      <c r="T442" s="175"/>
      <c r="U442" s="175"/>
      <c r="V442" s="175"/>
      <c r="W442" s="175"/>
      <c r="X442" s="175"/>
      <c r="Y442" s="175"/>
      <c r="Z442" s="175"/>
      <c r="AA442" s="175"/>
      <c r="AB442" s="175"/>
      <c r="AC442" s="175"/>
    </row>
    <row r="443" spans="1:29" ht="12.75">
      <c r="A443" s="175"/>
      <c r="B443" s="175"/>
      <c r="C443" s="175"/>
      <c r="D443" s="175"/>
      <c r="E443" s="175"/>
      <c r="F443" s="175"/>
      <c r="G443" s="175"/>
      <c r="H443" s="175"/>
      <c r="I443" s="175"/>
      <c r="J443" s="175"/>
      <c r="K443" s="175"/>
      <c r="L443" s="175"/>
      <c r="M443" s="175"/>
      <c r="N443" s="175"/>
      <c r="O443" s="175"/>
      <c r="P443" s="175"/>
      <c r="Q443" s="175"/>
      <c r="R443" s="175"/>
      <c r="S443" s="175"/>
      <c r="T443" s="175"/>
      <c r="U443" s="175"/>
      <c r="V443" s="175"/>
      <c r="W443" s="175"/>
      <c r="X443" s="175"/>
      <c r="Y443" s="175"/>
      <c r="Z443" s="175"/>
      <c r="AA443" s="175"/>
      <c r="AB443" s="175"/>
      <c r="AC443" s="175"/>
    </row>
    <row r="444" spans="1:29" ht="12.75">
      <c r="A444" s="175"/>
      <c r="B444" s="175"/>
      <c r="C444" s="175"/>
      <c r="D444" s="175"/>
      <c r="E444" s="175"/>
      <c r="F444" s="175"/>
      <c r="G444" s="175"/>
      <c r="H444" s="175"/>
      <c r="I444" s="175"/>
      <c r="J444" s="175"/>
      <c r="K444" s="175"/>
      <c r="L444" s="175"/>
      <c r="M444" s="175"/>
      <c r="N444" s="175"/>
      <c r="O444" s="175"/>
      <c r="P444" s="175"/>
      <c r="Q444" s="175"/>
      <c r="R444" s="175"/>
      <c r="S444" s="175"/>
      <c r="T444" s="175"/>
      <c r="U444" s="175"/>
      <c r="V444" s="175"/>
      <c r="W444" s="175"/>
      <c r="X444" s="175"/>
      <c r="Y444" s="175"/>
      <c r="Z444" s="175"/>
      <c r="AA444" s="175"/>
      <c r="AB444" s="175"/>
      <c r="AC444" s="175"/>
    </row>
    <row r="445" spans="1:29" ht="12.75">
      <c r="A445" s="175"/>
      <c r="B445" s="175"/>
      <c r="C445" s="175"/>
      <c r="D445" s="175"/>
      <c r="E445" s="175"/>
      <c r="F445" s="175"/>
      <c r="G445" s="175"/>
      <c r="H445" s="175"/>
      <c r="I445" s="175"/>
      <c r="J445" s="175"/>
      <c r="K445" s="175"/>
      <c r="L445" s="175"/>
      <c r="M445" s="175"/>
      <c r="N445" s="175"/>
      <c r="O445" s="175"/>
      <c r="P445" s="175"/>
      <c r="Q445" s="175"/>
      <c r="R445" s="175"/>
      <c r="S445" s="175"/>
      <c r="T445" s="175"/>
      <c r="U445" s="175"/>
      <c r="V445" s="175"/>
      <c r="W445" s="175"/>
      <c r="X445" s="175"/>
      <c r="Y445" s="175"/>
      <c r="Z445" s="175"/>
      <c r="AA445" s="175"/>
      <c r="AB445" s="175"/>
      <c r="AC445" s="175"/>
    </row>
    <row r="446" spans="1:29" ht="12.75">
      <c r="A446" s="175"/>
      <c r="B446" s="175"/>
      <c r="C446" s="175"/>
      <c r="D446" s="175"/>
      <c r="E446" s="175"/>
      <c r="F446" s="175"/>
      <c r="G446" s="175"/>
      <c r="H446" s="175"/>
      <c r="I446" s="175"/>
      <c r="J446" s="175"/>
      <c r="K446" s="175"/>
      <c r="L446" s="175"/>
      <c r="M446" s="175"/>
      <c r="N446" s="175"/>
      <c r="O446" s="175"/>
      <c r="P446" s="175"/>
      <c r="Q446" s="175"/>
      <c r="R446" s="175"/>
      <c r="S446" s="175"/>
      <c r="T446" s="175"/>
      <c r="U446" s="175"/>
      <c r="V446" s="175"/>
      <c r="W446" s="175"/>
      <c r="X446" s="175"/>
      <c r="Y446" s="175"/>
      <c r="Z446" s="175"/>
      <c r="AA446" s="175"/>
      <c r="AB446" s="175"/>
      <c r="AC446" s="175"/>
    </row>
    <row r="447" spans="1:29" ht="12.75">
      <c r="A447" s="175"/>
      <c r="B447" s="175"/>
      <c r="C447" s="175"/>
      <c r="D447" s="175"/>
      <c r="E447" s="175"/>
      <c r="F447" s="175"/>
      <c r="G447" s="175"/>
      <c r="H447" s="175"/>
      <c r="I447" s="175"/>
      <c r="J447" s="175"/>
      <c r="K447" s="175"/>
      <c r="L447" s="175"/>
      <c r="M447" s="175"/>
      <c r="N447" s="175"/>
      <c r="O447" s="175"/>
      <c r="P447" s="175"/>
      <c r="Q447" s="175"/>
      <c r="R447" s="175"/>
      <c r="S447" s="175"/>
      <c r="T447" s="175"/>
      <c r="U447" s="175"/>
      <c r="V447" s="175"/>
      <c r="W447" s="175"/>
      <c r="X447" s="175"/>
      <c r="Y447" s="175"/>
      <c r="Z447" s="175"/>
      <c r="AA447" s="175"/>
      <c r="AB447" s="175"/>
      <c r="AC447" s="175"/>
    </row>
    <row r="448" spans="1:29" ht="12.75">
      <c r="A448" s="175"/>
      <c r="B448" s="175"/>
      <c r="C448" s="175"/>
      <c r="D448" s="175"/>
      <c r="E448" s="175"/>
      <c r="F448" s="175"/>
      <c r="G448" s="175"/>
      <c r="H448" s="175"/>
      <c r="I448" s="175"/>
      <c r="J448" s="175"/>
      <c r="K448" s="175"/>
      <c r="L448" s="175"/>
      <c r="M448" s="175"/>
      <c r="N448" s="175"/>
      <c r="O448" s="175"/>
      <c r="P448" s="175"/>
      <c r="Q448" s="175"/>
      <c r="R448" s="175"/>
      <c r="S448" s="175"/>
      <c r="T448" s="175"/>
      <c r="U448" s="175"/>
      <c r="V448" s="175"/>
      <c r="W448" s="175"/>
      <c r="X448" s="175"/>
      <c r="Y448" s="175"/>
      <c r="Z448" s="175"/>
      <c r="AA448" s="175"/>
      <c r="AB448" s="175"/>
      <c r="AC448" s="175"/>
    </row>
    <row r="449" spans="1:29" ht="12.75">
      <c r="A449" s="175"/>
      <c r="B449" s="175"/>
      <c r="C449" s="175"/>
      <c r="D449" s="175"/>
      <c r="E449" s="175"/>
      <c r="F449" s="175"/>
      <c r="G449" s="175"/>
      <c r="H449" s="175"/>
      <c r="I449" s="175"/>
      <c r="J449" s="175"/>
      <c r="K449" s="175"/>
      <c r="L449" s="175"/>
      <c r="M449" s="175"/>
      <c r="N449" s="175"/>
      <c r="O449" s="175"/>
      <c r="P449" s="175"/>
      <c r="Q449" s="175"/>
      <c r="R449" s="175"/>
      <c r="S449" s="175"/>
      <c r="T449" s="175"/>
      <c r="U449" s="175"/>
      <c r="V449" s="175"/>
      <c r="W449" s="175"/>
      <c r="X449" s="175"/>
      <c r="Y449" s="175"/>
      <c r="Z449" s="175"/>
      <c r="AA449" s="175"/>
      <c r="AB449" s="175"/>
      <c r="AC449" s="175"/>
    </row>
    <row r="450" spans="1:29" ht="12.75">
      <c r="A450" s="175"/>
      <c r="B450" s="175"/>
      <c r="C450" s="175"/>
      <c r="D450" s="175"/>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c r="AA450" s="175"/>
      <c r="AB450" s="175"/>
      <c r="AC450" s="175"/>
    </row>
    <row r="451" spans="1:29" ht="12.75">
      <c r="A451" s="175"/>
      <c r="B451" s="175"/>
      <c r="C451" s="175"/>
      <c r="D451" s="175"/>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c r="AA451" s="175"/>
      <c r="AB451" s="175"/>
      <c r="AC451" s="175"/>
    </row>
    <row r="452" spans="1:29" ht="12.75">
      <c r="A452" s="175"/>
      <c r="B452" s="175"/>
      <c r="C452" s="175"/>
      <c r="D452" s="175"/>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c r="AA452" s="175"/>
      <c r="AB452" s="175"/>
      <c r="AC452" s="175"/>
    </row>
    <row r="453" spans="1:29" ht="12.75">
      <c r="A453" s="175"/>
      <c r="B453" s="175"/>
      <c r="C453" s="175"/>
      <c r="D453" s="175"/>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c r="AA453" s="175"/>
      <c r="AB453" s="175"/>
      <c r="AC453" s="175"/>
    </row>
    <row r="454" spans="1:29" ht="12.75">
      <c r="A454" s="175"/>
      <c r="B454" s="175"/>
      <c r="C454" s="175"/>
      <c r="D454" s="175"/>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c r="AA454" s="175"/>
      <c r="AB454" s="175"/>
      <c r="AC454" s="175"/>
    </row>
    <row r="455" spans="1:29" ht="12.75">
      <c r="A455" s="175"/>
      <c r="B455" s="175"/>
      <c r="C455" s="175"/>
      <c r="D455" s="175"/>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c r="AA455" s="175"/>
      <c r="AB455" s="175"/>
      <c r="AC455" s="175"/>
    </row>
    <row r="456" spans="1:29" ht="12.75">
      <c r="A456" s="175"/>
      <c r="B456" s="175"/>
      <c r="C456" s="175"/>
      <c r="D456" s="175"/>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c r="AA456" s="175"/>
      <c r="AB456" s="175"/>
      <c r="AC456" s="175"/>
    </row>
    <row r="457" spans="1:29" ht="12.75">
      <c r="A457" s="175"/>
      <c r="B457" s="175"/>
      <c r="C457" s="175"/>
      <c r="D457" s="175"/>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c r="AA457" s="175"/>
      <c r="AB457" s="175"/>
      <c r="AC457" s="175"/>
    </row>
    <row r="458" spans="1:29" ht="12.75">
      <c r="A458" s="175"/>
      <c r="B458" s="175"/>
      <c r="C458" s="175"/>
      <c r="D458" s="175"/>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c r="AA458" s="175"/>
      <c r="AB458" s="175"/>
      <c r="AC458" s="175"/>
    </row>
    <row r="459" spans="1:29" ht="12.75">
      <c r="A459" s="175"/>
      <c r="B459" s="175"/>
      <c r="C459" s="175"/>
      <c r="D459" s="175"/>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c r="AA459" s="175"/>
      <c r="AB459" s="175"/>
      <c r="AC459" s="175"/>
    </row>
    <row r="460" spans="1:29" ht="12.75">
      <c r="A460" s="175"/>
      <c r="B460" s="175"/>
      <c r="C460" s="175"/>
      <c r="D460" s="175"/>
      <c r="E460" s="175"/>
      <c r="F460" s="175"/>
      <c r="G460" s="175"/>
      <c r="H460" s="175"/>
      <c r="I460" s="175"/>
      <c r="J460" s="175"/>
      <c r="K460" s="175"/>
      <c r="L460" s="175"/>
      <c r="M460" s="175"/>
      <c r="N460" s="175"/>
      <c r="O460" s="175"/>
      <c r="P460" s="175"/>
      <c r="Q460" s="175"/>
      <c r="R460" s="175"/>
      <c r="S460" s="175"/>
      <c r="T460" s="175"/>
      <c r="U460" s="175"/>
      <c r="V460" s="175"/>
      <c r="W460" s="175"/>
      <c r="X460" s="175"/>
      <c r="Y460" s="175"/>
      <c r="Z460" s="175"/>
      <c r="AA460" s="175"/>
      <c r="AB460" s="175"/>
      <c r="AC460" s="175"/>
    </row>
    <row r="461" spans="1:29" ht="12.75">
      <c r="A461" s="175"/>
      <c r="B461" s="175"/>
      <c r="C461" s="175"/>
      <c r="D461" s="175"/>
      <c r="E461" s="175"/>
      <c r="F461" s="175"/>
      <c r="G461" s="175"/>
      <c r="H461" s="175"/>
      <c r="I461" s="175"/>
      <c r="J461" s="175"/>
      <c r="K461" s="175"/>
      <c r="L461" s="175"/>
      <c r="M461" s="175"/>
      <c r="N461" s="175"/>
      <c r="O461" s="175"/>
      <c r="P461" s="175"/>
      <c r="Q461" s="175"/>
      <c r="R461" s="175"/>
      <c r="S461" s="175"/>
      <c r="T461" s="175"/>
      <c r="U461" s="175"/>
      <c r="V461" s="175"/>
      <c r="W461" s="175"/>
      <c r="X461" s="175"/>
      <c r="Y461" s="175"/>
      <c r="Z461" s="175"/>
      <c r="AA461" s="175"/>
      <c r="AB461" s="175"/>
      <c r="AC461" s="175"/>
    </row>
    <row r="462" spans="1:29" ht="12.75">
      <c r="A462" s="175"/>
      <c r="B462" s="175"/>
      <c r="C462" s="175"/>
      <c r="D462" s="175"/>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c r="AA462" s="175"/>
      <c r="AB462" s="175"/>
      <c r="AC462" s="175"/>
    </row>
    <row r="463" spans="1:29" ht="12.75">
      <c r="A463" s="175"/>
      <c r="B463" s="175"/>
      <c r="C463" s="175"/>
      <c r="D463" s="175"/>
      <c r="E463" s="175"/>
      <c r="F463" s="175"/>
      <c r="G463" s="175"/>
      <c r="H463" s="175"/>
      <c r="I463" s="175"/>
      <c r="J463" s="175"/>
      <c r="K463" s="175"/>
      <c r="L463" s="175"/>
      <c r="M463" s="175"/>
      <c r="N463" s="175"/>
      <c r="O463" s="175"/>
      <c r="P463" s="175"/>
      <c r="Q463" s="175"/>
      <c r="R463" s="175"/>
      <c r="S463" s="175"/>
      <c r="T463" s="175"/>
      <c r="U463" s="175"/>
      <c r="V463" s="175"/>
      <c r="W463" s="175"/>
      <c r="X463" s="175"/>
      <c r="Y463" s="175"/>
      <c r="Z463" s="175"/>
      <c r="AA463" s="175"/>
      <c r="AB463" s="175"/>
      <c r="AC463" s="175"/>
    </row>
    <row r="464" spans="1:29" ht="12.75">
      <c r="A464" s="175"/>
      <c r="B464" s="175"/>
      <c r="C464" s="175"/>
      <c r="D464" s="175"/>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c r="AA464" s="175"/>
      <c r="AB464" s="175"/>
      <c r="AC464" s="175"/>
    </row>
    <row r="465" spans="1:29" ht="12.75">
      <c r="A465" s="175"/>
      <c r="B465" s="175"/>
      <c r="C465" s="175"/>
      <c r="D465" s="175"/>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c r="AA465" s="175"/>
      <c r="AB465" s="175"/>
      <c r="AC465" s="175"/>
    </row>
    <row r="466" spans="1:29" ht="12.75">
      <c r="A466" s="175"/>
      <c r="B466" s="175"/>
      <c r="C466" s="175"/>
      <c r="D466" s="175"/>
      <c r="E466" s="175"/>
      <c r="F466" s="175"/>
      <c r="G466" s="175"/>
      <c r="H466" s="175"/>
      <c r="I466" s="175"/>
      <c r="J466" s="175"/>
      <c r="K466" s="175"/>
      <c r="L466" s="175"/>
      <c r="M466" s="175"/>
      <c r="N466" s="175"/>
      <c r="O466" s="175"/>
      <c r="P466" s="175"/>
      <c r="Q466" s="175"/>
      <c r="R466" s="175"/>
      <c r="S466" s="175"/>
      <c r="T466" s="175"/>
      <c r="U466" s="175"/>
      <c r="V466" s="175"/>
      <c r="W466" s="175"/>
      <c r="X466" s="175"/>
      <c r="Y466" s="175"/>
      <c r="Z466" s="175"/>
      <c r="AA466" s="175"/>
      <c r="AB466" s="175"/>
      <c r="AC466" s="175"/>
    </row>
    <row r="467" spans="1:29" ht="12.75">
      <c r="A467" s="175"/>
      <c r="B467" s="175"/>
      <c r="C467" s="175"/>
      <c r="D467" s="175"/>
      <c r="E467" s="175"/>
      <c r="F467" s="175"/>
      <c r="G467" s="175"/>
      <c r="H467" s="175"/>
      <c r="I467" s="175"/>
      <c r="J467" s="175"/>
      <c r="K467" s="175"/>
      <c r="L467" s="175"/>
      <c r="M467" s="175"/>
      <c r="N467" s="175"/>
      <c r="O467" s="175"/>
      <c r="P467" s="175"/>
      <c r="Q467" s="175"/>
      <c r="R467" s="175"/>
      <c r="S467" s="175"/>
      <c r="T467" s="175"/>
      <c r="U467" s="175"/>
      <c r="V467" s="175"/>
      <c r="W467" s="175"/>
      <c r="X467" s="175"/>
      <c r="Y467" s="175"/>
      <c r="Z467" s="175"/>
      <c r="AA467" s="175"/>
      <c r="AB467" s="175"/>
      <c r="AC467" s="175"/>
    </row>
    <row r="468" spans="1:29" ht="12.75">
      <c r="A468" s="175"/>
      <c r="B468" s="175"/>
      <c r="C468" s="175"/>
      <c r="D468" s="175"/>
      <c r="E468" s="175"/>
      <c r="F468" s="175"/>
      <c r="G468" s="175"/>
      <c r="H468" s="175"/>
      <c r="I468" s="175"/>
      <c r="J468" s="175"/>
      <c r="K468" s="175"/>
      <c r="L468" s="175"/>
      <c r="M468" s="175"/>
      <c r="N468" s="175"/>
      <c r="O468" s="175"/>
      <c r="P468" s="175"/>
      <c r="Q468" s="175"/>
      <c r="R468" s="175"/>
      <c r="S468" s="175"/>
      <c r="T468" s="175"/>
      <c r="U468" s="175"/>
      <c r="V468" s="175"/>
      <c r="W468" s="175"/>
      <c r="X468" s="175"/>
      <c r="Y468" s="175"/>
      <c r="Z468" s="175"/>
      <c r="AA468" s="175"/>
      <c r="AB468" s="175"/>
      <c r="AC468" s="175"/>
    </row>
    <row r="469" spans="1:29" ht="12.75">
      <c r="A469" s="175"/>
      <c r="B469" s="175"/>
      <c r="C469" s="175"/>
      <c r="D469" s="175"/>
      <c r="E469" s="175"/>
      <c r="F469" s="175"/>
      <c r="G469" s="175"/>
      <c r="H469" s="175"/>
      <c r="I469" s="175"/>
      <c r="J469" s="175"/>
      <c r="K469" s="175"/>
      <c r="L469" s="175"/>
      <c r="M469" s="175"/>
      <c r="N469" s="175"/>
      <c r="O469" s="175"/>
      <c r="P469" s="175"/>
      <c r="Q469" s="175"/>
      <c r="R469" s="175"/>
      <c r="S469" s="175"/>
      <c r="T469" s="175"/>
      <c r="U469" s="175"/>
      <c r="V469" s="175"/>
      <c r="W469" s="175"/>
      <c r="X469" s="175"/>
      <c r="Y469" s="175"/>
      <c r="Z469" s="175"/>
      <c r="AA469" s="175"/>
      <c r="AB469" s="175"/>
      <c r="AC469" s="175"/>
    </row>
    <row r="470" spans="1:29" ht="12.75">
      <c r="A470" s="175"/>
      <c r="B470" s="175"/>
      <c r="C470" s="175"/>
      <c r="D470" s="175"/>
      <c r="E470" s="175"/>
      <c r="F470" s="175"/>
      <c r="G470" s="175"/>
      <c r="H470" s="175"/>
      <c r="I470" s="175"/>
      <c r="J470" s="175"/>
      <c r="K470" s="175"/>
      <c r="L470" s="175"/>
      <c r="M470" s="175"/>
      <c r="N470" s="175"/>
      <c r="O470" s="175"/>
      <c r="P470" s="175"/>
      <c r="Q470" s="175"/>
      <c r="R470" s="175"/>
      <c r="S470" s="175"/>
      <c r="T470" s="175"/>
      <c r="U470" s="175"/>
      <c r="V470" s="175"/>
      <c r="W470" s="175"/>
      <c r="X470" s="175"/>
      <c r="Y470" s="175"/>
      <c r="Z470" s="175"/>
      <c r="AA470" s="175"/>
      <c r="AB470" s="175"/>
      <c r="AC470" s="175"/>
    </row>
    <row r="471" spans="1:29" ht="12.75">
      <c r="A471" s="175"/>
      <c r="B471" s="175"/>
      <c r="C471" s="175"/>
      <c r="D471" s="175"/>
      <c r="E471" s="175"/>
      <c r="F471" s="175"/>
      <c r="G471" s="175"/>
      <c r="H471" s="175"/>
      <c r="I471" s="175"/>
      <c r="J471" s="175"/>
      <c r="K471" s="175"/>
      <c r="L471" s="175"/>
      <c r="M471" s="175"/>
      <c r="N471" s="175"/>
      <c r="O471" s="175"/>
      <c r="P471" s="175"/>
      <c r="Q471" s="175"/>
      <c r="R471" s="175"/>
      <c r="S471" s="175"/>
      <c r="T471" s="175"/>
      <c r="U471" s="175"/>
      <c r="V471" s="175"/>
      <c r="W471" s="175"/>
      <c r="X471" s="175"/>
      <c r="Y471" s="175"/>
      <c r="Z471" s="175"/>
      <c r="AA471" s="175"/>
      <c r="AB471" s="175"/>
      <c r="AC471" s="175"/>
    </row>
    <row r="472" spans="1:29" ht="12.75">
      <c r="A472" s="175"/>
      <c r="B472" s="175"/>
      <c r="C472" s="175"/>
      <c r="D472" s="175"/>
      <c r="E472" s="175"/>
      <c r="F472" s="175"/>
      <c r="G472" s="175"/>
      <c r="H472" s="175"/>
      <c r="I472" s="175"/>
      <c r="J472" s="175"/>
      <c r="K472" s="175"/>
      <c r="L472" s="175"/>
      <c r="M472" s="175"/>
      <c r="N472" s="175"/>
      <c r="O472" s="175"/>
      <c r="P472" s="175"/>
      <c r="Q472" s="175"/>
      <c r="R472" s="175"/>
      <c r="S472" s="175"/>
      <c r="T472" s="175"/>
      <c r="U472" s="175"/>
      <c r="V472" s="175"/>
      <c r="W472" s="175"/>
      <c r="X472" s="175"/>
      <c r="Y472" s="175"/>
      <c r="Z472" s="175"/>
      <c r="AA472" s="175"/>
      <c r="AB472" s="175"/>
      <c r="AC472" s="175"/>
    </row>
    <row r="473" spans="1:29" ht="12.75">
      <c r="A473" s="175"/>
      <c r="B473" s="175"/>
      <c r="C473" s="175"/>
      <c r="D473" s="175"/>
      <c r="E473" s="175"/>
      <c r="F473" s="175"/>
      <c r="G473" s="175"/>
      <c r="H473" s="175"/>
      <c r="I473" s="175"/>
      <c r="J473" s="175"/>
      <c r="K473" s="175"/>
      <c r="L473" s="175"/>
      <c r="M473" s="175"/>
      <c r="N473" s="175"/>
      <c r="O473" s="175"/>
      <c r="P473" s="175"/>
      <c r="Q473" s="175"/>
      <c r="R473" s="175"/>
      <c r="S473" s="175"/>
      <c r="T473" s="175"/>
      <c r="U473" s="175"/>
      <c r="V473" s="175"/>
      <c r="W473" s="175"/>
      <c r="X473" s="175"/>
      <c r="Y473" s="175"/>
      <c r="Z473" s="175"/>
      <c r="AA473" s="175"/>
      <c r="AB473" s="175"/>
      <c r="AC473" s="175"/>
    </row>
    <row r="474" spans="1:29" ht="12.75">
      <c r="A474" s="175"/>
      <c r="B474" s="175"/>
      <c r="C474" s="175"/>
      <c r="D474" s="175"/>
      <c r="E474" s="175"/>
      <c r="F474" s="175"/>
      <c r="G474" s="175"/>
      <c r="H474" s="175"/>
      <c r="I474" s="175"/>
      <c r="J474" s="175"/>
      <c r="K474" s="175"/>
      <c r="L474" s="175"/>
      <c r="M474" s="175"/>
      <c r="N474" s="175"/>
      <c r="O474" s="175"/>
      <c r="P474" s="175"/>
      <c r="Q474" s="175"/>
      <c r="R474" s="175"/>
      <c r="S474" s="175"/>
      <c r="T474" s="175"/>
      <c r="U474" s="175"/>
      <c r="V474" s="175"/>
      <c r="W474" s="175"/>
      <c r="X474" s="175"/>
      <c r="Y474" s="175"/>
      <c r="Z474" s="175"/>
      <c r="AA474" s="175"/>
      <c r="AB474" s="175"/>
      <c r="AC474" s="175"/>
    </row>
    <row r="475" spans="1:29" ht="12.75">
      <c r="A475" s="175"/>
      <c r="B475" s="175"/>
      <c r="C475" s="175"/>
      <c r="D475" s="175"/>
      <c r="E475" s="175"/>
      <c r="F475" s="175"/>
      <c r="G475" s="175"/>
      <c r="H475" s="175"/>
      <c r="I475" s="175"/>
      <c r="J475" s="175"/>
      <c r="K475" s="175"/>
      <c r="L475" s="175"/>
      <c r="M475" s="175"/>
      <c r="N475" s="175"/>
      <c r="O475" s="175"/>
      <c r="P475" s="175"/>
      <c r="Q475" s="175"/>
      <c r="R475" s="175"/>
      <c r="S475" s="175"/>
      <c r="T475" s="175"/>
      <c r="U475" s="175"/>
      <c r="V475" s="175"/>
      <c r="W475" s="175"/>
      <c r="X475" s="175"/>
      <c r="Y475" s="175"/>
      <c r="Z475" s="175"/>
      <c r="AA475" s="175"/>
      <c r="AB475" s="175"/>
      <c r="AC475" s="175"/>
    </row>
    <row r="476" spans="1:29" ht="12.75">
      <c r="A476" s="175"/>
      <c r="B476" s="175"/>
      <c r="C476" s="175"/>
      <c r="D476" s="175"/>
      <c r="E476" s="175"/>
      <c r="F476" s="175"/>
      <c r="G476" s="175"/>
      <c r="H476" s="175"/>
      <c r="I476" s="175"/>
      <c r="J476" s="175"/>
      <c r="K476" s="175"/>
      <c r="L476" s="175"/>
      <c r="M476" s="175"/>
      <c r="N476" s="175"/>
      <c r="O476" s="175"/>
      <c r="P476" s="175"/>
      <c r="Q476" s="175"/>
      <c r="R476" s="175"/>
      <c r="S476" s="175"/>
      <c r="T476" s="175"/>
      <c r="U476" s="175"/>
      <c r="V476" s="175"/>
      <c r="W476" s="175"/>
      <c r="X476" s="175"/>
      <c r="Y476" s="175"/>
      <c r="Z476" s="175"/>
      <c r="AA476" s="175"/>
      <c r="AB476" s="175"/>
      <c r="AC476" s="175"/>
    </row>
    <row r="477" spans="1:29" ht="12.75">
      <c r="A477" s="175"/>
      <c r="B477" s="175"/>
      <c r="C477" s="175"/>
      <c r="D477" s="175"/>
      <c r="E477" s="175"/>
      <c r="F477" s="175"/>
      <c r="G477" s="175"/>
      <c r="H477" s="175"/>
      <c r="I477" s="175"/>
      <c r="J477" s="175"/>
      <c r="K477" s="175"/>
      <c r="L477" s="175"/>
      <c r="M477" s="175"/>
      <c r="N477" s="175"/>
      <c r="O477" s="175"/>
      <c r="P477" s="175"/>
      <c r="Q477" s="175"/>
      <c r="R477" s="175"/>
      <c r="S477" s="175"/>
      <c r="T477" s="175"/>
      <c r="U477" s="175"/>
      <c r="V477" s="175"/>
      <c r="W477" s="175"/>
      <c r="X477" s="175"/>
      <c r="Y477" s="175"/>
      <c r="Z477" s="175"/>
      <c r="AA477" s="175"/>
      <c r="AB477" s="175"/>
      <c r="AC477" s="175"/>
    </row>
    <row r="478" spans="1:29" ht="12.75">
      <c r="A478" s="175"/>
      <c r="B478" s="175"/>
      <c r="C478" s="175"/>
      <c r="D478" s="175"/>
      <c r="E478" s="175"/>
      <c r="F478" s="175"/>
      <c r="G478" s="175"/>
      <c r="H478" s="175"/>
      <c r="I478" s="175"/>
      <c r="J478" s="175"/>
      <c r="K478" s="175"/>
      <c r="L478" s="175"/>
      <c r="M478" s="175"/>
      <c r="N478" s="175"/>
      <c r="O478" s="175"/>
      <c r="P478" s="175"/>
      <c r="Q478" s="175"/>
      <c r="R478" s="175"/>
      <c r="S478" s="175"/>
      <c r="T478" s="175"/>
      <c r="U478" s="175"/>
      <c r="V478" s="175"/>
      <c r="W478" s="175"/>
      <c r="X478" s="175"/>
      <c r="Y478" s="175"/>
      <c r="Z478" s="175"/>
      <c r="AA478" s="175"/>
      <c r="AB478" s="175"/>
      <c r="AC478" s="175"/>
    </row>
    <row r="479" spans="1:29" ht="12.75">
      <c r="A479" s="175"/>
      <c r="B479" s="175"/>
      <c r="C479" s="175"/>
      <c r="D479" s="175"/>
      <c r="E479" s="175"/>
      <c r="F479" s="175"/>
      <c r="G479" s="175"/>
      <c r="H479" s="175"/>
      <c r="I479" s="175"/>
      <c r="J479" s="175"/>
      <c r="K479" s="175"/>
      <c r="L479" s="175"/>
      <c r="M479" s="175"/>
      <c r="N479" s="175"/>
      <c r="O479" s="175"/>
      <c r="P479" s="175"/>
      <c r="Q479" s="175"/>
      <c r="R479" s="175"/>
      <c r="S479" s="175"/>
      <c r="T479" s="175"/>
      <c r="U479" s="175"/>
      <c r="V479" s="175"/>
      <c r="W479" s="175"/>
      <c r="X479" s="175"/>
      <c r="Y479" s="175"/>
      <c r="Z479" s="175"/>
      <c r="AA479" s="175"/>
      <c r="AB479" s="175"/>
      <c r="AC479" s="175"/>
    </row>
    <row r="480" spans="1:29" ht="12.75">
      <c r="A480" s="175"/>
      <c r="B480" s="175"/>
      <c r="C480" s="175"/>
      <c r="D480" s="175"/>
      <c r="E480" s="175"/>
      <c r="F480" s="175"/>
      <c r="G480" s="175"/>
      <c r="H480" s="175"/>
      <c r="I480" s="175"/>
      <c r="J480" s="175"/>
      <c r="K480" s="175"/>
      <c r="L480" s="175"/>
      <c r="M480" s="175"/>
      <c r="N480" s="175"/>
      <c r="O480" s="175"/>
      <c r="P480" s="175"/>
      <c r="Q480" s="175"/>
      <c r="R480" s="175"/>
      <c r="S480" s="175"/>
      <c r="T480" s="175"/>
      <c r="U480" s="175"/>
      <c r="V480" s="175"/>
      <c r="W480" s="175"/>
      <c r="X480" s="175"/>
      <c r="Y480" s="175"/>
      <c r="Z480" s="175"/>
      <c r="AA480" s="175"/>
      <c r="AB480" s="175"/>
      <c r="AC480" s="175"/>
    </row>
    <row r="481" spans="1:29" ht="12.75">
      <c r="A481" s="175"/>
      <c r="B481" s="175"/>
      <c r="C481" s="175"/>
      <c r="D481" s="175"/>
      <c r="E481" s="175"/>
      <c r="F481" s="175"/>
      <c r="G481" s="175"/>
      <c r="H481" s="175"/>
      <c r="I481" s="175"/>
      <c r="J481" s="175"/>
      <c r="K481" s="175"/>
      <c r="L481" s="175"/>
      <c r="M481" s="175"/>
      <c r="N481" s="175"/>
      <c r="O481" s="175"/>
      <c r="P481" s="175"/>
      <c r="Q481" s="175"/>
      <c r="R481" s="175"/>
      <c r="S481" s="175"/>
      <c r="T481" s="175"/>
      <c r="U481" s="175"/>
      <c r="V481" s="175"/>
      <c r="W481" s="175"/>
      <c r="X481" s="175"/>
      <c r="Y481" s="175"/>
      <c r="Z481" s="175"/>
      <c r="AA481" s="175"/>
      <c r="AB481" s="175"/>
      <c r="AC481" s="175"/>
    </row>
    <row r="482" spans="1:29" ht="12.75">
      <c r="A482" s="175"/>
      <c r="B482" s="175"/>
      <c r="C482" s="175"/>
      <c r="D482" s="175"/>
      <c r="E482" s="175"/>
      <c r="F482" s="175"/>
      <c r="G482" s="175"/>
      <c r="H482" s="175"/>
      <c r="I482" s="175"/>
      <c r="J482" s="175"/>
      <c r="K482" s="175"/>
      <c r="L482" s="175"/>
      <c r="M482" s="175"/>
      <c r="N482" s="175"/>
      <c r="O482" s="175"/>
      <c r="P482" s="175"/>
      <c r="Q482" s="175"/>
      <c r="R482" s="175"/>
      <c r="S482" s="175"/>
      <c r="T482" s="175"/>
      <c r="U482" s="175"/>
      <c r="V482" s="175"/>
      <c r="W482" s="175"/>
      <c r="X482" s="175"/>
      <c r="Y482" s="175"/>
      <c r="Z482" s="175"/>
      <c r="AA482" s="175"/>
      <c r="AB482" s="175"/>
      <c r="AC482" s="175"/>
    </row>
    <row r="483" spans="1:29" ht="12.75">
      <c r="A483" s="175"/>
      <c r="B483" s="175"/>
      <c r="C483" s="175"/>
      <c r="D483" s="175"/>
      <c r="E483" s="175"/>
      <c r="F483" s="175"/>
      <c r="G483" s="175"/>
      <c r="H483" s="175"/>
      <c r="I483" s="175"/>
      <c r="J483" s="175"/>
      <c r="K483" s="175"/>
      <c r="L483" s="175"/>
      <c r="M483" s="175"/>
      <c r="N483" s="175"/>
      <c r="O483" s="175"/>
      <c r="P483" s="175"/>
      <c r="Q483" s="175"/>
      <c r="R483" s="175"/>
      <c r="S483" s="175"/>
      <c r="T483" s="175"/>
      <c r="U483" s="175"/>
      <c r="V483" s="175"/>
      <c r="W483" s="175"/>
      <c r="X483" s="175"/>
      <c r="Y483" s="175"/>
      <c r="Z483" s="175"/>
      <c r="AA483" s="175"/>
      <c r="AB483" s="175"/>
      <c r="AC483" s="175"/>
    </row>
    <row r="484" spans="1:29" ht="12.75">
      <c r="A484" s="175"/>
      <c r="B484" s="175"/>
      <c r="C484" s="175"/>
      <c r="D484" s="175"/>
      <c r="E484" s="175"/>
      <c r="F484" s="175"/>
      <c r="G484" s="175"/>
      <c r="H484" s="175"/>
      <c r="I484" s="175"/>
      <c r="J484" s="175"/>
      <c r="K484" s="175"/>
      <c r="L484" s="175"/>
      <c r="M484" s="175"/>
      <c r="N484" s="175"/>
      <c r="O484" s="175"/>
      <c r="P484" s="175"/>
      <c r="Q484" s="175"/>
      <c r="R484" s="175"/>
      <c r="S484" s="175"/>
      <c r="T484" s="175"/>
      <c r="U484" s="175"/>
      <c r="V484" s="175"/>
      <c r="W484" s="175"/>
      <c r="X484" s="175"/>
      <c r="Y484" s="175"/>
      <c r="Z484" s="175"/>
      <c r="AA484" s="175"/>
      <c r="AB484" s="175"/>
      <c r="AC484" s="175"/>
    </row>
    <row r="485" spans="1:29" ht="12.75">
      <c r="A485" s="175"/>
      <c r="B485" s="175"/>
      <c r="C485" s="175"/>
      <c r="D485" s="175"/>
      <c r="E485" s="175"/>
      <c r="F485" s="175"/>
      <c r="G485" s="175"/>
      <c r="H485" s="175"/>
      <c r="I485" s="175"/>
      <c r="J485" s="175"/>
      <c r="K485" s="175"/>
      <c r="L485" s="175"/>
      <c r="M485" s="175"/>
      <c r="N485" s="175"/>
      <c r="O485" s="175"/>
      <c r="P485" s="175"/>
      <c r="Q485" s="175"/>
      <c r="R485" s="175"/>
      <c r="S485" s="175"/>
      <c r="T485" s="175"/>
      <c r="U485" s="175"/>
      <c r="V485" s="175"/>
      <c r="W485" s="175"/>
      <c r="X485" s="175"/>
      <c r="Y485" s="175"/>
      <c r="Z485" s="175"/>
      <c r="AA485" s="175"/>
      <c r="AB485" s="175"/>
      <c r="AC485" s="175"/>
    </row>
    <row r="486" spans="1:29" ht="12.75">
      <c r="A486" s="175"/>
      <c r="B486" s="175"/>
      <c r="C486" s="175"/>
      <c r="D486" s="175"/>
      <c r="E486" s="175"/>
      <c r="F486" s="175"/>
      <c r="G486" s="175"/>
      <c r="H486" s="175"/>
      <c r="I486" s="175"/>
      <c r="J486" s="175"/>
      <c r="K486" s="175"/>
      <c r="L486" s="175"/>
      <c r="M486" s="175"/>
      <c r="N486" s="175"/>
      <c r="O486" s="175"/>
      <c r="P486" s="175"/>
      <c r="Q486" s="175"/>
      <c r="R486" s="175"/>
      <c r="S486" s="175"/>
      <c r="T486" s="175"/>
      <c r="U486" s="175"/>
      <c r="V486" s="175"/>
      <c r="W486" s="175"/>
      <c r="X486" s="175"/>
      <c r="Y486" s="175"/>
      <c r="Z486" s="175"/>
      <c r="AA486" s="175"/>
      <c r="AB486" s="175"/>
      <c r="AC486" s="175"/>
    </row>
    <row r="487" spans="1:29" ht="12.75">
      <c r="A487" s="175"/>
      <c r="B487" s="175"/>
      <c r="C487" s="175"/>
      <c r="D487" s="175"/>
      <c r="E487" s="175"/>
      <c r="F487" s="175"/>
      <c r="G487" s="175"/>
      <c r="H487" s="175"/>
      <c r="I487" s="175"/>
      <c r="J487" s="175"/>
      <c r="K487" s="175"/>
      <c r="L487" s="175"/>
      <c r="M487" s="175"/>
      <c r="N487" s="175"/>
      <c r="O487" s="175"/>
      <c r="P487" s="175"/>
      <c r="Q487" s="175"/>
      <c r="R487" s="175"/>
      <c r="S487" s="175"/>
      <c r="T487" s="175"/>
      <c r="U487" s="175"/>
      <c r="V487" s="175"/>
      <c r="W487" s="175"/>
      <c r="X487" s="175"/>
      <c r="Y487" s="175"/>
      <c r="Z487" s="175"/>
      <c r="AA487" s="175"/>
      <c r="AB487" s="175"/>
      <c r="AC487" s="175"/>
    </row>
    <row r="488" spans="1:29" ht="12.75">
      <c r="A488" s="175"/>
      <c r="B488" s="175"/>
      <c r="C488" s="175"/>
      <c r="D488" s="175"/>
      <c r="E488" s="175"/>
      <c r="F488" s="175"/>
      <c r="G488" s="175"/>
      <c r="H488" s="175"/>
      <c r="I488" s="175"/>
      <c r="J488" s="175"/>
      <c r="K488" s="175"/>
      <c r="L488" s="175"/>
      <c r="M488" s="175"/>
      <c r="N488" s="175"/>
      <c r="O488" s="175"/>
      <c r="P488" s="175"/>
      <c r="Q488" s="175"/>
      <c r="R488" s="175"/>
      <c r="S488" s="175"/>
      <c r="T488" s="175"/>
      <c r="U488" s="175"/>
      <c r="V488" s="175"/>
      <c r="W488" s="175"/>
      <c r="X488" s="175"/>
      <c r="Y488" s="175"/>
      <c r="Z488" s="175"/>
      <c r="AA488" s="175"/>
      <c r="AB488" s="175"/>
      <c r="AC488" s="175"/>
    </row>
    <row r="489" spans="1:29" ht="12.75">
      <c r="A489" s="175"/>
      <c r="B489" s="175"/>
      <c r="C489" s="175"/>
      <c r="D489" s="175"/>
      <c r="E489" s="175"/>
      <c r="F489" s="175"/>
      <c r="G489" s="175"/>
      <c r="H489" s="175"/>
      <c r="I489" s="175"/>
      <c r="J489" s="175"/>
      <c r="K489" s="175"/>
      <c r="L489" s="175"/>
      <c r="M489" s="175"/>
      <c r="N489" s="175"/>
      <c r="O489" s="175"/>
      <c r="P489" s="175"/>
      <c r="Q489" s="175"/>
      <c r="R489" s="175"/>
      <c r="S489" s="175"/>
      <c r="T489" s="175"/>
      <c r="U489" s="175"/>
      <c r="V489" s="175"/>
      <c r="W489" s="175"/>
      <c r="X489" s="175"/>
      <c r="Y489" s="175"/>
      <c r="Z489" s="175"/>
      <c r="AA489" s="175"/>
      <c r="AB489" s="175"/>
      <c r="AC489" s="175"/>
    </row>
    <row r="490" spans="1:29" ht="12.75">
      <c r="A490" s="175"/>
      <c r="B490" s="175"/>
      <c r="C490" s="175"/>
      <c r="D490" s="175"/>
      <c r="E490" s="175"/>
      <c r="F490" s="175"/>
      <c r="G490" s="175"/>
      <c r="H490" s="175"/>
      <c r="I490" s="175"/>
      <c r="J490" s="175"/>
      <c r="K490" s="175"/>
      <c r="L490" s="175"/>
      <c r="M490" s="175"/>
      <c r="N490" s="175"/>
      <c r="O490" s="175"/>
      <c r="P490" s="175"/>
      <c r="Q490" s="175"/>
      <c r="R490" s="175"/>
      <c r="S490" s="175"/>
      <c r="T490" s="175"/>
      <c r="U490" s="175"/>
      <c r="V490" s="175"/>
      <c r="W490" s="175"/>
      <c r="X490" s="175"/>
      <c r="Y490" s="175"/>
      <c r="Z490" s="175"/>
      <c r="AA490" s="175"/>
      <c r="AB490" s="175"/>
      <c r="AC490" s="175"/>
    </row>
    <row r="491" spans="1:29" ht="12.75">
      <c r="A491" s="175"/>
      <c r="B491" s="175"/>
      <c r="C491" s="175"/>
      <c r="D491" s="175"/>
      <c r="E491" s="175"/>
      <c r="F491" s="175"/>
      <c r="G491" s="175"/>
      <c r="H491" s="175"/>
      <c r="I491" s="175"/>
      <c r="J491" s="175"/>
      <c r="K491" s="175"/>
      <c r="L491" s="175"/>
      <c r="M491" s="175"/>
      <c r="N491" s="175"/>
      <c r="O491" s="175"/>
      <c r="P491" s="175"/>
      <c r="Q491" s="175"/>
      <c r="R491" s="175"/>
      <c r="S491" s="175"/>
      <c r="T491" s="175"/>
      <c r="U491" s="175"/>
      <c r="V491" s="175"/>
      <c r="W491" s="175"/>
      <c r="X491" s="175"/>
      <c r="Y491" s="175"/>
      <c r="Z491" s="175"/>
      <c r="AA491" s="175"/>
      <c r="AB491" s="175"/>
      <c r="AC491" s="175"/>
    </row>
    <row r="492" spans="1:29" ht="12.75">
      <c r="A492" s="175"/>
      <c r="B492" s="175"/>
      <c r="C492" s="175"/>
      <c r="D492" s="175"/>
      <c r="E492" s="175"/>
      <c r="F492" s="175"/>
      <c r="G492" s="175"/>
      <c r="H492" s="175"/>
      <c r="I492" s="175"/>
      <c r="J492" s="175"/>
      <c r="K492" s="175"/>
      <c r="L492" s="175"/>
      <c r="M492" s="175"/>
      <c r="N492" s="175"/>
      <c r="O492" s="175"/>
      <c r="P492" s="175"/>
      <c r="Q492" s="175"/>
      <c r="R492" s="175"/>
      <c r="S492" s="175"/>
      <c r="T492" s="175"/>
      <c r="U492" s="175"/>
      <c r="V492" s="175"/>
      <c r="W492" s="175"/>
      <c r="X492" s="175"/>
      <c r="Y492" s="175"/>
      <c r="Z492" s="175"/>
      <c r="AA492" s="175"/>
      <c r="AB492" s="175"/>
      <c r="AC492" s="175"/>
    </row>
    <row r="493" spans="1:29" ht="12.75">
      <c r="A493" s="175"/>
      <c r="B493" s="175"/>
      <c r="C493" s="175"/>
      <c r="D493" s="175"/>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c r="AA493" s="175"/>
      <c r="AB493" s="175"/>
      <c r="AC493" s="175"/>
    </row>
    <row r="494" spans="1:29" ht="12.75">
      <c r="A494" s="175"/>
      <c r="B494" s="175"/>
      <c r="C494" s="175"/>
      <c r="D494" s="175"/>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c r="AA494" s="175"/>
      <c r="AB494" s="175"/>
      <c r="AC494" s="175"/>
    </row>
    <row r="495" spans="1:29" ht="12.75">
      <c r="A495" s="175"/>
      <c r="B495" s="175"/>
      <c r="C495" s="175"/>
      <c r="D495" s="175"/>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c r="AA495" s="175"/>
      <c r="AB495" s="175"/>
      <c r="AC495" s="175"/>
    </row>
    <row r="496" spans="1:29" ht="12.75">
      <c r="A496" s="175"/>
      <c r="B496" s="175"/>
      <c r="C496" s="175"/>
      <c r="D496" s="175"/>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c r="AA496" s="175"/>
      <c r="AB496" s="175"/>
      <c r="AC496" s="175"/>
    </row>
    <row r="497" spans="1:29" ht="12.75">
      <c r="A497" s="175"/>
      <c r="B497" s="175"/>
      <c r="C497" s="175"/>
      <c r="D497" s="175"/>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c r="AA497" s="175"/>
      <c r="AB497" s="175"/>
      <c r="AC497" s="175"/>
    </row>
    <row r="498" spans="1:29" ht="12.75">
      <c r="A498" s="175"/>
      <c r="B498" s="175"/>
      <c r="C498" s="175"/>
      <c r="D498" s="175"/>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c r="AA498" s="175"/>
      <c r="AB498" s="175"/>
      <c r="AC498" s="175"/>
    </row>
    <row r="499" spans="1:29" ht="12.75">
      <c r="A499" s="175"/>
      <c r="B499" s="175"/>
      <c r="C499" s="175"/>
      <c r="D499" s="175"/>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c r="AA499" s="175"/>
      <c r="AB499" s="175"/>
      <c r="AC499" s="175"/>
    </row>
    <row r="500" spans="1:29" ht="12.75">
      <c r="A500" s="175"/>
      <c r="B500" s="175"/>
      <c r="C500" s="175"/>
      <c r="D500" s="175"/>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c r="AA500" s="175"/>
      <c r="AB500" s="175"/>
      <c r="AC500" s="175"/>
    </row>
    <row r="501" spans="1:29" ht="12.75">
      <c r="A501" s="175"/>
      <c r="B501" s="175"/>
      <c r="C501" s="175"/>
      <c r="D501" s="175"/>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c r="AA501" s="175"/>
      <c r="AB501" s="175"/>
      <c r="AC501" s="175"/>
    </row>
    <row r="502" spans="1:29" ht="12.75">
      <c r="A502" s="175"/>
      <c r="B502" s="175"/>
      <c r="C502" s="175"/>
      <c r="D502" s="175"/>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c r="AA502" s="175"/>
      <c r="AB502" s="175"/>
      <c r="AC502" s="175"/>
    </row>
    <row r="503" spans="1:29" ht="12.75">
      <c r="A503" s="175"/>
      <c r="B503" s="175"/>
      <c r="C503" s="175"/>
      <c r="D503" s="175"/>
      <c r="E503" s="175"/>
      <c r="F503" s="175"/>
      <c r="G503" s="175"/>
      <c r="H503" s="175"/>
      <c r="I503" s="175"/>
      <c r="J503" s="175"/>
      <c r="K503" s="175"/>
      <c r="L503" s="175"/>
      <c r="M503" s="175"/>
      <c r="N503" s="175"/>
      <c r="O503" s="175"/>
      <c r="P503" s="175"/>
      <c r="Q503" s="175"/>
      <c r="R503" s="175"/>
      <c r="S503" s="175"/>
      <c r="T503" s="175"/>
      <c r="U503" s="175"/>
      <c r="V503" s="175"/>
      <c r="W503" s="175"/>
      <c r="X503" s="175"/>
      <c r="Y503" s="175"/>
      <c r="Z503" s="175"/>
      <c r="AA503" s="175"/>
      <c r="AB503" s="175"/>
      <c r="AC503" s="175"/>
    </row>
    <row r="504" spans="1:29" ht="12.75">
      <c r="A504" s="175"/>
      <c r="B504" s="175"/>
      <c r="C504" s="175"/>
      <c r="D504" s="175"/>
      <c r="E504" s="175"/>
      <c r="F504" s="175"/>
      <c r="G504" s="175"/>
      <c r="H504" s="175"/>
      <c r="I504" s="175"/>
      <c r="J504" s="175"/>
      <c r="K504" s="175"/>
      <c r="L504" s="175"/>
      <c r="M504" s="175"/>
      <c r="N504" s="175"/>
      <c r="O504" s="175"/>
      <c r="P504" s="175"/>
      <c r="Q504" s="175"/>
      <c r="R504" s="175"/>
      <c r="S504" s="175"/>
      <c r="T504" s="175"/>
      <c r="U504" s="175"/>
      <c r="V504" s="175"/>
      <c r="W504" s="175"/>
      <c r="X504" s="175"/>
      <c r="Y504" s="175"/>
      <c r="Z504" s="175"/>
      <c r="AA504" s="175"/>
      <c r="AB504" s="175"/>
      <c r="AC504" s="175"/>
    </row>
    <row r="505" spans="1:29" ht="12.75">
      <c r="A505" s="175"/>
      <c r="B505" s="175"/>
      <c r="C505" s="175"/>
      <c r="D505" s="175"/>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c r="AA505" s="175"/>
      <c r="AB505" s="175"/>
      <c r="AC505" s="175"/>
    </row>
    <row r="506" spans="1:29" ht="12.75">
      <c r="A506" s="175"/>
      <c r="B506" s="175"/>
      <c r="C506" s="175"/>
      <c r="D506" s="175"/>
      <c r="E506" s="175"/>
      <c r="F506" s="175"/>
      <c r="G506" s="175"/>
      <c r="H506" s="175"/>
      <c r="I506" s="175"/>
      <c r="J506" s="175"/>
      <c r="K506" s="175"/>
      <c r="L506" s="175"/>
      <c r="M506" s="175"/>
      <c r="N506" s="175"/>
      <c r="O506" s="175"/>
      <c r="P506" s="175"/>
      <c r="Q506" s="175"/>
      <c r="R506" s="175"/>
      <c r="S506" s="175"/>
      <c r="T506" s="175"/>
      <c r="U506" s="175"/>
      <c r="V506" s="175"/>
      <c r="W506" s="175"/>
      <c r="X506" s="175"/>
      <c r="Y506" s="175"/>
      <c r="Z506" s="175"/>
      <c r="AA506" s="175"/>
      <c r="AB506" s="175"/>
      <c r="AC506" s="175"/>
    </row>
    <row r="507" spans="1:29" ht="12.75">
      <c r="A507" s="175"/>
      <c r="B507" s="175"/>
      <c r="C507" s="175"/>
      <c r="D507" s="175"/>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c r="AA507" s="175"/>
      <c r="AB507" s="175"/>
      <c r="AC507" s="175"/>
    </row>
    <row r="508" spans="1:29" ht="12.75">
      <c r="A508" s="175"/>
      <c r="B508" s="175"/>
      <c r="C508" s="175"/>
      <c r="D508" s="175"/>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c r="AA508" s="175"/>
      <c r="AB508" s="175"/>
      <c r="AC508" s="175"/>
    </row>
    <row r="509" spans="1:29" ht="12.75">
      <c r="A509" s="175"/>
      <c r="B509" s="175"/>
      <c r="C509" s="175"/>
      <c r="D509" s="175"/>
      <c r="E509" s="175"/>
      <c r="F509" s="175"/>
      <c r="G509" s="175"/>
      <c r="H509" s="175"/>
      <c r="I509" s="175"/>
      <c r="J509" s="175"/>
      <c r="K509" s="175"/>
      <c r="L509" s="175"/>
      <c r="M509" s="175"/>
      <c r="N509" s="175"/>
      <c r="O509" s="175"/>
      <c r="P509" s="175"/>
      <c r="Q509" s="175"/>
      <c r="R509" s="175"/>
      <c r="S509" s="175"/>
      <c r="T509" s="175"/>
      <c r="U509" s="175"/>
      <c r="V509" s="175"/>
      <c r="W509" s="175"/>
      <c r="X509" s="175"/>
      <c r="Y509" s="175"/>
      <c r="Z509" s="175"/>
      <c r="AA509" s="175"/>
      <c r="AB509" s="175"/>
      <c r="AC509" s="175"/>
    </row>
    <row r="510" spans="1:29" ht="12.75">
      <c r="A510" s="175"/>
      <c r="B510" s="175"/>
      <c r="C510" s="175"/>
      <c r="D510" s="175"/>
      <c r="E510" s="175"/>
      <c r="F510" s="175"/>
      <c r="G510" s="175"/>
      <c r="H510" s="175"/>
      <c r="I510" s="175"/>
      <c r="J510" s="175"/>
      <c r="K510" s="175"/>
      <c r="L510" s="175"/>
      <c r="M510" s="175"/>
      <c r="N510" s="175"/>
      <c r="O510" s="175"/>
      <c r="P510" s="175"/>
      <c r="Q510" s="175"/>
      <c r="R510" s="175"/>
      <c r="S510" s="175"/>
      <c r="T510" s="175"/>
      <c r="U510" s="175"/>
      <c r="V510" s="175"/>
      <c r="W510" s="175"/>
      <c r="X510" s="175"/>
      <c r="Y510" s="175"/>
      <c r="Z510" s="175"/>
      <c r="AA510" s="175"/>
      <c r="AB510" s="175"/>
      <c r="AC510" s="175"/>
    </row>
    <row r="511" spans="1:29" ht="12.75">
      <c r="A511" s="175"/>
      <c r="B511" s="175"/>
      <c r="C511" s="175"/>
      <c r="D511" s="175"/>
      <c r="E511" s="175"/>
      <c r="F511" s="175"/>
      <c r="G511" s="175"/>
      <c r="H511" s="175"/>
      <c r="I511" s="175"/>
      <c r="J511" s="175"/>
      <c r="K511" s="175"/>
      <c r="L511" s="175"/>
      <c r="M511" s="175"/>
      <c r="N511" s="175"/>
      <c r="O511" s="175"/>
      <c r="P511" s="175"/>
      <c r="Q511" s="175"/>
      <c r="R511" s="175"/>
      <c r="S511" s="175"/>
      <c r="T511" s="175"/>
      <c r="U511" s="175"/>
      <c r="V511" s="175"/>
      <c r="W511" s="175"/>
      <c r="X511" s="175"/>
      <c r="Y511" s="175"/>
      <c r="Z511" s="175"/>
      <c r="AA511" s="175"/>
      <c r="AB511" s="175"/>
      <c r="AC511" s="175"/>
    </row>
    <row r="512" spans="1:29" ht="12.75">
      <c r="A512" s="175"/>
      <c r="B512" s="175"/>
      <c r="C512" s="175"/>
      <c r="D512" s="175"/>
      <c r="E512" s="175"/>
      <c r="F512" s="175"/>
      <c r="G512" s="175"/>
      <c r="H512" s="175"/>
      <c r="I512" s="175"/>
      <c r="J512" s="175"/>
      <c r="K512" s="175"/>
      <c r="L512" s="175"/>
      <c r="M512" s="175"/>
      <c r="N512" s="175"/>
      <c r="O512" s="175"/>
      <c r="P512" s="175"/>
      <c r="Q512" s="175"/>
      <c r="R512" s="175"/>
      <c r="S512" s="175"/>
      <c r="T512" s="175"/>
      <c r="U512" s="175"/>
      <c r="V512" s="175"/>
      <c r="W512" s="175"/>
      <c r="X512" s="175"/>
      <c r="Y512" s="175"/>
      <c r="Z512" s="175"/>
      <c r="AA512" s="175"/>
      <c r="AB512" s="175"/>
      <c r="AC512" s="175"/>
    </row>
    <row r="513" spans="1:29" ht="12.75">
      <c r="A513" s="175"/>
      <c r="B513" s="175"/>
      <c r="C513" s="175"/>
      <c r="D513" s="175"/>
      <c r="E513" s="175"/>
      <c r="F513" s="175"/>
      <c r="G513" s="175"/>
      <c r="H513" s="175"/>
      <c r="I513" s="175"/>
      <c r="J513" s="175"/>
      <c r="K513" s="175"/>
      <c r="L513" s="175"/>
      <c r="M513" s="175"/>
      <c r="N513" s="175"/>
      <c r="O513" s="175"/>
      <c r="P513" s="175"/>
      <c r="Q513" s="175"/>
      <c r="R513" s="175"/>
      <c r="S513" s="175"/>
      <c r="T513" s="175"/>
      <c r="U513" s="175"/>
      <c r="V513" s="175"/>
      <c r="W513" s="175"/>
      <c r="X513" s="175"/>
      <c r="Y513" s="175"/>
      <c r="Z513" s="175"/>
      <c r="AA513" s="175"/>
      <c r="AB513" s="175"/>
      <c r="AC513" s="175"/>
    </row>
    <row r="514" spans="1:29" ht="12.75">
      <c r="A514" s="175"/>
      <c r="B514" s="175"/>
      <c r="C514" s="175"/>
      <c r="D514" s="175"/>
      <c r="E514" s="175"/>
      <c r="F514" s="175"/>
      <c r="G514" s="175"/>
      <c r="H514" s="175"/>
      <c r="I514" s="175"/>
      <c r="J514" s="175"/>
      <c r="K514" s="175"/>
      <c r="L514" s="175"/>
      <c r="M514" s="175"/>
      <c r="N514" s="175"/>
      <c r="O514" s="175"/>
      <c r="P514" s="175"/>
      <c r="Q514" s="175"/>
      <c r="R514" s="175"/>
      <c r="S514" s="175"/>
      <c r="T514" s="175"/>
      <c r="U514" s="175"/>
      <c r="V514" s="175"/>
      <c r="W514" s="175"/>
      <c r="X514" s="175"/>
      <c r="Y514" s="175"/>
      <c r="Z514" s="175"/>
      <c r="AA514" s="175"/>
      <c r="AB514" s="175"/>
      <c r="AC514" s="175"/>
    </row>
    <row r="515" spans="1:29" ht="12.75">
      <c r="A515" s="175"/>
      <c r="B515" s="175"/>
      <c r="C515" s="175"/>
      <c r="D515" s="175"/>
      <c r="E515" s="175"/>
      <c r="F515" s="175"/>
      <c r="G515" s="175"/>
      <c r="H515" s="175"/>
      <c r="I515" s="175"/>
      <c r="J515" s="175"/>
      <c r="K515" s="175"/>
      <c r="L515" s="175"/>
      <c r="M515" s="175"/>
      <c r="N515" s="175"/>
      <c r="O515" s="175"/>
      <c r="P515" s="175"/>
      <c r="Q515" s="175"/>
      <c r="R515" s="175"/>
      <c r="S515" s="175"/>
      <c r="T515" s="175"/>
      <c r="U515" s="175"/>
      <c r="V515" s="175"/>
      <c r="W515" s="175"/>
      <c r="X515" s="175"/>
      <c r="Y515" s="175"/>
      <c r="Z515" s="175"/>
      <c r="AA515" s="175"/>
      <c r="AB515" s="175"/>
      <c r="AC515" s="175"/>
    </row>
    <row r="516" spans="1:29" ht="12.75">
      <c r="A516" s="175"/>
      <c r="B516" s="175"/>
      <c r="C516" s="175"/>
      <c r="D516" s="175"/>
      <c r="E516" s="175"/>
      <c r="F516" s="175"/>
      <c r="G516" s="175"/>
      <c r="H516" s="175"/>
      <c r="I516" s="175"/>
      <c r="J516" s="175"/>
      <c r="K516" s="175"/>
      <c r="L516" s="175"/>
      <c r="M516" s="175"/>
      <c r="N516" s="175"/>
      <c r="O516" s="175"/>
      <c r="P516" s="175"/>
      <c r="Q516" s="175"/>
      <c r="R516" s="175"/>
      <c r="S516" s="175"/>
      <c r="T516" s="175"/>
      <c r="U516" s="175"/>
      <c r="V516" s="175"/>
      <c r="W516" s="175"/>
      <c r="X516" s="175"/>
      <c r="Y516" s="175"/>
      <c r="Z516" s="175"/>
      <c r="AA516" s="175"/>
      <c r="AB516" s="175"/>
      <c r="AC516" s="175"/>
    </row>
    <row r="517" spans="1:29" ht="12.75">
      <c r="A517" s="175"/>
      <c r="B517" s="175"/>
      <c r="C517" s="175"/>
      <c r="D517" s="175"/>
      <c r="E517" s="175"/>
      <c r="F517" s="175"/>
      <c r="G517" s="175"/>
      <c r="H517" s="175"/>
      <c r="I517" s="175"/>
      <c r="J517" s="175"/>
      <c r="K517" s="175"/>
      <c r="L517" s="175"/>
      <c r="M517" s="175"/>
      <c r="N517" s="175"/>
      <c r="O517" s="175"/>
      <c r="P517" s="175"/>
      <c r="Q517" s="175"/>
      <c r="R517" s="175"/>
      <c r="S517" s="175"/>
      <c r="T517" s="175"/>
      <c r="U517" s="175"/>
      <c r="V517" s="175"/>
      <c r="W517" s="175"/>
      <c r="X517" s="175"/>
      <c r="Y517" s="175"/>
      <c r="Z517" s="175"/>
      <c r="AA517" s="175"/>
      <c r="AB517" s="175"/>
      <c r="AC517" s="175"/>
    </row>
    <row r="518" spans="1:29" ht="12.75">
      <c r="A518" s="175"/>
      <c r="B518" s="175"/>
      <c r="C518" s="175"/>
      <c r="D518" s="175"/>
      <c r="E518" s="175"/>
      <c r="F518" s="175"/>
      <c r="G518" s="175"/>
      <c r="H518" s="175"/>
      <c r="I518" s="175"/>
      <c r="J518" s="175"/>
      <c r="K518" s="175"/>
      <c r="L518" s="175"/>
      <c r="M518" s="175"/>
      <c r="N518" s="175"/>
      <c r="O518" s="175"/>
      <c r="P518" s="175"/>
      <c r="Q518" s="175"/>
      <c r="R518" s="175"/>
      <c r="S518" s="175"/>
      <c r="T518" s="175"/>
      <c r="U518" s="175"/>
      <c r="V518" s="175"/>
      <c r="W518" s="175"/>
      <c r="X518" s="175"/>
      <c r="Y518" s="175"/>
      <c r="Z518" s="175"/>
      <c r="AA518" s="175"/>
      <c r="AB518" s="175"/>
      <c r="AC518" s="175"/>
    </row>
    <row r="519" spans="1:29" ht="12.75">
      <c r="A519" s="175"/>
      <c r="B519" s="175"/>
      <c r="C519" s="175"/>
      <c r="D519" s="175"/>
      <c r="E519" s="175"/>
      <c r="F519" s="175"/>
      <c r="G519" s="175"/>
      <c r="H519" s="175"/>
      <c r="I519" s="175"/>
      <c r="J519" s="175"/>
      <c r="K519" s="175"/>
      <c r="L519" s="175"/>
      <c r="M519" s="175"/>
      <c r="N519" s="175"/>
      <c r="O519" s="175"/>
      <c r="P519" s="175"/>
      <c r="Q519" s="175"/>
      <c r="R519" s="175"/>
      <c r="S519" s="175"/>
      <c r="T519" s="175"/>
      <c r="U519" s="175"/>
      <c r="V519" s="175"/>
      <c r="W519" s="175"/>
      <c r="X519" s="175"/>
      <c r="Y519" s="175"/>
      <c r="Z519" s="175"/>
      <c r="AA519" s="175"/>
      <c r="AB519" s="175"/>
      <c r="AC519" s="175"/>
    </row>
    <row r="520" spans="1:29" ht="12.75">
      <c r="A520" s="175"/>
      <c r="B520" s="175"/>
      <c r="C520" s="175"/>
      <c r="D520" s="175"/>
      <c r="E520" s="175"/>
      <c r="F520" s="175"/>
      <c r="G520" s="175"/>
      <c r="H520" s="175"/>
      <c r="I520" s="175"/>
      <c r="J520" s="175"/>
      <c r="K520" s="175"/>
      <c r="L520" s="175"/>
      <c r="M520" s="175"/>
      <c r="N520" s="175"/>
      <c r="O520" s="175"/>
      <c r="P520" s="175"/>
      <c r="Q520" s="175"/>
      <c r="R520" s="175"/>
      <c r="S520" s="175"/>
      <c r="T520" s="175"/>
      <c r="U520" s="175"/>
      <c r="V520" s="175"/>
      <c r="W520" s="175"/>
      <c r="X520" s="175"/>
      <c r="Y520" s="175"/>
      <c r="Z520" s="175"/>
      <c r="AA520" s="175"/>
      <c r="AB520" s="175"/>
      <c r="AC520" s="175"/>
    </row>
    <row r="521" spans="1:29" ht="12.75">
      <c r="A521" s="175"/>
      <c r="B521" s="175"/>
      <c r="C521" s="175"/>
      <c r="D521" s="175"/>
      <c r="E521" s="175"/>
      <c r="F521" s="175"/>
      <c r="G521" s="175"/>
      <c r="H521" s="175"/>
      <c r="I521" s="175"/>
      <c r="J521" s="175"/>
      <c r="K521" s="175"/>
      <c r="L521" s="175"/>
      <c r="M521" s="175"/>
      <c r="N521" s="175"/>
      <c r="O521" s="175"/>
      <c r="P521" s="175"/>
      <c r="Q521" s="175"/>
      <c r="R521" s="175"/>
      <c r="S521" s="175"/>
      <c r="T521" s="175"/>
      <c r="U521" s="175"/>
      <c r="V521" s="175"/>
      <c r="W521" s="175"/>
      <c r="X521" s="175"/>
      <c r="Y521" s="175"/>
      <c r="Z521" s="175"/>
      <c r="AA521" s="175"/>
      <c r="AB521" s="175"/>
      <c r="AC521" s="175"/>
    </row>
    <row r="522" spans="1:29" ht="12.75">
      <c r="A522" s="175"/>
      <c r="B522" s="175"/>
      <c r="C522" s="175"/>
      <c r="D522" s="175"/>
      <c r="E522" s="175"/>
      <c r="F522" s="175"/>
      <c r="G522" s="175"/>
      <c r="H522" s="175"/>
      <c r="I522" s="175"/>
      <c r="J522" s="175"/>
      <c r="K522" s="175"/>
      <c r="L522" s="175"/>
      <c r="M522" s="175"/>
      <c r="N522" s="175"/>
      <c r="O522" s="175"/>
      <c r="P522" s="175"/>
      <c r="Q522" s="175"/>
      <c r="R522" s="175"/>
      <c r="S522" s="175"/>
      <c r="T522" s="175"/>
      <c r="U522" s="175"/>
      <c r="V522" s="175"/>
      <c r="W522" s="175"/>
      <c r="X522" s="175"/>
      <c r="Y522" s="175"/>
      <c r="Z522" s="175"/>
      <c r="AA522" s="175"/>
      <c r="AB522" s="175"/>
      <c r="AC522" s="175"/>
    </row>
    <row r="523" spans="1:29" ht="12.75">
      <c r="A523" s="175"/>
      <c r="B523" s="175"/>
      <c r="C523" s="175"/>
      <c r="D523" s="175"/>
      <c r="E523" s="175"/>
      <c r="F523" s="175"/>
      <c r="G523" s="175"/>
      <c r="H523" s="175"/>
      <c r="I523" s="175"/>
      <c r="J523" s="175"/>
      <c r="K523" s="175"/>
      <c r="L523" s="175"/>
      <c r="M523" s="175"/>
      <c r="N523" s="175"/>
      <c r="O523" s="175"/>
      <c r="P523" s="175"/>
      <c r="Q523" s="175"/>
      <c r="R523" s="175"/>
      <c r="S523" s="175"/>
      <c r="T523" s="175"/>
      <c r="U523" s="175"/>
      <c r="V523" s="175"/>
      <c r="W523" s="175"/>
      <c r="X523" s="175"/>
      <c r="Y523" s="175"/>
      <c r="Z523" s="175"/>
      <c r="AA523" s="175"/>
      <c r="AB523" s="175"/>
      <c r="AC523" s="175"/>
    </row>
    <row r="524" spans="1:29" ht="12.75">
      <c r="A524" s="175"/>
      <c r="B524" s="175"/>
      <c r="C524" s="175"/>
      <c r="D524" s="175"/>
      <c r="E524" s="175"/>
      <c r="F524" s="175"/>
      <c r="G524" s="175"/>
      <c r="H524" s="175"/>
      <c r="I524" s="175"/>
      <c r="J524" s="175"/>
      <c r="K524" s="175"/>
      <c r="L524" s="175"/>
      <c r="M524" s="175"/>
      <c r="N524" s="175"/>
      <c r="O524" s="175"/>
      <c r="P524" s="175"/>
      <c r="Q524" s="175"/>
      <c r="R524" s="175"/>
      <c r="S524" s="175"/>
      <c r="T524" s="175"/>
      <c r="U524" s="175"/>
      <c r="V524" s="175"/>
      <c r="W524" s="175"/>
      <c r="X524" s="175"/>
      <c r="Y524" s="175"/>
      <c r="Z524" s="175"/>
      <c r="AA524" s="175"/>
      <c r="AB524" s="175"/>
      <c r="AC524" s="175"/>
    </row>
    <row r="525" spans="1:29" ht="12.75">
      <c r="A525" s="175"/>
      <c r="B525" s="175"/>
      <c r="C525" s="175"/>
      <c r="D525" s="175"/>
      <c r="E525" s="175"/>
      <c r="F525" s="175"/>
      <c r="G525" s="175"/>
      <c r="H525" s="175"/>
      <c r="I525" s="175"/>
      <c r="J525" s="175"/>
      <c r="K525" s="175"/>
      <c r="L525" s="175"/>
      <c r="M525" s="175"/>
      <c r="N525" s="175"/>
      <c r="O525" s="175"/>
      <c r="P525" s="175"/>
      <c r="Q525" s="175"/>
      <c r="R525" s="175"/>
      <c r="S525" s="175"/>
      <c r="T525" s="175"/>
      <c r="U525" s="175"/>
      <c r="V525" s="175"/>
      <c r="W525" s="175"/>
      <c r="X525" s="175"/>
      <c r="Y525" s="175"/>
      <c r="Z525" s="175"/>
      <c r="AA525" s="175"/>
      <c r="AB525" s="175"/>
      <c r="AC525" s="175"/>
    </row>
    <row r="526" spans="1:29" ht="12.75">
      <c r="A526" s="175"/>
      <c r="B526" s="175"/>
      <c r="C526" s="175"/>
      <c r="D526" s="175"/>
      <c r="E526" s="175"/>
      <c r="F526" s="175"/>
      <c r="G526" s="175"/>
      <c r="H526" s="175"/>
      <c r="I526" s="175"/>
      <c r="J526" s="175"/>
      <c r="K526" s="175"/>
      <c r="L526" s="175"/>
      <c r="M526" s="175"/>
      <c r="N526" s="175"/>
      <c r="O526" s="175"/>
      <c r="P526" s="175"/>
      <c r="Q526" s="175"/>
      <c r="R526" s="175"/>
      <c r="S526" s="175"/>
      <c r="T526" s="175"/>
      <c r="U526" s="175"/>
      <c r="V526" s="175"/>
      <c r="W526" s="175"/>
      <c r="X526" s="175"/>
      <c r="Y526" s="175"/>
      <c r="Z526" s="175"/>
      <c r="AA526" s="175"/>
      <c r="AB526" s="175"/>
      <c r="AC526" s="175"/>
    </row>
    <row r="527" spans="1:29" ht="12.75">
      <c r="A527" s="175"/>
      <c r="B527" s="175"/>
      <c r="C527" s="175"/>
      <c r="D527" s="175"/>
      <c r="E527" s="175"/>
      <c r="F527" s="175"/>
      <c r="G527" s="175"/>
      <c r="H527" s="175"/>
      <c r="I527" s="175"/>
      <c r="J527" s="175"/>
      <c r="K527" s="175"/>
      <c r="L527" s="175"/>
      <c r="M527" s="175"/>
      <c r="N527" s="175"/>
      <c r="O527" s="175"/>
      <c r="P527" s="175"/>
      <c r="Q527" s="175"/>
      <c r="R527" s="175"/>
      <c r="S527" s="175"/>
      <c r="T527" s="175"/>
      <c r="U527" s="175"/>
      <c r="V527" s="175"/>
      <c r="W527" s="175"/>
      <c r="X527" s="175"/>
      <c r="Y527" s="175"/>
      <c r="Z527" s="175"/>
      <c r="AA527" s="175"/>
      <c r="AB527" s="175"/>
      <c r="AC527" s="175"/>
    </row>
    <row r="528" spans="1:29" ht="12.75">
      <c r="A528" s="175"/>
      <c r="B528" s="175"/>
      <c r="C528" s="175"/>
      <c r="D528" s="175"/>
      <c r="E528" s="175"/>
      <c r="F528" s="175"/>
      <c r="G528" s="175"/>
      <c r="H528" s="175"/>
      <c r="I528" s="175"/>
      <c r="J528" s="175"/>
      <c r="K528" s="175"/>
      <c r="L528" s="175"/>
      <c r="M528" s="175"/>
      <c r="N528" s="175"/>
      <c r="O528" s="175"/>
      <c r="P528" s="175"/>
      <c r="Q528" s="175"/>
      <c r="R528" s="175"/>
      <c r="S528" s="175"/>
      <c r="T528" s="175"/>
      <c r="U528" s="175"/>
      <c r="V528" s="175"/>
      <c r="W528" s="175"/>
      <c r="X528" s="175"/>
      <c r="Y528" s="175"/>
      <c r="Z528" s="175"/>
      <c r="AA528" s="175"/>
      <c r="AB528" s="175"/>
      <c r="AC528" s="175"/>
    </row>
    <row r="529" spans="1:29" ht="12.75">
      <c r="A529" s="175"/>
      <c r="B529" s="175"/>
      <c r="C529" s="175"/>
      <c r="D529" s="175"/>
      <c r="E529" s="175"/>
      <c r="F529" s="175"/>
      <c r="G529" s="175"/>
      <c r="H529" s="175"/>
      <c r="I529" s="175"/>
      <c r="J529" s="175"/>
      <c r="K529" s="175"/>
      <c r="L529" s="175"/>
      <c r="M529" s="175"/>
      <c r="N529" s="175"/>
      <c r="O529" s="175"/>
      <c r="P529" s="175"/>
      <c r="Q529" s="175"/>
      <c r="R529" s="175"/>
      <c r="S529" s="175"/>
      <c r="T529" s="175"/>
      <c r="U529" s="175"/>
      <c r="V529" s="175"/>
      <c r="W529" s="175"/>
      <c r="X529" s="175"/>
      <c r="Y529" s="175"/>
      <c r="Z529" s="175"/>
      <c r="AA529" s="175"/>
      <c r="AB529" s="175"/>
      <c r="AC529" s="175"/>
    </row>
    <row r="530" spans="1:29" ht="12.75">
      <c r="A530" s="175"/>
      <c r="B530" s="175"/>
      <c r="C530" s="175"/>
      <c r="D530" s="175"/>
      <c r="E530" s="175"/>
      <c r="F530" s="175"/>
      <c r="G530" s="175"/>
      <c r="H530" s="175"/>
      <c r="I530" s="175"/>
      <c r="J530" s="175"/>
      <c r="K530" s="175"/>
      <c r="L530" s="175"/>
      <c r="M530" s="175"/>
      <c r="N530" s="175"/>
      <c r="O530" s="175"/>
      <c r="P530" s="175"/>
      <c r="Q530" s="175"/>
      <c r="R530" s="175"/>
      <c r="S530" s="175"/>
      <c r="T530" s="175"/>
      <c r="U530" s="175"/>
      <c r="V530" s="175"/>
      <c r="W530" s="175"/>
      <c r="X530" s="175"/>
      <c r="Y530" s="175"/>
      <c r="Z530" s="175"/>
      <c r="AA530" s="175"/>
      <c r="AB530" s="175"/>
      <c r="AC530" s="175"/>
    </row>
    <row r="531" spans="1:29" ht="12.75">
      <c r="A531" s="175"/>
      <c r="B531" s="175"/>
      <c r="C531" s="175"/>
      <c r="D531" s="175"/>
      <c r="E531" s="175"/>
      <c r="F531" s="175"/>
      <c r="G531" s="175"/>
      <c r="H531" s="175"/>
      <c r="I531" s="175"/>
      <c r="J531" s="175"/>
      <c r="K531" s="175"/>
      <c r="L531" s="175"/>
      <c r="M531" s="175"/>
      <c r="N531" s="175"/>
      <c r="O531" s="175"/>
      <c r="P531" s="175"/>
      <c r="Q531" s="175"/>
      <c r="R531" s="175"/>
      <c r="S531" s="175"/>
      <c r="T531" s="175"/>
      <c r="U531" s="175"/>
      <c r="V531" s="175"/>
      <c r="W531" s="175"/>
      <c r="X531" s="175"/>
      <c r="Y531" s="175"/>
      <c r="Z531" s="175"/>
      <c r="AA531" s="175"/>
      <c r="AB531" s="175"/>
      <c r="AC531" s="175"/>
    </row>
    <row r="532" spans="1:29" ht="12.75">
      <c r="A532" s="175"/>
      <c r="B532" s="175"/>
      <c r="C532" s="175"/>
      <c r="D532" s="175"/>
      <c r="E532" s="175"/>
      <c r="F532" s="175"/>
      <c r="G532" s="175"/>
      <c r="H532" s="175"/>
      <c r="I532" s="175"/>
      <c r="J532" s="175"/>
      <c r="K532" s="175"/>
      <c r="L532" s="175"/>
      <c r="M532" s="175"/>
      <c r="N532" s="175"/>
      <c r="O532" s="175"/>
      <c r="P532" s="175"/>
      <c r="Q532" s="175"/>
      <c r="R532" s="175"/>
      <c r="S532" s="175"/>
      <c r="T532" s="175"/>
      <c r="U532" s="175"/>
      <c r="V532" s="175"/>
      <c r="W532" s="175"/>
      <c r="X532" s="175"/>
      <c r="Y532" s="175"/>
      <c r="Z532" s="175"/>
      <c r="AA532" s="175"/>
      <c r="AB532" s="175"/>
      <c r="AC532" s="175"/>
    </row>
    <row r="533" spans="1:29" ht="12.75">
      <c r="A533" s="175"/>
      <c r="B533" s="175"/>
      <c r="C533" s="175"/>
      <c r="D533" s="175"/>
      <c r="E533" s="175"/>
      <c r="F533" s="175"/>
      <c r="G533" s="175"/>
      <c r="H533" s="175"/>
      <c r="I533" s="175"/>
      <c r="J533" s="175"/>
      <c r="K533" s="175"/>
      <c r="L533" s="175"/>
      <c r="M533" s="175"/>
      <c r="N533" s="175"/>
      <c r="O533" s="175"/>
      <c r="P533" s="175"/>
      <c r="Q533" s="175"/>
      <c r="R533" s="175"/>
      <c r="S533" s="175"/>
      <c r="T533" s="175"/>
      <c r="U533" s="175"/>
      <c r="V533" s="175"/>
      <c r="W533" s="175"/>
      <c r="X533" s="175"/>
      <c r="Y533" s="175"/>
      <c r="Z533" s="175"/>
      <c r="AA533" s="175"/>
      <c r="AB533" s="175"/>
      <c r="AC533" s="175"/>
    </row>
    <row r="534" spans="1:29" ht="12.75">
      <c r="A534" s="175"/>
      <c r="B534" s="175"/>
      <c r="C534" s="175"/>
      <c r="D534" s="175"/>
      <c r="E534" s="175"/>
      <c r="F534" s="175"/>
      <c r="G534" s="175"/>
      <c r="H534" s="175"/>
      <c r="I534" s="175"/>
      <c r="J534" s="175"/>
      <c r="K534" s="175"/>
      <c r="L534" s="175"/>
      <c r="M534" s="175"/>
      <c r="N534" s="175"/>
      <c r="O534" s="175"/>
      <c r="P534" s="175"/>
      <c r="Q534" s="175"/>
      <c r="R534" s="175"/>
      <c r="S534" s="175"/>
      <c r="T534" s="175"/>
      <c r="U534" s="175"/>
      <c r="V534" s="175"/>
      <c r="W534" s="175"/>
      <c r="X534" s="175"/>
      <c r="Y534" s="175"/>
      <c r="Z534" s="175"/>
      <c r="AA534" s="175"/>
      <c r="AB534" s="175"/>
      <c r="AC534" s="175"/>
    </row>
    <row r="535" spans="1:29" ht="12.75">
      <c r="A535" s="175"/>
      <c r="B535" s="175"/>
      <c r="C535" s="175"/>
      <c r="D535" s="175"/>
      <c r="E535" s="175"/>
      <c r="F535" s="175"/>
      <c r="G535" s="175"/>
      <c r="H535" s="175"/>
      <c r="I535" s="175"/>
      <c r="J535" s="175"/>
      <c r="K535" s="175"/>
      <c r="L535" s="175"/>
      <c r="M535" s="175"/>
      <c r="N535" s="175"/>
      <c r="O535" s="175"/>
      <c r="P535" s="175"/>
      <c r="Q535" s="175"/>
      <c r="R535" s="175"/>
      <c r="S535" s="175"/>
      <c r="T535" s="175"/>
      <c r="U535" s="175"/>
      <c r="V535" s="175"/>
      <c r="W535" s="175"/>
      <c r="X535" s="175"/>
      <c r="Y535" s="175"/>
      <c r="Z535" s="175"/>
      <c r="AA535" s="175"/>
      <c r="AB535" s="175"/>
      <c r="AC535" s="175"/>
    </row>
    <row r="536" spans="1:29" ht="12.75">
      <c r="A536" s="175"/>
      <c r="B536" s="175"/>
      <c r="C536" s="175"/>
      <c r="D536" s="175"/>
      <c r="E536" s="175"/>
      <c r="F536" s="175"/>
      <c r="G536" s="175"/>
      <c r="H536" s="175"/>
      <c r="I536" s="175"/>
      <c r="J536" s="175"/>
      <c r="K536" s="175"/>
      <c r="L536" s="175"/>
      <c r="M536" s="175"/>
      <c r="N536" s="175"/>
      <c r="O536" s="175"/>
      <c r="P536" s="175"/>
      <c r="Q536" s="175"/>
      <c r="R536" s="175"/>
      <c r="S536" s="175"/>
      <c r="T536" s="175"/>
      <c r="U536" s="175"/>
      <c r="V536" s="175"/>
      <c r="W536" s="175"/>
      <c r="X536" s="175"/>
      <c r="Y536" s="175"/>
      <c r="Z536" s="175"/>
      <c r="AA536" s="175"/>
      <c r="AB536" s="175"/>
      <c r="AC536" s="175"/>
    </row>
    <row r="537" spans="1:29" ht="12.75">
      <c r="A537" s="175"/>
      <c r="B537" s="175"/>
      <c r="C537" s="175"/>
      <c r="D537" s="175"/>
      <c r="E537" s="175"/>
      <c r="F537" s="175"/>
      <c r="G537" s="175"/>
      <c r="H537" s="175"/>
      <c r="I537" s="175"/>
      <c r="J537" s="175"/>
      <c r="K537" s="175"/>
      <c r="L537" s="175"/>
      <c r="M537" s="175"/>
      <c r="N537" s="175"/>
      <c r="O537" s="175"/>
      <c r="P537" s="175"/>
      <c r="Q537" s="175"/>
      <c r="R537" s="175"/>
      <c r="S537" s="175"/>
      <c r="T537" s="175"/>
      <c r="U537" s="175"/>
      <c r="V537" s="175"/>
      <c r="W537" s="175"/>
      <c r="X537" s="175"/>
      <c r="Y537" s="175"/>
      <c r="Z537" s="175"/>
      <c r="AA537" s="175"/>
      <c r="AB537" s="175"/>
      <c r="AC537" s="175"/>
    </row>
    <row r="538" spans="1:29" ht="12.75">
      <c r="A538" s="175"/>
      <c r="B538" s="175"/>
      <c r="C538" s="175"/>
      <c r="D538" s="175"/>
      <c r="E538" s="175"/>
      <c r="F538" s="175"/>
      <c r="G538" s="175"/>
      <c r="H538" s="175"/>
      <c r="I538" s="175"/>
      <c r="J538" s="175"/>
      <c r="K538" s="175"/>
      <c r="L538" s="175"/>
      <c r="M538" s="175"/>
      <c r="N538" s="175"/>
      <c r="O538" s="175"/>
      <c r="P538" s="175"/>
      <c r="Q538" s="175"/>
      <c r="R538" s="175"/>
      <c r="S538" s="175"/>
      <c r="T538" s="175"/>
      <c r="U538" s="175"/>
      <c r="V538" s="175"/>
      <c r="W538" s="175"/>
      <c r="X538" s="175"/>
      <c r="Y538" s="175"/>
      <c r="Z538" s="175"/>
      <c r="AA538" s="175"/>
      <c r="AB538" s="175"/>
      <c r="AC538" s="175"/>
    </row>
    <row r="539" spans="1:29" ht="12.75">
      <c r="A539" s="175"/>
      <c r="B539" s="175"/>
      <c r="C539" s="175"/>
      <c r="D539" s="175"/>
      <c r="E539" s="175"/>
      <c r="F539" s="175"/>
      <c r="G539" s="175"/>
      <c r="H539" s="175"/>
      <c r="I539" s="175"/>
      <c r="J539" s="175"/>
      <c r="K539" s="175"/>
      <c r="L539" s="175"/>
      <c r="M539" s="175"/>
      <c r="N539" s="175"/>
      <c r="O539" s="175"/>
      <c r="P539" s="175"/>
      <c r="Q539" s="175"/>
      <c r="R539" s="175"/>
      <c r="S539" s="175"/>
      <c r="T539" s="175"/>
      <c r="U539" s="175"/>
      <c r="V539" s="175"/>
      <c r="W539" s="175"/>
      <c r="X539" s="175"/>
      <c r="Y539" s="175"/>
      <c r="Z539" s="175"/>
      <c r="AA539" s="175"/>
      <c r="AB539" s="175"/>
      <c r="AC539" s="175"/>
    </row>
    <row r="540" spans="1:29" ht="12.75">
      <c r="A540" s="175"/>
      <c r="B540" s="175"/>
      <c r="C540" s="175"/>
      <c r="D540" s="175"/>
      <c r="E540" s="175"/>
      <c r="F540" s="175"/>
      <c r="G540" s="175"/>
      <c r="H540" s="175"/>
      <c r="I540" s="175"/>
      <c r="J540" s="175"/>
      <c r="K540" s="175"/>
      <c r="L540" s="175"/>
      <c r="M540" s="175"/>
      <c r="N540" s="175"/>
      <c r="O540" s="175"/>
      <c r="P540" s="175"/>
      <c r="Q540" s="175"/>
      <c r="R540" s="175"/>
      <c r="S540" s="175"/>
      <c r="T540" s="175"/>
      <c r="U540" s="175"/>
      <c r="V540" s="175"/>
      <c r="W540" s="175"/>
      <c r="X540" s="175"/>
      <c r="Y540" s="175"/>
      <c r="Z540" s="175"/>
      <c r="AA540" s="175"/>
      <c r="AB540" s="175"/>
      <c r="AC540" s="175"/>
    </row>
    <row r="541" spans="1:29" ht="12.75">
      <c r="A541" s="175"/>
      <c r="B541" s="175"/>
      <c r="C541" s="175"/>
      <c r="D541" s="175"/>
      <c r="E541" s="175"/>
      <c r="F541" s="175"/>
      <c r="G541" s="175"/>
      <c r="H541" s="175"/>
      <c r="I541" s="175"/>
      <c r="J541" s="175"/>
      <c r="K541" s="175"/>
      <c r="L541" s="175"/>
      <c r="M541" s="175"/>
      <c r="N541" s="175"/>
      <c r="O541" s="175"/>
      <c r="P541" s="175"/>
      <c r="Q541" s="175"/>
      <c r="R541" s="175"/>
      <c r="S541" s="175"/>
      <c r="T541" s="175"/>
      <c r="U541" s="175"/>
      <c r="V541" s="175"/>
      <c r="W541" s="175"/>
      <c r="X541" s="175"/>
      <c r="Y541" s="175"/>
      <c r="Z541" s="175"/>
      <c r="AA541" s="175"/>
      <c r="AB541" s="175"/>
      <c r="AC541" s="175"/>
    </row>
    <row r="542" spans="1:29" ht="12.75">
      <c r="A542" s="175"/>
      <c r="B542" s="175"/>
      <c r="C542" s="175"/>
      <c r="D542" s="175"/>
      <c r="E542" s="175"/>
      <c r="F542" s="175"/>
      <c r="G542" s="175"/>
      <c r="H542" s="175"/>
      <c r="I542" s="175"/>
      <c r="J542" s="175"/>
      <c r="K542" s="175"/>
      <c r="L542" s="175"/>
      <c r="M542" s="175"/>
      <c r="N542" s="175"/>
      <c r="O542" s="175"/>
      <c r="P542" s="175"/>
      <c r="Q542" s="175"/>
      <c r="R542" s="175"/>
      <c r="S542" s="175"/>
      <c r="T542" s="175"/>
      <c r="U542" s="175"/>
      <c r="V542" s="175"/>
      <c r="W542" s="175"/>
      <c r="X542" s="175"/>
      <c r="Y542" s="175"/>
      <c r="Z542" s="175"/>
      <c r="AA542" s="175"/>
      <c r="AB542" s="175"/>
      <c r="AC542" s="175"/>
    </row>
    <row r="543" spans="1:29" ht="12.75">
      <c r="A543" s="175"/>
      <c r="B543" s="175"/>
      <c r="C543" s="175"/>
      <c r="D543" s="175"/>
      <c r="E543" s="175"/>
      <c r="F543" s="175"/>
      <c r="G543" s="175"/>
      <c r="H543" s="175"/>
      <c r="I543" s="175"/>
      <c r="J543" s="175"/>
      <c r="K543" s="175"/>
      <c r="L543" s="175"/>
      <c r="M543" s="175"/>
      <c r="N543" s="175"/>
      <c r="O543" s="175"/>
      <c r="P543" s="175"/>
      <c r="Q543" s="175"/>
      <c r="R543" s="175"/>
      <c r="S543" s="175"/>
      <c r="T543" s="175"/>
      <c r="U543" s="175"/>
      <c r="V543" s="175"/>
      <c r="W543" s="175"/>
      <c r="X543" s="175"/>
      <c r="Y543" s="175"/>
      <c r="Z543" s="175"/>
      <c r="AA543" s="175"/>
      <c r="AB543" s="175"/>
      <c r="AC543" s="175"/>
    </row>
    <row r="544" spans="1:29" ht="12.75">
      <c r="A544" s="175"/>
      <c r="B544" s="175"/>
      <c r="C544" s="175"/>
      <c r="D544" s="175"/>
      <c r="E544" s="175"/>
      <c r="F544" s="175"/>
      <c r="G544" s="175"/>
      <c r="H544" s="175"/>
      <c r="I544" s="175"/>
      <c r="J544" s="175"/>
      <c r="K544" s="175"/>
      <c r="L544" s="175"/>
      <c r="M544" s="175"/>
      <c r="N544" s="175"/>
      <c r="O544" s="175"/>
      <c r="P544" s="175"/>
      <c r="Q544" s="175"/>
      <c r="R544" s="175"/>
      <c r="S544" s="175"/>
      <c r="T544" s="175"/>
      <c r="U544" s="175"/>
      <c r="V544" s="175"/>
      <c r="W544" s="175"/>
      <c r="X544" s="175"/>
      <c r="Y544" s="175"/>
      <c r="Z544" s="175"/>
      <c r="AA544" s="175"/>
      <c r="AB544" s="175"/>
      <c r="AC544" s="175"/>
    </row>
    <row r="545" spans="1:29" ht="12.75">
      <c r="A545" s="175"/>
      <c r="B545" s="175"/>
      <c r="C545" s="175"/>
      <c r="D545" s="175"/>
      <c r="E545" s="175"/>
      <c r="F545" s="175"/>
      <c r="G545" s="175"/>
      <c r="H545" s="175"/>
      <c r="I545" s="175"/>
      <c r="J545" s="175"/>
      <c r="K545" s="175"/>
      <c r="L545" s="175"/>
      <c r="M545" s="175"/>
      <c r="N545" s="175"/>
      <c r="O545" s="175"/>
      <c r="P545" s="175"/>
      <c r="Q545" s="175"/>
      <c r="R545" s="175"/>
      <c r="S545" s="175"/>
      <c r="T545" s="175"/>
      <c r="U545" s="175"/>
      <c r="V545" s="175"/>
      <c r="W545" s="175"/>
      <c r="X545" s="175"/>
      <c r="Y545" s="175"/>
      <c r="Z545" s="175"/>
      <c r="AA545" s="175"/>
      <c r="AB545" s="175"/>
      <c r="AC545" s="175"/>
    </row>
    <row r="546" spans="1:29" ht="12.75">
      <c r="A546" s="175"/>
      <c r="B546" s="175"/>
      <c r="C546" s="175"/>
      <c r="D546" s="175"/>
      <c r="E546" s="175"/>
      <c r="F546" s="175"/>
      <c r="G546" s="175"/>
      <c r="H546" s="175"/>
      <c r="I546" s="175"/>
      <c r="J546" s="175"/>
      <c r="K546" s="175"/>
      <c r="L546" s="175"/>
      <c r="M546" s="175"/>
      <c r="N546" s="175"/>
      <c r="O546" s="175"/>
      <c r="P546" s="175"/>
      <c r="Q546" s="175"/>
      <c r="R546" s="175"/>
      <c r="S546" s="175"/>
      <c r="T546" s="175"/>
      <c r="U546" s="175"/>
      <c r="V546" s="175"/>
      <c r="W546" s="175"/>
      <c r="X546" s="175"/>
      <c r="Y546" s="175"/>
      <c r="Z546" s="175"/>
      <c r="AA546" s="175"/>
      <c r="AB546" s="175"/>
      <c r="AC546" s="175"/>
    </row>
    <row r="547" spans="1:29" ht="12.75">
      <c r="A547" s="175"/>
      <c r="B547" s="175"/>
      <c r="C547" s="175"/>
      <c r="D547" s="175"/>
      <c r="E547" s="175"/>
      <c r="F547" s="175"/>
      <c r="G547" s="175"/>
      <c r="H547" s="175"/>
      <c r="I547" s="175"/>
      <c r="J547" s="175"/>
      <c r="K547" s="175"/>
      <c r="L547" s="175"/>
      <c r="M547" s="175"/>
      <c r="N547" s="175"/>
      <c r="O547" s="175"/>
      <c r="P547" s="175"/>
      <c r="Q547" s="175"/>
      <c r="R547" s="175"/>
      <c r="S547" s="175"/>
      <c r="T547" s="175"/>
      <c r="U547" s="175"/>
      <c r="V547" s="175"/>
      <c r="W547" s="175"/>
      <c r="X547" s="175"/>
      <c r="Y547" s="175"/>
      <c r="Z547" s="175"/>
      <c r="AA547" s="175"/>
      <c r="AB547" s="175"/>
      <c r="AC547" s="175"/>
    </row>
    <row r="548" spans="1:29" ht="12.75">
      <c r="A548" s="175"/>
      <c r="B548" s="175"/>
      <c r="C548" s="175"/>
      <c r="D548" s="175"/>
      <c r="E548" s="175"/>
      <c r="F548" s="175"/>
      <c r="G548" s="175"/>
      <c r="H548" s="175"/>
      <c r="I548" s="175"/>
      <c r="J548" s="175"/>
      <c r="K548" s="175"/>
      <c r="L548" s="175"/>
      <c r="M548" s="175"/>
      <c r="N548" s="175"/>
      <c r="O548" s="175"/>
      <c r="P548" s="175"/>
      <c r="Q548" s="175"/>
      <c r="R548" s="175"/>
      <c r="S548" s="175"/>
      <c r="T548" s="175"/>
      <c r="U548" s="175"/>
      <c r="V548" s="175"/>
      <c r="W548" s="175"/>
      <c r="X548" s="175"/>
      <c r="Y548" s="175"/>
      <c r="Z548" s="175"/>
      <c r="AA548" s="175"/>
      <c r="AB548" s="175"/>
      <c r="AC548" s="175"/>
    </row>
    <row r="549" spans="1:29" ht="12.75">
      <c r="A549" s="175"/>
      <c r="B549" s="175"/>
      <c r="C549" s="175"/>
      <c r="D549" s="175"/>
      <c r="E549" s="175"/>
      <c r="F549" s="175"/>
      <c r="G549" s="175"/>
      <c r="H549" s="175"/>
      <c r="I549" s="175"/>
      <c r="J549" s="175"/>
      <c r="K549" s="175"/>
      <c r="L549" s="175"/>
      <c r="M549" s="175"/>
      <c r="N549" s="175"/>
      <c r="O549" s="175"/>
      <c r="P549" s="175"/>
      <c r="Q549" s="175"/>
      <c r="R549" s="175"/>
      <c r="S549" s="175"/>
      <c r="T549" s="175"/>
      <c r="U549" s="175"/>
      <c r="V549" s="175"/>
      <c r="W549" s="175"/>
      <c r="X549" s="175"/>
      <c r="Y549" s="175"/>
      <c r="Z549" s="175"/>
      <c r="AA549" s="175"/>
      <c r="AB549" s="175"/>
      <c r="AC549" s="175"/>
    </row>
    <row r="550" spans="1:29" ht="12.75">
      <c r="A550" s="175"/>
      <c r="B550" s="175"/>
      <c r="C550" s="175"/>
      <c r="D550" s="175"/>
      <c r="E550" s="175"/>
      <c r="F550" s="175"/>
      <c r="G550" s="175"/>
      <c r="H550" s="175"/>
      <c r="I550" s="175"/>
      <c r="J550" s="175"/>
      <c r="K550" s="175"/>
      <c r="L550" s="175"/>
      <c r="M550" s="175"/>
      <c r="N550" s="175"/>
      <c r="O550" s="175"/>
      <c r="P550" s="175"/>
      <c r="Q550" s="175"/>
      <c r="R550" s="175"/>
      <c r="S550" s="175"/>
      <c r="T550" s="175"/>
      <c r="U550" s="175"/>
      <c r="V550" s="175"/>
      <c r="W550" s="175"/>
      <c r="X550" s="175"/>
      <c r="Y550" s="175"/>
      <c r="Z550" s="175"/>
      <c r="AA550" s="175"/>
      <c r="AB550" s="175"/>
      <c r="AC550" s="175"/>
    </row>
    <row r="551" spans="1:29" ht="12.75">
      <c r="A551" s="175"/>
      <c r="B551" s="175"/>
      <c r="C551" s="175"/>
      <c r="D551" s="175"/>
      <c r="E551" s="175"/>
      <c r="F551" s="175"/>
      <c r="G551" s="175"/>
      <c r="H551" s="175"/>
      <c r="I551" s="175"/>
      <c r="J551" s="175"/>
      <c r="K551" s="175"/>
      <c r="L551" s="175"/>
      <c r="M551" s="175"/>
      <c r="N551" s="175"/>
      <c r="O551" s="175"/>
      <c r="P551" s="175"/>
      <c r="Q551" s="175"/>
      <c r="R551" s="175"/>
      <c r="S551" s="175"/>
      <c r="T551" s="175"/>
      <c r="U551" s="175"/>
      <c r="V551" s="175"/>
      <c r="W551" s="175"/>
      <c r="X551" s="175"/>
      <c r="Y551" s="175"/>
      <c r="Z551" s="175"/>
      <c r="AA551" s="175"/>
      <c r="AB551" s="175"/>
      <c r="AC551" s="175"/>
    </row>
    <row r="552" spans="1:29" ht="12.75">
      <c r="A552" s="175"/>
      <c r="B552" s="175"/>
      <c r="C552" s="175"/>
      <c r="D552" s="175"/>
      <c r="E552" s="175"/>
      <c r="F552" s="175"/>
      <c r="G552" s="175"/>
      <c r="H552" s="175"/>
      <c r="I552" s="175"/>
      <c r="J552" s="175"/>
      <c r="K552" s="175"/>
      <c r="L552" s="175"/>
      <c r="M552" s="175"/>
      <c r="N552" s="175"/>
      <c r="O552" s="175"/>
      <c r="P552" s="175"/>
      <c r="Q552" s="175"/>
      <c r="R552" s="175"/>
      <c r="S552" s="175"/>
      <c r="T552" s="175"/>
      <c r="U552" s="175"/>
      <c r="V552" s="175"/>
      <c r="W552" s="175"/>
      <c r="X552" s="175"/>
      <c r="Y552" s="175"/>
      <c r="Z552" s="175"/>
      <c r="AA552" s="175"/>
      <c r="AB552" s="175"/>
      <c r="AC552" s="175"/>
    </row>
    <row r="553" spans="1:29" ht="12.75">
      <c r="A553" s="175"/>
      <c r="B553" s="175"/>
      <c r="C553" s="175"/>
      <c r="D553" s="175"/>
      <c r="E553" s="175"/>
      <c r="F553" s="175"/>
      <c r="G553" s="175"/>
      <c r="H553" s="175"/>
      <c r="I553" s="175"/>
      <c r="J553" s="175"/>
      <c r="K553" s="175"/>
      <c r="L553" s="175"/>
      <c r="M553" s="175"/>
      <c r="N553" s="175"/>
      <c r="O553" s="175"/>
      <c r="P553" s="175"/>
      <c r="Q553" s="175"/>
      <c r="R553" s="175"/>
      <c r="S553" s="175"/>
      <c r="T553" s="175"/>
      <c r="U553" s="175"/>
      <c r="V553" s="175"/>
      <c r="W553" s="175"/>
      <c r="X553" s="175"/>
      <c r="Y553" s="175"/>
      <c r="Z553" s="175"/>
      <c r="AA553" s="175"/>
      <c r="AB553" s="175"/>
      <c r="AC553" s="175"/>
    </row>
    <row r="554" spans="1:29" ht="12.75">
      <c r="A554" s="175"/>
      <c r="B554" s="175"/>
      <c r="C554" s="175"/>
      <c r="D554" s="175"/>
      <c r="E554" s="175"/>
      <c r="F554" s="175"/>
      <c r="G554" s="175"/>
      <c r="H554" s="175"/>
      <c r="I554" s="175"/>
      <c r="J554" s="175"/>
      <c r="K554" s="175"/>
      <c r="L554" s="175"/>
      <c r="M554" s="175"/>
      <c r="N554" s="175"/>
      <c r="O554" s="175"/>
      <c r="P554" s="175"/>
      <c r="Q554" s="175"/>
      <c r="R554" s="175"/>
      <c r="S554" s="175"/>
      <c r="T554" s="175"/>
      <c r="U554" s="175"/>
      <c r="V554" s="175"/>
      <c r="W554" s="175"/>
      <c r="X554" s="175"/>
      <c r="Y554" s="175"/>
      <c r="Z554" s="175"/>
      <c r="AA554" s="175"/>
      <c r="AB554" s="175"/>
      <c r="AC554" s="175"/>
    </row>
    <row r="555" spans="1:29" ht="12.75">
      <c r="A555" s="175"/>
      <c r="B555" s="175"/>
      <c r="C555" s="175"/>
      <c r="D555" s="175"/>
      <c r="E555" s="175"/>
      <c r="F555" s="175"/>
      <c r="G555" s="175"/>
      <c r="H555" s="175"/>
      <c r="I555" s="175"/>
      <c r="J555" s="175"/>
      <c r="K555" s="175"/>
      <c r="L555" s="175"/>
      <c r="M555" s="175"/>
      <c r="N555" s="175"/>
      <c r="O555" s="175"/>
      <c r="P555" s="175"/>
      <c r="Q555" s="175"/>
      <c r="R555" s="175"/>
      <c r="S555" s="175"/>
      <c r="T555" s="175"/>
      <c r="U555" s="175"/>
      <c r="V555" s="175"/>
      <c r="W555" s="175"/>
      <c r="X555" s="175"/>
      <c r="Y555" s="175"/>
      <c r="Z555" s="175"/>
      <c r="AA555" s="175"/>
      <c r="AB555" s="175"/>
      <c r="AC555" s="175"/>
    </row>
    <row r="556" spans="1:29" ht="12.75">
      <c r="A556" s="175"/>
      <c r="B556" s="175"/>
      <c r="C556" s="175"/>
      <c r="D556" s="175"/>
      <c r="E556" s="175"/>
      <c r="F556" s="175"/>
      <c r="G556" s="175"/>
      <c r="H556" s="175"/>
      <c r="I556" s="175"/>
      <c r="J556" s="175"/>
      <c r="K556" s="175"/>
      <c r="L556" s="175"/>
      <c r="M556" s="175"/>
      <c r="N556" s="175"/>
      <c r="O556" s="175"/>
      <c r="P556" s="175"/>
      <c r="Q556" s="175"/>
      <c r="R556" s="175"/>
      <c r="S556" s="175"/>
      <c r="T556" s="175"/>
      <c r="U556" s="175"/>
      <c r="V556" s="175"/>
      <c r="W556" s="175"/>
      <c r="X556" s="175"/>
      <c r="Y556" s="175"/>
      <c r="Z556" s="175"/>
      <c r="AA556" s="175"/>
      <c r="AB556" s="175"/>
      <c r="AC556" s="175"/>
    </row>
    <row r="557" spans="1:29" ht="12.75">
      <c r="A557" s="175"/>
      <c r="B557" s="175"/>
      <c r="C557" s="175"/>
      <c r="D557" s="175"/>
      <c r="E557" s="175"/>
      <c r="F557" s="175"/>
      <c r="G557" s="175"/>
      <c r="H557" s="175"/>
      <c r="I557" s="175"/>
      <c r="J557" s="175"/>
      <c r="K557" s="175"/>
      <c r="L557" s="175"/>
      <c r="M557" s="175"/>
      <c r="N557" s="175"/>
      <c r="O557" s="175"/>
      <c r="P557" s="175"/>
      <c r="Q557" s="175"/>
      <c r="R557" s="175"/>
      <c r="S557" s="175"/>
      <c r="T557" s="175"/>
      <c r="U557" s="175"/>
      <c r="V557" s="175"/>
      <c r="W557" s="175"/>
      <c r="X557" s="175"/>
      <c r="Y557" s="175"/>
      <c r="Z557" s="175"/>
      <c r="AA557" s="175"/>
      <c r="AB557" s="175"/>
      <c r="AC557" s="175"/>
    </row>
    <row r="558" spans="1:29" ht="12.75">
      <c r="A558" s="175"/>
      <c r="B558" s="175"/>
      <c r="C558" s="175"/>
      <c r="D558" s="175"/>
      <c r="E558" s="175"/>
      <c r="F558" s="175"/>
      <c r="G558" s="175"/>
      <c r="H558" s="175"/>
      <c r="I558" s="175"/>
      <c r="J558" s="175"/>
      <c r="K558" s="175"/>
      <c r="L558" s="175"/>
      <c r="M558" s="175"/>
      <c r="N558" s="175"/>
      <c r="O558" s="175"/>
      <c r="P558" s="175"/>
      <c r="Q558" s="175"/>
      <c r="R558" s="175"/>
      <c r="S558" s="175"/>
      <c r="T558" s="175"/>
      <c r="U558" s="175"/>
      <c r="V558" s="175"/>
      <c r="W558" s="175"/>
      <c r="X558" s="175"/>
      <c r="Y558" s="175"/>
      <c r="Z558" s="175"/>
      <c r="AA558" s="175"/>
      <c r="AB558" s="175"/>
      <c r="AC558" s="175"/>
    </row>
    <row r="559" spans="1:29" ht="12.75">
      <c r="A559" s="175"/>
      <c r="B559" s="175"/>
      <c r="C559" s="175"/>
      <c r="D559" s="175"/>
      <c r="E559" s="175"/>
      <c r="F559" s="175"/>
      <c r="G559" s="175"/>
      <c r="H559" s="175"/>
      <c r="I559" s="175"/>
      <c r="J559" s="175"/>
      <c r="K559" s="175"/>
      <c r="L559" s="175"/>
      <c r="M559" s="175"/>
      <c r="N559" s="175"/>
      <c r="O559" s="175"/>
      <c r="P559" s="175"/>
      <c r="Q559" s="175"/>
      <c r="R559" s="175"/>
      <c r="S559" s="175"/>
      <c r="T559" s="175"/>
      <c r="U559" s="175"/>
      <c r="V559" s="175"/>
      <c r="W559" s="175"/>
      <c r="X559" s="175"/>
      <c r="Y559" s="175"/>
      <c r="Z559" s="175"/>
      <c r="AA559" s="175"/>
      <c r="AB559" s="175"/>
      <c r="AC559" s="175"/>
    </row>
    <row r="560" spans="1:29" ht="12.75">
      <c r="A560" s="175"/>
      <c r="B560" s="175"/>
      <c r="C560" s="175"/>
      <c r="D560" s="175"/>
      <c r="E560" s="175"/>
      <c r="F560" s="175"/>
      <c r="G560" s="175"/>
      <c r="H560" s="175"/>
      <c r="I560" s="175"/>
      <c r="J560" s="175"/>
      <c r="K560" s="175"/>
      <c r="L560" s="175"/>
      <c r="M560" s="175"/>
      <c r="N560" s="175"/>
      <c r="O560" s="175"/>
      <c r="P560" s="175"/>
      <c r="Q560" s="175"/>
      <c r="R560" s="175"/>
      <c r="S560" s="175"/>
      <c r="T560" s="175"/>
      <c r="U560" s="175"/>
      <c r="V560" s="175"/>
      <c r="W560" s="175"/>
      <c r="X560" s="175"/>
      <c r="Y560" s="175"/>
      <c r="Z560" s="175"/>
      <c r="AA560" s="175"/>
      <c r="AB560" s="175"/>
      <c r="AC560" s="175"/>
    </row>
    <row r="561" spans="1:29" ht="12.75">
      <c r="A561" s="175"/>
      <c r="B561" s="175"/>
      <c r="C561" s="175"/>
      <c r="D561" s="175"/>
      <c r="E561" s="175"/>
      <c r="F561" s="175"/>
      <c r="G561" s="175"/>
      <c r="H561" s="175"/>
      <c r="I561" s="175"/>
      <c r="J561" s="175"/>
      <c r="K561" s="175"/>
      <c r="L561" s="175"/>
      <c r="M561" s="175"/>
      <c r="N561" s="175"/>
      <c r="O561" s="175"/>
      <c r="P561" s="175"/>
      <c r="Q561" s="175"/>
      <c r="R561" s="175"/>
      <c r="S561" s="175"/>
      <c r="T561" s="175"/>
      <c r="U561" s="175"/>
      <c r="V561" s="175"/>
      <c r="W561" s="175"/>
      <c r="X561" s="175"/>
      <c r="Y561" s="175"/>
      <c r="Z561" s="175"/>
      <c r="AA561" s="175"/>
      <c r="AB561" s="175"/>
      <c r="AC561" s="175"/>
    </row>
    <row r="562" spans="1:29" ht="12.75">
      <c r="A562" s="175"/>
      <c r="B562" s="175"/>
      <c r="C562" s="175"/>
      <c r="D562" s="175"/>
      <c r="E562" s="175"/>
      <c r="F562" s="175"/>
      <c r="G562" s="175"/>
      <c r="H562" s="175"/>
      <c r="I562" s="175"/>
      <c r="J562" s="175"/>
      <c r="K562" s="175"/>
      <c r="L562" s="175"/>
      <c r="M562" s="175"/>
      <c r="N562" s="175"/>
      <c r="O562" s="175"/>
      <c r="P562" s="175"/>
      <c r="Q562" s="175"/>
      <c r="R562" s="175"/>
      <c r="S562" s="175"/>
      <c r="T562" s="175"/>
      <c r="U562" s="175"/>
      <c r="V562" s="175"/>
      <c r="W562" s="175"/>
      <c r="X562" s="175"/>
      <c r="Y562" s="175"/>
      <c r="Z562" s="175"/>
      <c r="AA562" s="175"/>
      <c r="AB562" s="175"/>
      <c r="AC562" s="175"/>
    </row>
    <row r="563" spans="1:29" ht="12.75">
      <c r="A563" s="175"/>
      <c r="B563" s="175"/>
      <c r="C563" s="175"/>
      <c r="D563" s="175"/>
      <c r="E563" s="175"/>
      <c r="F563" s="175"/>
      <c r="G563" s="175"/>
      <c r="H563" s="175"/>
      <c r="I563" s="175"/>
      <c r="J563" s="175"/>
      <c r="K563" s="175"/>
      <c r="L563" s="175"/>
      <c r="M563" s="175"/>
      <c r="N563" s="175"/>
      <c r="O563" s="175"/>
      <c r="P563" s="175"/>
      <c r="Q563" s="175"/>
      <c r="R563" s="175"/>
      <c r="S563" s="175"/>
      <c r="T563" s="175"/>
      <c r="U563" s="175"/>
      <c r="V563" s="175"/>
      <c r="W563" s="175"/>
      <c r="X563" s="175"/>
      <c r="Y563" s="175"/>
      <c r="Z563" s="175"/>
      <c r="AA563" s="175"/>
      <c r="AB563" s="175"/>
      <c r="AC563" s="175"/>
    </row>
    <row r="564" spans="1:29" ht="12.75">
      <c r="A564" s="175"/>
      <c r="B564" s="175"/>
      <c r="C564" s="175"/>
      <c r="D564" s="175"/>
      <c r="E564" s="175"/>
      <c r="F564" s="175"/>
      <c r="G564" s="175"/>
      <c r="H564" s="175"/>
      <c r="I564" s="175"/>
      <c r="J564" s="175"/>
      <c r="K564" s="175"/>
      <c r="L564" s="175"/>
      <c r="M564" s="175"/>
      <c r="N564" s="175"/>
      <c r="O564" s="175"/>
      <c r="P564" s="175"/>
      <c r="Q564" s="175"/>
      <c r="R564" s="175"/>
      <c r="S564" s="175"/>
      <c r="T564" s="175"/>
      <c r="U564" s="175"/>
      <c r="V564" s="175"/>
      <c r="W564" s="175"/>
      <c r="X564" s="175"/>
      <c r="Y564" s="175"/>
      <c r="Z564" s="175"/>
      <c r="AA564" s="175"/>
      <c r="AB564" s="175"/>
      <c r="AC564" s="175"/>
    </row>
    <row r="565" spans="1:29" ht="12.75">
      <c r="A565" s="175"/>
      <c r="B565" s="175"/>
      <c r="C565" s="175"/>
      <c r="D565" s="175"/>
      <c r="E565" s="175"/>
      <c r="F565" s="175"/>
      <c r="G565" s="175"/>
      <c r="H565" s="175"/>
      <c r="I565" s="175"/>
      <c r="J565" s="175"/>
      <c r="K565" s="175"/>
      <c r="L565" s="175"/>
      <c r="M565" s="175"/>
      <c r="N565" s="175"/>
      <c r="O565" s="175"/>
      <c r="P565" s="175"/>
      <c r="Q565" s="175"/>
      <c r="R565" s="175"/>
      <c r="S565" s="175"/>
      <c r="T565" s="175"/>
      <c r="U565" s="175"/>
      <c r="V565" s="175"/>
      <c r="W565" s="175"/>
      <c r="X565" s="175"/>
      <c r="Y565" s="175"/>
      <c r="Z565" s="175"/>
      <c r="AA565" s="175"/>
      <c r="AB565" s="175"/>
      <c r="AC565" s="175"/>
    </row>
    <row r="566" spans="1:29" ht="12.75">
      <c r="A566" s="175"/>
      <c r="B566" s="175"/>
      <c r="C566" s="175"/>
      <c r="D566" s="175"/>
      <c r="E566" s="175"/>
      <c r="F566" s="175"/>
      <c r="G566" s="175"/>
      <c r="H566" s="175"/>
      <c r="I566" s="175"/>
      <c r="J566" s="175"/>
      <c r="K566" s="175"/>
      <c r="L566" s="175"/>
      <c r="M566" s="175"/>
      <c r="N566" s="175"/>
      <c r="O566" s="175"/>
      <c r="P566" s="175"/>
      <c r="Q566" s="175"/>
      <c r="R566" s="175"/>
      <c r="S566" s="175"/>
      <c r="T566" s="175"/>
      <c r="U566" s="175"/>
      <c r="V566" s="175"/>
      <c r="W566" s="175"/>
      <c r="X566" s="175"/>
      <c r="Y566" s="175"/>
      <c r="Z566" s="175"/>
      <c r="AA566" s="175"/>
      <c r="AB566" s="175"/>
      <c r="AC566" s="175"/>
    </row>
    <row r="567" spans="1:29" ht="12.75">
      <c r="A567" s="175"/>
      <c r="B567" s="175"/>
      <c r="C567" s="175"/>
      <c r="D567" s="175"/>
      <c r="E567" s="175"/>
      <c r="F567" s="175"/>
      <c r="G567" s="175"/>
      <c r="H567" s="175"/>
      <c r="I567" s="175"/>
      <c r="J567" s="175"/>
      <c r="K567" s="175"/>
      <c r="L567" s="175"/>
      <c r="M567" s="175"/>
      <c r="N567" s="175"/>
      <c r="O567" s="175"/>
      <c r="P567" s="175"/>
      <c r="Q567" s="175"/>
      <c r="R567" s="175"/>
      <c r="S567" s="175"/>
      <c r="T567" s="175"/>
      <c r="U567" s="175"/>
      <c r="V567" s="175"/>
      <c r="W567" s="175"/>
      <c r="X567" s="175"/>
      <c r="Y567" s="175"/>
      <c r="Z567" s="175"/>
      <c r="AA567" s="175"/>
      <c r="AB567" s="175"/>
      <c r="AC567" s="175"/>
    </row>
    <row r="568" spans="1:29" ht="12.75">
      <c r="A568" s="175"/>
      <c r="B568" s="175"/>
      <c r="C568" s="175"/>
      <c r="D568" s="175"/>
      <c r="E568" s="175"/>
      <c r="F568" s="175"/>
      <c r="G568" s="175"/>
      <c r="H568" s="175"/>
      <c r="I568" s="175"/>
      <c r="J568" s="175"/>
      <c r="K568" s="175"/>
      <c r="L568" s="175"/>
      <c r="M568" s="175"/>
      <c r="N568" s="175"/>
      <c r="O568" s="175"/>
      <c r="P568" s="175"/>
      <c r="Q568" s="175"/>
      <c r="R568" s="175"/>
      <c r="S568" s="175"/>
      <c r="T568" s="175"/>
      <c r="U568" s="175"/>
      <c r="V568" s="175"/>
      <c r="W568" s="175"/>
      <c r="X568" s="175"/>
      <c r="Y568" s="175"/>
      <c r="Z568" s="175"/>
      <c r="AA568" s="175"/>
      <c r="AB568" s="175"/>
      <c r="AC568" s="175"/>
    </row>
    <row r="569" spans="1:29" ht="12.75">
      <c r="A569" s="175"/>
      <c r="B569" s="175"/>
      <c r="C569" s="175"/>
      <c r="D569" s="175"/>
      <c r="E569" s="175"/>
      <c r="F569" s="175"/>
      <c r="G569" s="175"/>
      <c r="H569" s="175"/>
      <c r="I569" s="175"/>
      <c r="J569" s="175"/>
      <c r="K569" s="175"/>
      <c r="L569" s="175"/>
      <c r="M569" s="175"/>
      <c r="N569" s="175"/>
      <c r="O569" s="175"/>
      <c r="P569" s="175"/>
      <c r="Q569" s="175"/>
      <c r="R569" s="175"/>
      <c r="S569" s="175"/>
      <c r="T569" s="175"/>
      <c r="U569" s="175"/>
      <c r="V569" s="175"/>
      <c r="W569" s="175"/>
      <c r="X569" s="175"/>
      <c r="Y569" s="175"/>
      <c r="Z569" s="175"/>
      <c r="AA569" s="175"/>
      <c r="AB569" s="175"/>
      <c r="AC569" s="175"/>
    </row>
    <row r="570" spans="1:29" ht="12.75">
      <c r="A570" s="175"/>
      <c r="B570" s="175"/>
      <c r="C570" s="175"/>
      <c r="D570" s="175"/>
      <c r="E570" s="175"/>
      <c r="F570" s="175"/>
      <c r="G570" s="175"/>
      <c r="H570" s="175"/>
      <c r="I570" s="175"/>
      <c r="J570" s="175"/>
      <c r="K570" s="175"/>
      <c r="L570" s="175"/>
      <c r="M570" s="175"/>
      <c r="N570" s="175"/>
      <c r="O570" s="175"/>
      <c r="P570" s="175"/>
      <c r="Q570" s="175"/>
      <c r="R570" s="175"/>
      <c r="S570" s="175"/>
      <c r="T570" s="175"/>
      <c r="U570" s="175"/>
      <c r="V570" s="175"/>
      <c r="W570" s="175"/>
      <c r="X570" s="175"/>
      <c r="Y570" s="175"/>
      <c r="Z570" s="175"/>
      <c r="AA570" s="175"/>
      <c r="AB570" s="175"/>
      <c r="AC570" s="175"/>
    </row>
    <row r="571" spans="1:29" ht="12.75">
      <c r="A571" s="175"/>
      <c r="B571" s="175"/>
      <c r="C571" s="175"/>
      <c r="D571" s="175"/>
      <c r="E571" s="175"/>
      <c r="F571" s="175"/>
      <c r="G571" s="175"/>
      <c r="H571" s="175"/>
      <c r="I571" s="175"/>
      <c r="J571" s="175"/>
      <c r="K571" s="175"/>
      <c r="L571" s="175"/>
      <c r="M571" s="175"/>
      <c r="N571" s="175"/>
      <c r="O571" s="175"/>
      <c r="P571" s="175"/>
      <c r="Q571" s="175"/>
      <c r="R571" s="175"/>
      <c r="S571" s="175"/>
      <c r="T571" s="175"/>
      <c r="U571" s="175"/>
      <c r="V571" s="175"/>
      <c r="W571" s="175"/>
      <c r="X571" s="175"/>
      <c r="Y571" s="175"/>
      <c r="Z571" s="175"/>
      <c r="AA571" s="175"/>
      <c r="AB571" s="175"/>
      <c r="AC571" s="175"/>
    </row>
    <row r="572" spans="1:29" ht="12.75">
      <c r="A572" s="175"/>
      <c r="B572" s="175"/>
      <c r="C572" s="175"/>
      <c r="D572" s="175"/>
      <c r="E572" s="175"/>
      <c r="F572" s="175"/>
      <c r="G572" s="175"/>
      <c r="H572" s="175"/>
      <c r="I572" s="175"/>
      <c r="J572" s="175"/>
      <c r="K572" s="175"/>
      <c r="L572" s="175"/>
      <c r="M572" s="175"/>
      <c r="N572" s="175"/>
      <c r="O572" s="175"/>
      <c r="P572" s="175"/>
      <c r="Q572" s="175"/>
      <c r="R572" s="175"/>
      <c r="S572" s="175"/>
      <c r="T572" s="175"/>
      <c r="U572" s="175"/>
      <c r="V572" s="175"/>
      <c r="W572" s="175"/>
      <c r="X572" s="175"/>
      <c r="Y572" s="175"/>
      <c r="Z572" s="175"/>
      <c r="AA572" s="175"/>
      <c r="AB572" s="175"/>
      <c r="AC572" s="175"/>
    </row>
    <row r="573" spans="1:29" ht="12.75">
      <c r="A573" s="175"/>
      <c r="B573" s="175"/>
      <c r="C573" s="175"/>
      <c r="D573" s="175"/>
      <c r="E573" s="175"/>
      <c r="F573" s="175"/>
      <c r="G573" s="175"/>
      <c r="H573" s="175"/>
      <c r="I573" s="175"/>
      <c r="J573" s="175"/>
      <c r="K573" s="175"/>
      <c r="L573" s="175"/>
      <c r="M573" s="175"/>
      <c r="N573" s="175"/>
      <c r="O573" s="175"/>
      <c r="P573" s="175"/>
      <c r="Q573" s="175"/>
      <c r="R573" s="175"/>
      <c r="S573" s="175"/>
      <c r="T573" s="175"/>
      <c r="U573" s="175"/>
      <c r="V573" s="175"/>
      <c r="W573" s="175"/>
      <c r="X573" s="175"/>
      <c r="Y573" s="175"/>
      <c r="Z573" s="175"/>
      <c r="AA573" s="175"/>
      <c r="AB573" s="175"/>
      <c r="AC573" s="175"/>
    </row>
    <row r="574" spans="1:29" ht="12.75">
      <c r="A574" s="175"/>
      <c r="B574" s="175"/>
      <c r="C574" s="175"/>
      <c r="D574" s="175"/>
      <c r="E574" s="175"/>
      <c r="F574" s="175"/>
      <c r="G574" s="175"/>
      <c r="H574" s="175"/>
      <c r="I574" s="175"/>
      <c r="J574" s="175"/>
      <c r="K574" s="175"/>
      <c r="L574" s="175"/>
      <c r="M574" s="175"/>
      <c r="N574" s="175"/>
      <c r="O574" s="175"/>
      <c r="P574" s="175"/>
      <c r="Q574" s="175"/>
      <c r="R574" s="175"/>
      <c r="S574" s="175"/>
      <c r="T574" s="175"/>
      <c r="U574" s="175"/>
      <c r="V574" s="175"/>
      <c r="W574" s="175"/>
      <c r="X574" s="175"/>
      <c r="Y574" s="175"/>
      <c r="Z574" s="175"/>
      <c r="AA574" s="175"/>
      <c r="AB574" s="175"/>
      <c r="AC574" s="175"/>
    </row>
    <row r="575" spans="1:29" ht="12.75">
      <c r="A575" s="175"/>
      <c r="B575" s="175"/>
      <c r="C575" s="175"/>
      <c r="D575" s="175"/>
      <c r="E575" s="175"/>
      <c r="F575" s="175"/>
      <c r="G575" s="175"/>
      <c r="H575" s="175"/>
      <c r="I575" s="175"/>
      <c r="J575" s="175"/>
      <c r="K575" s="175"/>
      <c r="L575" s="175"/>
      <c r="M575" s="175"/>
      <c r="N575" s="175"/>
      <c r="O575" s="175"/>
      <c r="P575" s="175"/>
      <c r="Q575" s="175"/>
      <c r="R575" s="175"/>
      <c r="S575" s="175"/>
      <c r="T575" s="175"/>
      <c r="U575" s="175"/>
      <c r="V575" s="175"/>
      <c r="W575" s="175"/>
      <c r="X575" s="175"/>
      <c r="Y575" s="175"/>
      <c r="Z575" s="175"/>
      <c r="AA575" s="175"/>
      <c r="AB575" s="175"/>
      <c r="AC575" s="175"/>
    </row>
    <row r="576" spans="1:29" ht="12.75">
      <c r="A576" s="175"/>
      <c r="B576" s="175"/>
      <c r="C576" s="175"/>
      <c r="D576" s="175"/>
      <c r="E576" s="175"/>
      <c r="F576" s="175"/>
      <c r="G576" s="175"/>
      <c r="H576" s="175"/>
      <c r="I576" s="175"/>
      <c r="J576" s="175"/>
      <c r="K576" s="175"/>
      <c r="L576" s="175"/>
      <c r="M576" s="175"/>
      <c r="N576" s="175"/>
      <c r="O576" s="175"/>
      <c r="P576" s="175"/>
      <c r="Q576" s="175"/>
      <c r="R576" s="175"/>
      <c r="S576" s="175"/>
      <c r="T576" s="175"/>
      <c r="U576" s="175"/>
      <c r="V576" s="175"/>
      <c r="W576" s="175"/>
      <c r="X576" s="175"/>
      <c r="Y576" s="175"/>
      <c r="Z576" s="175"/>
      <c r="AA576" s="175"/>
      <c r="AB576" s="175"/>
      <c r="AC576" s="175"/>
    </row>
    <row r="577" spans="1:29" ht="12.75">
      <c r="A577" s="175"/>
      <c r="B577" s="175"/>
      <c r="C577" s="175"/>
      <c r="D577" s="175"/>
      <c r="E577" s="175"/>
      <c r="F577" s="175"/>
      <c r="G577" s="175"/>
      <c r="H577" s="175"/>
      <c r="I577" s="175"/>
      <c r="J577" s="175"/>
      <c r="K577" s="175"/>
      <c r="L577" s="175"/>
      <c r="M577" s="175"/>
      <c r="N577" s="175"/>
      <c r="O577" s="175"/>
      <c r="P577" s="175"/>
      <c r="Q577" s="175"/>
      <c r="R577" s="175"/>
      <c r="S577" s="175"/>
      <c r="T577" s="175"/>
      <c r="U577" s="175"/>
      <c r="V577" s="175"/>
      <c r="W577" s="175"/>
      <c r="X577" s="175"/>
      <c r="Y577" s="175"/>
      <c r="Z577" s="175"/>
      <c r="AA577" s="175"/>
      <c r="AB577" s="175"/>
      <c r="AC577" s="175"/>
    </row>
    <row r="578" spans="1:29" ht="12.75">
      <c r="A578" s="175"/>
      <c r="B578" s="175"/>
      <c r="C578" s="175"/>
      <c r="D578" s="175"/>
      <c r="E578" s="175"/>
      <c r="F578" s="175"/>
      <c r="G578" s="175"/>
      <c r="H578" s="175"/>
      <c r="I578" s="175"/>
      <c r="J578" s="175"/>
      <c r="K578" s="175"/>
      <c r="L578" s="175"/>
      <c r="M578" s="175"/>
      <c r="N578" s="175"/>
      <c r="O578" s="175"/>
      <c r="P578" s="175"/>
      <c r="Q578" s="175"/>
      <c r="R578" s="175"/>
      <c r="S578" s="175"/>
      <c r="T578" s="175"/>
      <c r="U578" s="175"/>
      <c r="V578" s="175"/>
      <c r="W578" s="175"/>
      <c r="X578" s="175"/>
      <c r="Y578" s="175"/>
      <c r="Z578" s="175"/>
      <c r="AA578" s="175"/>
      <c r="AB578" s="175"/>
      <c r="AC578" s="175"/>
    </row>
    <row r="579" spans="1:29" ht="12.75">
      <c r="A579" s="175"/>
      <c r="B579" s="175"/>
      <c r="C579" s="175"/>
      <c r="D579" s="175"/>
      <c r="E579" s="175"/>
      <c r="F579" s="175"/>
      <c r="G579" s="175"/>
      <c r="H579" s="175"/>
      <c r="I579" s="175"/>
      <c r="J579" s="175"/>
      <c r="K579" s="175"/>
      <c r="L579" s="175"/>
      <c r="M579" s="175"/>
      <c r="N579" s="175"/>
      <c r="O579" s="175"/>
      <c r="P579" s="175"/>
      <c r="Q579" s="175"/>
      <c r="R579" s="175"/>
      <c r="S579" s="175"/>
      <c r="T579" s="175"/>
      <c r="U579" s="175"/>
      <c r="V579" s="175"/>
      <c r="W579" s="175"/>
      <c r="X579" s="175"/>
      <c r="Y579" s="175"/>
      <c r="Z579" s="175"/>
      <c r="AA579" s="175"/>
      <c r="AB579" s="175"/>
      <c r="AC579" s="175"/>
    </row>
    <row r="580" spans="1:29" ht="12.75">
      <c r="A580" s="175"/>
      <c r="B580" s="175"/>
      <c r="C580" s="175"/>
      <c r="D580" s="175"/>
      <c r="E580" s="175"/>
      <c r="F580" s="175"/>
      <c r="G580" s="175"/>
      <c r="H580" s="175"/>
      <c r="I580" s="175"/>
      <c r="J580" s="175"/>
      <c r="K580" s="175"/>
      <c r="L580" s="175"/>
      <c r="M580" s="175"/>
      <c r="N580" s="175"/>
      <c r="O580" s="175"/>
      <c r="P580" s="175"/>
      <c r="Q580" s="175"/>
      <c r="R580" s="175"/>
      <c r="S580" s="175"/>
      <c r="T580" s="175"/>
      <c r="U580" s="175"/>
      <c r="V580" s="175"/>
      <c r="W580" s="175"/>
      <c r="X580" s="175"/>
      <c r="Y580" s="175"/>
      <c r="Z580" s="175"/>
      <c r="AA580" s="175"/>
      <c r="AB580" s="175"/>
      <c r="AC580" s="175"/>
    </row>
    <row r="581" spans="1:29" ht="12.75">
      <c r="A581" s="175"/>
      <c r="B581" s="175"/>
      <c r="C581" s="175"/>
      <c r="D581" s="175"/>
      <c r="E581" s="175"/>
      <c r="F581" s="175"/>
      <c r="G581" s="175"/>
      <c r="H581" s="175"/>
      <c r="I581" s="175"/>
      <c r="J581" s="175"/>
      <c r="K581" s="175"/>
      <c r="L581" s="175"/>
      <c r="M581" s="175"/>
      <c r="N581" s="175"/>
      <c r="O581" s="175"/>
      <c r="P581" s="175"/>
      <c r="Q581" s="175"/>
      <c r="R581" s="175"/>
      <c r="S581" s="175"/>
      <c r="T581" s="175"/>
      <c r="U581" s="175"/>
      <c r="V581" s="175"/>
      <c r="W581" s="175"/>
      <c r="X581" s="175"/>
      <c r="Y581" s="175"/>
      <c r="Z581" s="175"/>
      <c r="AA581" s="175"/>
      <c r="AB581" s="175"/>
      <c r="AC581" s="175"/>
    </row>
    <row r="582" spans="1:29" ht="12.75">
      <c r="A582" s="175"/>
      <c r="B582" s="175"/>
      <c r="C582" s="175"/>
      <c r="D582" s="175"/>
      <c r="E582" s="175"/>
      <c r="F582" s="175"/>
      <c r="G582" s="175"/>
      <c r="H582" s="175"/>
      <c r="I582" s="175"/>
      <c r="J582" s="175"/>
      <c r="K582" s="175"/>
      <c r="L582" s="175"/>
      <c r="M582" s="175"/>
      <c r="N582" s="175"/>
      <c r="O582" s="175"/>
      <c r="P582" s="175"/>
      <c r="Q582" s="175"/>
      <c r="R582" s="175"/>
      <c r="S582" s="175"/>
      <c r="T582" s="175"/>
      <c r="U582" s="175"/>
      <c r="V582" s="175"/>
      <c r="W582" s="175"/>
      <c r="X582" s="175"/>
      <c r="Y582" s="175"/>
      <c r="Z582" s="175"/>
      <c r="AA582" s="175"/>
      <c r="AB582" s="175"/>
      <c r="AC582" s="175"/>
    </row>
    <row r="583" spans="1:29" ht="12.75">
      <c r="A583" s="175"/>
      <c r="B583" s="175"/>
      <c r="C583" s="175"/>
      <c r="D583" s="175"/>
      <c r="E583" s="175"/>
      <c r="F583" s="175"/>
      <c r="G583" s="175"/>
      <c r="H583" s="175"/>
      <c r="I583" s="175"/>
      <c r="J583" s="175"/>
      <c r="K583" s="175"/>
      <c r="L583" s="175"/>
      <c r="M583" s="175"/>
      <c r="N583" s="175"/>
      <c r="O583" s="175"/>
      <c r="P583" s="175"/>
      <c r="Q583" s="175"/>
      <c r="R583" s="175"/>
      <c r="S583" s="175"/>
      <c r="T583" s="175"/>
      <c r="U583" s="175"/>
      <c r="V583" s="175"/>
      <c r="W583" s="175"/>
      <c r="X583" s="175"/>
      <c r="Y583" s="175"/>
      <c r="Z583" s="175"/>
      <c r="AA583" s="175"/>
      <c r="AB583" s="175"/>
      <c r="AC583" s="175"/>
    </row>
    <row r="584" spans="1:29" ht="12.75">
      <c r="A584" s="175"/>
      <c r="B584" s="175"/>
      <c r="C584" s="175"/>
      <c r="D584" s="175"/>
      <c r="E584" s="175"/>
      <c r="F584" s="175"/>
      <c r="G584" s="175"/>
      <c r="H584" s="175"/>
      <c r="I584" s="175"/>
      <c r="J584" s="175"/>
      <c r="K584" s="175"/>
      <c r="L584" s="175"/>
      <c r="M584" s="175"/>
      <c r="N584" s="175"/>
      <c r="O584" s="175"/>
      <c r="P584" s="175"/>
      <c r="Q584" s="175"/>
      <c r="R584" s="175"/>
      <c r="S584" s="175"/>
      <c r="T584" s="175"/>
      <c r="U584" s="175"/>
      <c r="V584" s="175"/>
      <c r="W584" s="175"/>
      <c r="X584" s="175"/>
      <c r="Y584" s="175"/>
      <c r="Z584" s="175"/>
      <c r="AA584" s="175"/>
      <c r="AB584" s="175"/>
      <c r="AC584" s="175"/>
    </row>
    <row r="585" spans="1:29" ht="12.75">
      <c r="A585" s="175"/>
      <c r="B585" s="175"/>
      <c r="C585" s="175"/>
      <c r="D585" s="175"/>
      <c r="E585" s="175"/>
      <c r="F585" s="175"/>
      <c r="G585" s="175"/>
      <c r="H585" s="175"/>
      <c r="I585" s="175"/>
      <c r="J585" s="175"/>
      <c r="K585" s="175"/>
      <c r="L585" s="175"/>
      <c r="M585" s="175"/>
      <c r="N585" s="175"/>
      <c r="O585" s="175"/>
      <c r="P585" s="175"/>
      <c r="Q585" s="175"/>
      <c r="R585" s="175"/>
      <c r="S585" s="175"/>
      <c r="T585" s="175"/>
      <c r="U585" s="175"/>
      <c r="V585" s="175"/>
      <c r="W585" s="175"/>
      <c r="X585" s="175"/>
      <c r="Y585" s="175"/>
      <c r="Z585" s="175"/>
      <c r="AA585" s="175"/>
      <c r="AB585" s="175"/>
      <c r="AC585" s="175"/>
    </row>
    <row r="586" spans="1:29" ht="12.75">
      <c r="A586" s="175"/>
      <c r="B586" s="175"/>
      <c r="C586" s="175"/>
      <c r="D586" s="175"/>
      <c r="E586" s="175"/>
      <c r="F586" s="175"/>
      <c r="G586" s="175"/>
      <c r="H586" s="175"/>
      <c r="I586" s="175"/>
      <c r="J586" s="175"/>
      <c r="K586" s="175"/>
      <c r="L586" s="175"/>
      <c r="M586" s="175"/>
      <c r="N586" s="175"/>
      <c r="O586" s="175"/>
      <c r="P586" s="175"/>
      <c r="Q586" s="175"/>
      <c r="R586" s="175"/>
      <c r="S586" s="175"/>
      <c r="T586" s="175"/>
      <c r="U586" s="175"/>
      <c r="V586" s="175"/>
      <c r="W586" s="175"/>
      <c r="X586" s="175"/>
      <c r="Y586" s="175"/>
      <c r="Z586" s="175"/>
      <c r="AA586" s="175"/>
      <c r="AB586" s="175"/>
      <c r="AC586" s="175"/>
    </row>
    <row r="587" spans="1:29" ht="12.75">
      <c r="A587" s="175"/>
      <c r="B587" s="175"/>
      <c r="C587" s="175"/>
      <c r="D587" s="175"/>
      <c r="E587" s="175"/>
      <c r="F587" s="175"/>
      <c r="G587" s="175"/>
      <c r="H587" s="175"/>
      <c r="I587" s="175"/>
      <c r="J587" s="175"/>
      <c r="K587" s="175"/>
      <c r="L587" s="175"/>
      <c r="M587" s="175"/>
      <c r="N587" s="175"/>
      <c r="O587" s="175"/>
      <c r="P587" s="175"/>
      <c r="Q587" s="175"/>
      <c r="R587" s="175"/>
      <c r="S587" s="175"/>
      <c r="T587" s="175"/>
      <c r="U587" s="175"/>
      <c r="V587" s="175"/>
      <c r="W587" s="175"/>
      <c r="X587" s="175"/>
      <c r="Y587" s="175"/>
      <c r="Z587" s="175"/>
      <c r="AA587" s="175"/>
      <c r="AB587" s="175"/>
      <c r="AC587" s="175"/>
    </row>
    <row r="588" spans="1:29" ht="12.75">
      <c r="A588" s="175"/>
      <c r="B588" s="175"/>
      <c r="C588" s="175"/>
      <c r="D588" s="175"/>
      <c r="E588" s="175"/>
      <c r="F588" s="175"/>
      <c r="G588" s="175"/>
      <c r="H588" s="175"/>
      <c r="I588" s="175"/>
      <c r="J588" s="175"/>
      <c r="K588" s="175"/>
      <c r="L588" s="175"/>
      <c r="M588" s="175"/>
      <c r="N588" s="175"/>
      <c r="O588" s="175"/>
      <c r="P588" s="175"/>
      <c r="Q588" s="175"/>
      <c r="R588" s="175"/>
      <c r="S588" s="175"/>
      <c r="T588" s="175"/>
      <c r="U588" s="175"/>
      <c r="V588" s="175"/>
      <c r="W588" s="175"/>
      <c r="X588" s="175"/>
      <c r="Y588" s="175"/>
      <c r="Z588" s="175"/>
      <c r="AA588" s="175"/>
      <c r="AB588" s="175"/>
      <c r="AC588" s="175"/>
    </row>
    <row r="589" spans="1:29" ht="12.75">
      <c r="A589" s="175"/>
      <c r="B589" s="175"/>
      <c r="C589" s="175"/>
      <c r="D589" s="175"/>
      <c r="E589" s="175"/>
      <c r="F589" s="175"/>
      <c r="G589" s="175"/>
      <c r="H589" s="175"/>
      <c r="I589" s="175"/>
      <c r="J589" s="175"/>
      <c r="K589" s="175"/>
      <c r="L589" s="175"/>
      <c r="M589" s="175"/>
      <c r="N589" s="175"/>
      <c r="O589" s="175"/>
      <c r="P589" s="175"/>
      <c r="Q589" s="175"/>
      <c r="R589" s="175"/>
      <c r="S589" s="175"/>
      <c r="T589" s="175"/>
      <c r="U589" s="175"/>
      <c r="V589" s="175"/>
      <c r="W589" s="175"/>
      <c r="X589" s="175"/>
      <c r="Y589" s="175"/>
      <c r="Z589" s="175"/>
      <c r="AA589" s="175"/>
      <c r="AB589" s="175"/>
      <c r="AC589" s="175"/>
    </row>
    <row r="590" spans="1:29" ht="12.75">
      <c r="A590" s="175"/>
      <c r="B590" s="175"/>
      <c r="C590" s="175"/>
      <c r="D590" s="175"/>
      <c r="E590" s="175"/>
      <c r="F590" s="175"/>
      <c r="G590" s="175"/>
      <c r="H590" s="175"/>
      <c r="I590" s="175"/>
      <c r="J590" s="175"/>
      <c r="K590" s="175"/>
      <c r="L590" s="175"/>
      <c r="M590" s="175"/>
      <c r="N590" s="175"/>
      <c r="O590" s="175"/>
      <c r="P590" s="175"/>
      <c r="Q590" s="175"/>
      <c r="R590" s="175"/>
      <c r="S590" s="175"/>
      <c r="T590" s="175"/>
      <c r="U590" s="175"/>
      <c r="V590" s="175"/>
      <c r="W590" s="175"/>
      <c r="X590" s="175"/>
      <c r="Y590" s="175"/>
      <c r="Z590" s="175"/>
      <c r="AA590" s="175"/>
      <c r="AB590" s="175"/>
      <c r="AC590" s="175"/>
    </row>
    <row r="591" spans="1:29" ht="12.75">
      <c r="A591" s="175"/>
      <c r="B591" s="175"/>
      <c r="C591" s="175"/>
      <c r="D591" s="175"/>
      <c r="E591" s="175"/>
      <c r="F591" s="175"/>
      <c r="G591" s="175"/>
      <c r="H591" s="175"/>
      <c r="I591" s="175"/>
      <c r="J591" s="175"/>
      <c r="K591" s="175"/>
      <c r="L591" s="175"/>
      <c r="M591" s="175"/>
      <c r="N591" s="175"/>
      <c r="O591" s="175"/>
      <c r="P591" s="175"/>
      <c r="Q591" s="175"/>
      <c r="R591" s="175"/>
      <c r="S591" s="175"/>
      <c r="T591" s="175"/>
      <c r="U591" s="175"/>
      <c r="V591" s="175"/>
      <c r="W591" s="175"/>
      <c r="X591" s="175"/>
      <c r="Y591" s="175"/>
      <c r="Z591" s="175"/>
      <c r="AA591" s="175"/>
      <c r="AB591" s="175"/>
      <c r="AC591" s="175"/>
    </row>
    <row r="592" spans="1:29" ht="12.75">
      <c r="A592" s="175"/>
      <c r="B592" s="175"/>
      <c r="C592" s="175"/>
      <c r="D592" s="175"/>
      <c r="E592" s="175"/>
      <c r="F592" s="175"/>
      <c r="G592" s="175"/>
      <c r="H592" s="175"/>
      <c r="I592" s="175"/>
      <c r="J592" s="175"/>
      <c r="K592" s="175"/>
      <c r="L592" s="175"/>
      <c r="M592" s="175"/>
      <c r="N592" s="175"/>
      <c r="O592" s="175"/>
      <c r="P592" s="175"/>
      <c r="Q592" s="175"/>
      <c r="R592" s="175"/>
      <c r="S592" s="175"/>
      <c r="T592" s="175"/>
      <c r="U592" s="175"/>
      <c r="V592" s="175"/>
      <c r="W592" s="175"/>
      <c r="X592" s="175"/>
      <c r="Y592" s="175"/>
      <c r="Z592" s="175"/>
      <c r="AA592" s="175"/>
      <c r="AB592" s="175"/>
      <c r="AC592" s="175"/>
    </row>
    <row r="593" spans="1:29" ht="12.75">
      <c r="A593" s="175"/>
      <c r="B593" s="175"/>
      <c r="C593" s="175"/>
      <c r="D593" s="175"/>
      <c r="E593" s="175"/>
      <c r="F593" s="175"/>
      <c r="G593" s="175"/>
      <c r="H593" s="175"/>
      <c r="I593" s="175"/>
      <c r="J593" s="175"/>
      <c r="K593" s="175"/>
      <c r="L593" s="175"/>
      <c r="M593" s="175"/>
      <c r="N593" s="175"/>
      <c r="O593" s="175"/>
      <c r="P593" s="175"/>
      <c r="Q593" s="175"/>
      <c r="R593" s="175"/>
      <c r="S593" s="175"/>
      <c r="T593" s="175"/>
      <c r="U593" s="175"/>
      <c r="V593" s="175"/>
      <c r="W593" s="175"/>
      <c r="X593" s="175"/>
      <c r="Y593" s="175"/>
      <c r="Z593" s="175"/>
      <c r="AA593" s="175"/>
      <c r="AB593" s="175"/>
      <c r="AC593" s="175"/>
    </row>
    <row r="594" spans="1:29" ht="12.75">
      <c r="A594" s="175"/>
      <c r="B594" s="175"/>
      <c r="C594" s="175"/>
      <c r="D594" s="175"/>
      <c r="E594" s="175"/>
      <c r="F594" s="175"/>
      <c r="G594" s="175"/>
      <c r="H594" s="175"/>
      <c r="I594" s="175"/>
      <c r="J594" s="175"/>
      <c r="K594" s="175"/>
      <c r="L594" s="175"/>
      <c r="M594" s="175"/>
      <c r="N594" s="175"/>
      <c r="O594" s="175"/>
      <c r="P594" s="175"/>
      <c r="Q594" s="175"/>
      <c r="R594" s="175"/>
      <c r="S594" s="175"/>
      <c r="T594" s="175"/>
      <c r="U594" s="175"/>
      <c r="V594" s="175"/>
      <c r="W594" s="175"/>
      <c r="X594" s="175"/>
      <c r="Y594" s="175"/>
      <c r="Z594" s="175"/>
      <c r="AA594" s="175"/>
      <c r="AB594" s="175"/>
      <c r="AC594" s="175"/>
    </row>
    <row r="595" spans="1:29" ht="12.75">
      <c r="A595" s="175"/>
      <c r="B595" s="175"/>
      <c r="C595" s="175"/>
      <c r="D595" s="175"/>
      <c r="E595" s="175"/>
      <c r="F595" s="175"/>
      <c r="G595" s="175"/>
      <c r="H595" s="175"/>
      <c r="I595" s="175"/>
      <c r="J595" s="175"/>
      <c r="K595" s="175"/>
      <c r="L595" s="175"/>
      <c r="M595" s="175"/>
      <c r="N595" s="175"/>
      <c r="O595" s="175"/>
      <c r="P595" s="175"/>
      <c r="Q595" s="175"/>
      <c r="R595" s="175"/>
      <c r="S595" s="175"/>
      <c r="T595" s="175"/>
      <c r="U595" s="175"/>
      <c r="V595" s="175"/>
      <c r="W595" s="175"/>
      <c r="X595" s="175"/>
      <c r="Y595" s="175"/>
      <c r="Z595" s="175"/>
      <c r="AA595" s="175"/>
      <c r="AB595" s="175"/>
      <c r="AC595" s="175"/>
    </row>
    <row r="596" spans="1:29" ht="12.75">
      <c r="A596" s="175"/>
      <c r="B596" s="175"/>
      <c r="C596" s="175"/>
      <c r="D596" s="175"/>
      <c r="E596" s="175"/>
      <c r="F596" s="175"/>
      <c r="G596" s="175"/>
      <c r="H596" s="175"/>
      <c r="I596" s="175"/>
      <c r="J596" s="175"/>
      <c r="K596" s="175"/>
      <c r="L596" s="175"/>
      <c r="M596" s="175"/>
      <c r="N596" s="175"/>
      <c r="O596" s="175"/>
      <c r="P596" s="175"/>
      <c r="Q596" s="175"/>
      <c r="R596" s="175"/>
      <c r="S596" s="175"/>
      <c r="T596" s="175"/>
      <c r="U596" s="175"/>
      <c r="V596" s="175"/>
      <c r="W596" s="175"/>
      <c r="X596" s="175"/>
      <c r="Y596" s="175"/>
      <c r="Z596" s="175"/>
      <c r="AA596" s="175"/>
      <c r="AB596" s="175"/>
      <c r="AC596" s="175"/>
    </row>
    <row r="597" spans="1:29" ht="12.75">
      <c r="A597" s="175"/>
      <c r="B597" s="175"/>
      <c r="C597" s="175"/>
      <c r="D597" s="175"/>
      <c r="E597" s="175"/>
      <c r="F597" s="175"/>
      <c r="G597" s="175"/>
      <c r="H597" s="175"/>
      <c r="I597" s="175"/>
      <c r="J597" s="175"/>
      <c r="K597" s="175"/>
      <c r="L597" s="175"/>
      <c r="M597" s="175"/>
      <c r="N597" s="175"/>
      <c r="O597" s="175"/>
      <c r="P597" s="175"/>
      <c r="Q597" s="175"/>
      <c r="R597" s="175"/>
      <c r="S597" s="175"/>
      <c r="T597" s="175"/>
      <c r="U597" s="175"/>
      <c r="V597" s="175"/>
      <c r="W597" s="175"/>
      <c r="X597" s="175"/>
      <c r="Y597" s="175"/>
      <c r="Z597" s="175"/>
      <c r="AA597" s="175"/>
      <c r="AB597" s="175"/>
      <c r="AC597" s="175"/>
    </row>
    <row r="598" spans="1:29" ht="12.75">
      <c r="A598" s="175"/>
      <c r="B598" s="175"/>
      <c r="C598" s="175"/>
      <c r="D598" s="175"/>
      <c r="E598" s="175"/>
      <c r="F598" s="175"/>
      <c r="G598" s="175"/>
      <c r="H598" s="175"/>
      <c r="I598" s="175"/>
      <c r="J598" s="175"/>
      <c r="K598" s="175"/>
      <c r="L598" s="175"/>
      <c r="M598" s="175"/>
      <c r="N598" s="175"/>
      <c r="O598" s="175"/>
      <c r="P598" s="175"/>
      <c r="Q598" s="175"/>
      <c r="R598" s="175"/>
      <c r="S598" s="175"/>
      <c r="T598" s="175"/>
      <c r="U598" s="175"/>
      <c r="V598" s="175"/>
      <c r="W598" s="175"/>
      <c r="X598" s="175"/>
      <c r="Y598" s="175"/>
      <c r="Z598" s="175"/>
      <c r="AA598" s="175"/>
      <c r="AB598" s="175"/>
      <c r="AC598" s="175"/>
    </row>
    <row r="599" spans="1:29" ht="12.75">
      <c r="A599" s="175"/>
      <c r="B599" s="175"/>
      <c r="C599" s="175"/>
      <c r="D599" s="175"/>
      <c r="E599" s="175"/>
      <c r="F599" s="175"/>
      <c r="G599" s="175"/>
      <c r="H599" s="175"/>
      <c r="I599" s="175"/>
      <c r="J599" s="175"/>
      <c r="K599" s="175"/>
      <c r="L599" s="175"/>
      <c r="M599" s="175"/>
      <c r="N599" s="175"/>
      <c r="O599" s="175"/>
      <c r="P599" s="175"/>
      <c r="Q599" s="175"/>
      <c r="R599" s="175"/>
      <c r="S599" s="175"/>
      <c r="T599" s="175"/>
      <c r="U599" s="175"/>
      <c r="V599" s="175"/>
      <c r="W599" s="175"/>
      <c r="X599" s="175"/>
      <c r="Y599" s="175"/>
      <c r="Z599" s="175"/>
      <c r="AA599" s="175"/>
      <c r="AB599" s="175"/>
      <c r="AC599" s="175"/>
    </row>
    <row r="600" spans="1:29" ht="12.75">
      <c r="A600" s="175"/>
      <c r="B600" s="175"/>
      <c r="C600" s="175"/>
      <c r="D600" s="175"/>
      <c r="E600" s="175"/>
      <c r="F600" s="175"/>
      <c r="G600" s="175"/>
      <c r="H600" s="175"/>
      <c r="I600" s="175"/>
      <c r="J600" s="175"/>
      <c r="K600" s="175"/>
      <c r="L600" s="175"/>
      <c r="M600" s="175"/>
      <c r="N600" s="175"/>
      <c r="O600" s="175"/>
      <c r="P600" s="175"/>
      <c r="Q600" s="175"/>
      <c r="R600" s="175"/>
      <c r="S600" s="175"/>
      <c r="T600" s="175"/>
      <c r="U600" s="175"/>
      <c r="V600" s="175"/>
      <c r="W600" s="175"/>
      <c r="X600" s="175"/>
      <c r="Y600" s="175"/>
      <c r="Z600" s="175"/>
      <c r="AA600" s="175"/>
      <c r="AB600" s="175"/>
      <c r="AC600" s="175"/>
    </row>
    <row r="601" spans="1:29" ht="12.75">
      <c r="A601" s="175"/>
      <c r="B601" s="175"/>
      <c r="C601" s="175"/>
      <c r="D601" s="175"/>
      <c r="E601" s="175"/>
      <c r="F601" s="175"/>
      <c r="G601" s="175"/>
      <c r="H601" s="175"/>
      <c r="I601" s="175"/>
      <c r="J601" s="175"/>
      <c r="K601" s="175"/>
      <c r="L601" s="175"/>
      <c r="M601" s="175"/>
      <c r="N601" s="175"/>
      <c r="O601" s="175"/>
      <c r="P601" s="175"/>
      <c r="Q601" s="175"/>
      <c r="R601" s="175"/>
      <c r="S601" s="175"/>
      <c r="T601" s="175"/>
      <c r="U601" s="175"/>
      <c r="V601" s="175"/>
      <c r="W601" s="175"/>
      <c r="X601" s="175"/>
      <c r="Y601" s="175"/>
      <c r="Z601" s="175"/>
      <c r="AA601" s="175"/>
      <c r="AB601" s="175"/>
      <c r="AC601" s="175"/>
    </row>
    <row r="602" spans="1:29" ht="12.75">
      <c r="A602" s="175"/>
      <c r="B602" s="175"/>
      <c r="C602" s="175"/>
      <c r="D602" s="175"/>
      <c r="E602" s="175"/>
      <c r="F602" s="175"/>
      <c r="G602" s="175"/>
      <c r="H602" s="175"/>
      <c r="I602" s="175"/>
      <c r="J602" s="175"/>
      <c r="K602" s="175"/>
      <c r="L602" s="175"/>
      <c r="M602" s="175"/>
      <c r="N602" s="175"/>
      <c r="O602" s="175"/>
      <c r="P602" s="175"/>
      <c r="Q602" s="175"/>
      <c r="R602" s="175"/>
      <c r="S602" s="175"/>
      <c r="T602" s="175"/>
      <c r="U602" s="175"/>
      <c r="V602" s="175"/>
      <c r="W602" s="175"/>
      <c r="X602" s="175"/>
      <c r="Y602" s="175"/>
      <c r="Z602" s="175"/>
      <c r="AA602" s="175"/>
      <c r="AB602" s="175"/>
      <c r="AC602" s="175"/>
    </row>
    <row r="603" spans="1:29" ht="12.75">
      <c r="A603" s="175"/>
      <c r="B603" s="175"/>
      <c r="C603" s="175"/>
      <c r="D603" s="175"/>
      <c r="E603" s="175"/>
      <c r="F603" s="175"/>
      <c r="G603" s="175"/>
      <c r="H603" s="175"/>
      <c r="I603" s="175"/>
      <c r="J603" s="175"/>
      <c r="K603" s="175"/>
      <c r="L603" s="175"/>
      <c r="M603" s="175"/>
      <c r="N603" s="175"/>
      <c r="O603" s="175"/>
      <c r="P603" s="175"/>
      <c r="Q603" s="175"/>
      <c r="R603" s="175"/>
      <c r="S603" s="175"/>
      <c r="T603" s="175"/>
      <c r="U603" s="175"/>
      <c r="V603" s="175"/>
      <c r="W603" s="175"/>
      <c r="X603" s="175"/>
      <c r="Y603" s="175"/>
      <c r="Z603" s="175"/>
      <c r="AA603" s="175"/>
      <c r="AB603" s="175"/>
      <c r="AC603" s="175"/>
    </row>
    <row r="604" spans="1:29" ht="12.75">
      <c r="A604" s="175"/>
      <c r="B604" s="175"/>
      <c r="C604" s="175"/>
      <c r="D604" s="175"/>
      <c r="E604" s="175"/>
      <c r="F604" s="175"/>
      <c r="G604" s="175"/>
      <c r="H604" s="175"/>
      <c r="I604" s="175"/>
      <c r="J604" s="175"/>
      <c r="K604" s="175"/>
      <c r="L604" s="175"/>
      <c r="M604" s="175"/>
      <c r="N604" s="175"/>
      <c r="O604" s="175"/>
      <c r="P604" s="175"/>
      <c r="Q604" s="175"/>
      <c r="R604" s="175"/>
      <c r="S604" s="175"/>
      <c r="T604" s="175"/>
      <c r="U604" s="175"/>
      <c r="V604" s="175"/>
      <c r="W604" s="175"/>
      <c r="X604" s="175"/>
      <c r="Y604" s="175"/>
      <c r="Z604" s="175"/>
      <c r="AA604" s="175"/>
      <c r="AB604" s="175"/>
      <c r="AC604" s="175"/>
    </row>
    <row r="605" spans="1:29" ht="12.75">
      <c r="A605" s="175"/>
      <c r="B605" s="175"/>
      <c r="C605" s="175"/>
      <c r="D605" s="175"/>
      <c r="E605" s="175"/>
      <c r="F605" s="175"/>
      <c r="G605" s="175"/>
      <c r="H605" s="175"/>
      <c r="I605" s="175"/>
      <c r="J605" s="175"/>
      <c r="K605" s="175"/>
      <c r="L605" s="175"/>
      <c r="M605" s="175"/>
      <c r="N605" s="175"/>
      <c r="O605" s="175"/>
      <c r="P605" s="175"/>
      <c r="Q605" s="175"/>
      <c r="R605" s="175"/>
      <c r="S605" s="175"/>
      <c r="T605" s="175"/>
      <c r="U605" s="175"/>
      <c r="V605" s="175"/>
      <c r="W605" s="175"/>
      <c r="X605" s="175"/>
      <c r="Y605" s="175"/>
      <c r="Z605" s="175"/>
      <c r="AA605" s="175"/>
      <c r="AB605" s="175"/>
      <c r="AC605" s="175"/>
    </row>
    <row r="606" spans="1:29" ht="12.75">
      <c r="A606" s="175"/>
      <c r="B606" s="175"/>
      <c r="C606" s="175"/>
      <c r="D606" s="175"/>
      <c r="E606" s="175"/>
      <c r="F606" s="175"/>
      <c r="G606" s="175"/>
      <c r="H606" s="175"/>
      <c r="I606" s="175"/>
      <c r="J606" s="175"/>
      <c r="K606" s="175"/>
      <c r="L606" s="175"/>
      <c r="M606" s="175"/>
      <c r="N606" s="175"/>
      <c r="O606" s="175"/>
      <c r="P606" s="175"/>
      <c r="Q606" s="175"/>
      <c r="R606" s="175"/>
      <c r="S606" s="175"/>
      <c r="T606" s="175"/>
      <c r="U606" s="175"/>
      <c r="V606" s="175"/>
      <c r="W606" s="175"/>
      <c r="X606" s="175"/>
      <c r="Y606" s="175"/>
      <c r="Z606" s="175"/>
      <c r="AA606" s="175"/>
      <c r="AB606" s="175"/>
      <c r="AC606" s="175"/>
    </row>
    <row r="607" spans="1:29" ht="12.75">
      <c r="A607" s="175"/>
      <c r="B607" s="175"/>
      <c r="C607" s="175"/>
      <c r="D607" s="175"/>
      <c r="E607" s="175"/>
      <c r="F607" s="175"/>
      <c r="G607" s="175"/>
      <c r="H607" s="175"/>
      <c r="I607" s="175"/>
      <c r="J607" s="175"/>
      <c r="K607" s="175"/>
      <c r="L607" s="175"/>
      <c r="M607" s="175"/>
      <c r="N607" s="175"/>
      <c r="O607" s="175"/>
      <c r="P607" s="175"/>
      <c r="Q607" s="175"/>
      <c r="R607" s="175"/>
      <c r="S607" s="175"/>
      <c r="T607" s="175"/>
      <c r="U607" s="175"/>
      <c r="V607" s="175"/>
      <c r="W607" s="175"/>
      <c r="X607" s="175"/>
      <c r="Y607" s="175"/>
      <c r="Z607" s="175"/>
      <c r="AA607" s="175"/>
      <c r="AB607" s="175"/>
      <c r="AC607" s="175"/>
    </row>
    <row r="608" spans="1:29" ht="12.75">
      <c r="A608" s="175"/>
      <c r="B608" s="175"/>
      <c r="C608" s="175"/>
      <c r="D608" s="175"/>
      <c r="E608" s="175"/>
      <c r="F608" s="175"/>
      <c r="G608" s="175"/>
      <c r="H608" s="175"/>
      <c r="I608" s="175"/>
      <c r="J608" s="175"/>
      <c r="K608" s="175"/>
      <c r="L608" s="175"/>
      <c r="M608" s="175"/>
      <c r="N608" s="175"/>
      <c r="O608" s="175"/>
      <c r="P608" s="175"/>
      <c r="Q608" s="175"/>
      <c r="R608" s="175"/>
      <c r="S608" s="175"/>
      <c r="T608" s="175"/>
      <c r="U608" s="175"/>
      <c r="V608" s="175"/>
      <c r="W608" s="175"/>
      <c r="X608" s="175"/>
      <c r="Y608" s="175"/>
      <c r="Z608" s="175"/>
      <c r="AA608" s="175"/>
      <c r="AB608" s="175"/>
      <c r="AC608" s="175"/>
    </row>
    <row r="609" spans="1:29" ht="12.75">
      <c r="A609" s="175"/>
      <c r="B609" s="175"/>
      <c r="C609" s="175"/>
      <c r="D609" s="175"/>
      <c r="E609" s="175"/>
      <c r="F609" s="175"/>
      <c r="G609" s="175"/>
      <c r="H609" s="175"/>
      <c r="I609" s="175"/>
      <c r="J609" s="175"/>
      <c r="K609" s="175"/>
      <c r="L609" s="175"/>
      <c r="M609" s="175"/>
      <c r="N609" s="175"/>
      <c r="O609" s="175"/>
      <c r="P609" s="175"/>
      <c r="Q609" s="175"/>
      <c r="R609" s="175"/>
      <c r="S609" s="175"/>
      <c r="T609" s="175"/>
      <c r="U609" s="175"/>
      <c r="V609" s="175"/>
      <c r="W609" s="175"/>
      <c r="X609" s="175"/>
      <c r="Y609" s="175"/>
      <c r="Z609" s="175"/>
      <c r="AA609" s="175"/>
      <c r="AB609" s="175"/>
      <c r="AC609" s="175"/>
    </row>
    <row r="610" spans="1:29" ht="12.75">
      <c r="A610" s="175"/>
      <c r="B610" s="175"/>
      <c r="C610" s="175"/>
      <c r="D610" s="175"/>
      <c r="E610" s="175"/>
      <c r="F610" s="175"/>
      <c r="G610" s="175"/>
      <c r="H610" s="175"/>
      <c r="I610" s="175"/>
      <c r="J610" s="175"/>
      <c r="K610" s="175"/>
      <c r="L610" s="175"/>
      <c r="M610" s="175"/>
      <c r="N610" s="175"/>
      <c r="O610" s="175"/>
      <c r="P610" s="175"/>
      <c r="Q610" s="175"/>
      <c r="R610" s="175"/>
      <c r="S610" s="175"/>
      <c r="T610" s="175"/>
      <c r="U610" s="175"/>
      <c r="V610" s="175"/>
      <c r="W610" s="175"/>
      <c r="X610" s="175"/>
      <c r="Y610" s="175"/>
      <c r="Z610" s="175"/>
      <c r="AA610" s="175"/>
      <c r="AB610" s="175"/>
      <c r="AC610" s="175"/>
    </row>
    <row r="611" spans="1:29" ht="12.75">
      <c r="A611" s="175"/>
      <c r="B611" s="175"/>
      <c r="C611" s="175"/>
      <c r="D611" s="175"/>
      <c r="E611" s="175"/>
      <c r="F611" s="175"/>
      <c r="G611" s="175"/>
      <c r="H611" s="175"/>
      <c r="I611" s="175"/>
      <c r="J611" s="175"/>
      <c r="K611" s="175"/>
      <c r="L611" s="175"/>
      <c r="M611" s="175"/>
      <c r="N611" s="175"/>
      <c r="O611" s="175"/>
      <c r="P611" s="175"/>
      <c r="Q611" s="175"/>
      <c r="R611" s="175"/>
      <c r="S611" s="175"/>
      <c r="T611" s="175"/>
      <c r="U611" s="175"/>
      <c r="V611" s="175"/>
      <c r="W611" s="175"/>
      <c r="X611" s="175"/>
      <c r="Y611" s="175"/>
      <c r="Z611" s="175"/>
      <c r="AA611" s="175"/>
      <c r="AB611" s="175"/>
      <c r="AC611" s="175"/>
    </row>
    <row r="612" spans="1:29" ht="12.75">
      <c r="A612" s="175"/>
      <c r="B612" s="175"/>
      <c r="C612" s="175"/>
      <c r="D612" s="175"/>
      <c r="E612" s="175"/>
      <c r="F612" s="175"/>
      <c r="G612" s="175"/>
      <c r="H612" s="175"/>
      <c r="I612" s="175"/>
      <c r="J612" s="175"/>
      <c r="K612" s="175"/>
      <c r="L612" s="175"/>
      <c r="M612" s="175"/>
      <c r="N612" s="175"/>
      <c r="O612" s="175"/>
      <c r="P612" s="175"/>
      <c r="Q612" s="175"/>
      <c r="R612" s="175"/>
      <c r="S612" s="175"/>
      <c r="T612" s="175"/>
      <c r="U612" s="175"/>
      <c r="V612" s="175"/>
      <c r="W612" s="175"/>
      <c r="X612" s="175"/>
      <c r="Y612" s="175"/>
      <c r="Z612" s="175"/>
      <c r="AA612" s="175"/>
      <c r="AB612" s="175"/>
      <c r="AC612" s="175"/>
    </row>
    <row r="613" spans="1:29" ht="12.75">
      <c r="A613" s="175"/>
      <c r="B613" s="175"/>
      <c r="C613" s="175"/>
      <c r="D613" s="175"/>
      <c r="E613" s="175"/>
      <c r="F613" s="175"/>
      <c r="G613" s="175"/>
      <c r="H613" s="175"/>
      <c r="I613" s="175"/>
      <c r="J613" s="175"/>
      <c r="K613" s="175"/>
      <c r="L613" s="175"/>
      <c r="M613" s="175"/>
      <c r="N613" s="175"/>
      <c r="O613" s="175"/>
      <c r="P613" s="175"/>
      <c r="Q613" s="175"/>
      <c r="R613" s="175"/>
      <c r="S613" s="175"/>
      <c r="T613" s="175"/>
      <c r="U613" s="175"/>
      <c r="V613" s="175"/>
      <c r="W613" s="175"/>
      <c r="X613" s="175"/>
      <c r="Y613" s="175"/>
      <c r="Z613" s="175"/>
      <c r="AA613" s="175"/>
      <c r="AB613" s="175"/>
      <c r="AC613" s="175"/>
    </row>
    <row r="614" spans="1:29" ht="12.75">
      <c r="A614" s="175"/>
      <c r="B614" s="175"/>
      <c r="C614" s="175"/>
      <c r="D614" s="175"/>
      <c r="E614" s="175"/>
      <c r="F614" s="175"/>
      <c r="G614" s="175"/>
      <c r="H614" s="175"/>
      <c r="I614" s="175"/>
      <c r="J614" s="175"/>
      <c r="K614" s="175"/>
      <c r="L614" s="175"/>
      <c r="M614" s="175"/>
      <c r="N614" s="175"/>
      <c r="O614" s="175"/>
      <c r="P614" s="175"/>
      <c r="Q614" s="175"/>
      <c r="R614" s="175"/>
      <c r="S614" s="175"/>
      <c r="T614" s="175"/>
      <c r="U614" s="175"/>
      <c r="V614" s="175"/>
      <c r="W614" s="175"/>
      <c r="X614" s="175"/>
      <c r="Y614" s="175"/>
      <c r="Z614" s="175"/>
      <c r="AA614" s="175"/>
      <c r="AB614" s="175"/>
      <c r="AC614" s="175"/>
    </row>
    <row r="615" spans="1:29" ht="12.75">
      <c r="A615" s="175"/>
      <c r="B615" s="175"/>
      <c r="C615" s="175"/>
      <c r="D615" s="175"/>
      <c r="E615" s="175"/>
      <c r="F615" s="175"/>
      <c r="G615" s="175"/>
      <c r="H615" s="175"/>
      <c r="I615" s="175"/>
      <c r="J615" s="175"/>
      <c r="K615" s="175"/>
      <c r="L615" s="175"/>
      <c r="M615" s="175"/>
      <c r="N615" s="175"/>
      <c r="O615" s="175"/>
      <c r="P615" s="175"/>
      <c r="Q615" s="175"/>
      <c r="R615" s="175"/>
      <c r="S615" s="175"/>
      <c r="T615" s="175"/>
      <c r="U615" s="175"/>
      <c r="V615" s="175"/>
      <c r="W615" s="175"/>
      <c r="X615" s="175"/>
      <c r="Y615" s="175"/>
      <c r="Z615" s="175"/>
      <c r="AA615" s="175"/>
      <c r="AB615" s="175"/>
      <c r="AC615" s="175"/>
    </row>
    <row r="616" spans="1:29" ht="12.75">
      <c r="A616" s="175"/>
      <c r="B616" s="175"/>
      <c r="C616" s="175"/>
      <c r="D616" s="175"/>
      <c r="E616" s="175"/>
      <c r="F616" s="175"/>
      <c r="G616" s="175"/>
      <c r="H616" s="175"/>
      <c r="I616" s="175"/>
      <c r="J616" s="175"/>
      <c r="K616" s="175"/>
      <c r="L616" s="175"/>
      <c r="M616" s="175"/>
      <c r="N616" s="175"/>
      <c r="O616" s="175"/>
      <c r="P616" s="175"/>
      <c r="Q616" s="175"/>
      <c r="R616" s="175"/>
      <c r="S616" s="175"/>
      <c r="T616" s="175"/>
      <c r="U616" s="175"/>
      <c r="V616" s="175"/>
      <c r="W616" s="175"/>
      <c r="X616" s="175"/>
      <c r="Y616" s="175"/>
      <c r="Z616" s="175"/>
      <c r="AA616" s="175"/>
      <c r="AB616" s="175"/>
      <c r="AC616" s="175"/>
    </row>
    <row r="617" spans="1:29" ht="12.75">
      <c r="A617" s="175"/>
      <c r="B617" s="175"/>
      <c r="C617" s="175"/>
      <c r="D617" s="175"/>
      <c r="E617" s="175"/>
      <c r="F617" s="175"/>
      <c r="G617" s="175"/>
      <c r="H617" s="175"/>
      <c r="I617" s="175"/>
      <c r="J617" s="175"/>
      <c r="K617" s="175"/>
      <c r="L617" s="175"/>
      <c r="M617" s="175"/>
      <c r="N617" s="175"/>
      <c r="O617" s="175"/>
      <c r="P617" s="175"/>
      <c r="Q617" s="175"/>
      <c r="R617" s="175"/>
      <c r="S617" s="175"/>
      <c r="T617" s="175"/>
      <c r="U617" s="175"/>
      <c r="V617" s="175"/>
      <c r="W617" s="175"/>
      <c r="X617" s="175"/>
      <c r="Y617" s="175"/>
      <c r="Z617" s="175"/>
      <c r="AA617" s="175"/>
      <c r="AB617" s="175"/>
      <c r="AC617" s="175"/>
    </row>
    <row r="618" spans="1:29" ht="12.75">
      <c r="A618" s="175"/>
      <c r="B618" s="175"/>
      <c r="C618" s="175"/>
      <c r="D618" s="175"/>
      <c r="E618" s="175"/>
      <c r="F618" s="175"/>
      <c r="G618" s="175"/>
      <c r="H618" s="175"/>
      <c r="I618" s="175"/>
      <c r="J618" s="175"/>
      <c r="K618" s="175"/>
      <c r="L618" s="175"/>
      <c r="M618" s="175"/>
      <c r="N618" s="175"/>
      <c r="O618" s="175"/>
      <c r="P618" s="175"/>
      <c r="Q618" s="175"/>
      <c r="R618" s="175"/>
      <c r="S618" s="175"/>
      <c r="T618" s="175"/>
      <c r="U618" s="175"/>
      <c r="V618" s="175"/>
      <c r="W618" s="175"/>
      <c r="X618" s="175"/>
      <c r="Y618" s="175"/>
      <c r="Z618" s="175"/>
      <c r="AA618" s="175"/>
      <c r="AB618" s="175"/>
      <c r="AC618" s="175"/>
    </row>
    <row r="619" spans="1:29" ht="12.75">
      <c r="A619" s="175"/>
      <c r="B619" s="175"/>
      <c r="C619" s="175"/>
      <c r="D619" s="175"/>
      <c r="E619" s="175"/>
      <c r="F619" s="175"/>
      <c r="G619" s="175"/>
      <c r="H619" s="175"/>
      <c r="I619" s="175"/>
      <c r="J619" s="175"/>
      <c r="K619" s="175"/>
      <c r="L619" s="175"/>
      <c r="M619" s="175"/>
      <c r="N619" s="175"/>
      <c r="O619" s="175"/>
      <c r="P619" s="175"/>
      <c r="Q619" s="175"/>
      <c r="R619" s="175"/>
      <c r="S619" s="175"/>
      <c r="T619" s="175"/>
      <c r="U619" s="175"/>
      <c r="V619" s="175"/>
      <c r="W619" s="175"/>
      <c r="X619" s="175"/>
      <c r="Y619" s="175"/>
      <c r="Z619" s="175"/>
      <c r="AA619" s="175"/>
      <c r="AB619" s="175"/>
      <c r="AC619" s="175"/>
    </row>
    <row r="620" spans="1:29" ht="12.75">
      <c r="A620" s="175"/>
      <c r="B620" s="175"/>
      <c r="C620" s="175"/>
      <c r="D620" s="175"/>
      <c r="E620" s="175"/>
      <c r="F620" s="175"/>
      <c r="G620" s="175"/>
      <c r="H620" s="175"/>
      <c r="I620" s="175"/>
      <c r="J620" s="175"/>
      <c r="K620" s="175"/>
      <c r="L620" s="175"/>
      <c r="M620" s="175"/>
      <c r="N620" s="175"/>
      <c r="O620" s="175"/>
      <c r="P620" s="175"/>
      <c r="Q620" s="175"/>
      <c r="R620" s="175"/>
      <c r="S620" s="175"/>
      <c r="T620" s="175"/>
      <c r="U620" s="175"/>
      <c r="V620" s="175"/>
      <c r="W620" s="175"/>
      <c r="X620" s="175"/>
      <c r="Y620" s="175"/>
      <c r="Z620" s="175"/>
      <c r="AA620" s="175"/>
      <c r="AB620" s="175"/>
      <c r="AC620" s="175"/>
    </row>
    <row r="621" spans="1:29" ht="12.75">
      <c r="A621" s="175"/>
      <c r="B621" s="175"/>
      <c r="C621" s="175"/>
      <c r="D621" s="175"/>
      <c r="E621" s="175"/>
      <c r="F621" s="175"/>
      <c r="G621" s="175"/>
      <c r="H621" s="175"/>
      <c r="I621" s="175"/>
      <c r="J621" s="175"/>
      <c r="K621" s="175"/>
      <c r="L621" s="175"/>
      <c r="M621" s="175"/>
      <c r="N621" s="175"/>
      <c r="O621" s="175"/>
      <c r="P621" s="175"/>
      <c r="Q621" s="175"/>
      <c r="R621" s="175"/>
      <c r="S621" s="175"/>
      <c r="T621" s="175"/>
      <c r="U621" s="175"/>
      <c r="V621" s="175"/>
      <c r="W621" s="175"/>
      <c r="X621" s="175"/>
      <c r="Y621" s="175"/>
      <c r="Z621" s="175"/>
      <c r="AA621" s="175"/>
      <c r="AB621" s="175"/>
      <c r="AC621" s="175"/>
    </row>
    <row r="622" spans="1:29" ht="12.75">
      <c r="A622" s="175"/>
      <c r="B622" s="175"/>
      <c r="C622" s="175"/>
      <c r="D622" s="175"/>
      <c r="E622" s="175"/>
      <c r="F622" s="175"/>
      <c r="G622" s="175"/>
      <c r="H622" s="175"/>
      <c r="I622" s="175"/>
      <c r="J622" s="175"/>
      <c r="K622" s="175"/>
      <c r="L622" s="175"/>
      <c r="M622" s="175"/>
      <c r="N622" s="175"/>
      <c r="O622" s="175"/>
      <c r="P622" s="175"/>
      <c r="Q622" s="175"/>
      <c r="R622" s="175"/>
      <c r="S622" s="175"/>
      <c r="T622" s="175"/>
      <c r="U622" s="175"/>
      <c r="V622" s="175"/>
      <c r="W622" s="175"/>
      <c r="X622" s="175"/>
      <c r="Y622" s="175"/>
      <c r="Z622" s="175"/>
      <c r="AA622" s="175"/>
      <c r="AB622" s="175"/>
      <c r="AC622" s="175"/>
    </row>
    <row r="623" spans="1:29" ht="12.75">
      <c r="A623" s="175"/>
      <c r="B623" s="175"/>
      <c r="C623" s="175"/>
      <c r="D623" s="175"/>
      <c r="E623" s="175"/>
      <c r="F623" s="175"/>
      <c r="G623" s="175"/>
      <c r="H623" s="175"/>
      <c r="I623" s="175"/>
      <c r="J623" s="175"/>
      <c r="K623" s="175"/>
      <c r="L623" s="175"/>
      <c r="M623" s="175"/>
      <c r="N623" s="175"/>
      <c r="O623" s="175"/>
      <c r="P623" s="175"/>
      <c r="Q623" s="175"/>
      <c r="R623" s="175"/>
      <c r="S623" s="175"/>
      <c r="T623" s="175"/>
      <c r="U623" s="175"/>
      <c r="V623" s="175"/>
      <c r="W623" s="175"/>
      <c r="X623" s="175"/>
      <c r="Y623" s="175"/>
      <c r="Z623" s="175"/>
      <c r="AA623" s="175"/>
      <c r="AB623" s="175"/>
      <c r="AC623" s="175"/>
    </row>
    <row r="624" spans="1:29" ht="12.75">
      <c r="A624" s="175"/>
      <c r="B624" s="175"/>
      <c r="C624" s="175"/>
      <c r="D624" s="175"/>
      <c r="E624" s="175"/>
      <c r="F624" s="175"/>
      <c r="G624" s="175"/>
      <c r="H624" s="175"/>
      <c r="I624" s="175"/>
      <c r="J624" s="175"/>
      <c r="K624" s="175"/>
      <c r="L624" s="175"/>
      <c r="M624" s="175"/>
      <c r="N624" s="175"/>
      <c r="O624" s="175"/>
      <c r="P624" s="175"/>
      <c r="Q624" s="175"/>
      <c r="R624" s="175"/>
      <c r="S624" s="175"/>
      <c r="T624" s="175"/>
      <c r="U624" s="175"/>
      <c r="V624" s="175"/>
      <c r="W624" s="175"/>
      <c r="X624" s="175"/>
      <c r="Y624" s="175"/>
      <c r="Z624" s="175"/>
      <c r="AA624" s="175"/>
      <c r="AB624" s="175"/>
      <c r="AC624" s="175"/>
    </row>
    <row r="625" spans="1:29" ht="12.75">
      <c r="A625" s="175"/>
      <c r="B625" s="175"/>
      <c r="C625" s="175"/>
      <c r="D625" s="175"/>
      <c r="E625" s="175"/>
      <c r="F625" s="175"/>
      <c r="G625" s="175"/>
      <c r="H625" s="175"/>
      <c r="I625" s="175"/>
      <c r="J625" s="175"/>
      <c r="K625" s="175"/>
      <c r="L625" s="175"/>
      <c r="M625" s="175"/>
      <c r="N625" s="175"/>
      <c r="O625" s="175"/>
      <c r="P625" s="175"/>
      <c r="Q625" s="175"/>
      <c r="R625" s="175"/>
      <c r="S625" s="175"/>
      <c r="T625" s="175"/>
      <c r="U625" s="175"/>
      <c r="V625" s="175"/>
      <c r="W625" s="175"/>
      <c r="X625" s="175"/>
      <c r="Y625" s="175"/>
      <c r="Z625" s="175"/>
      <c r="AA625" s="175"/>
      <c r="AB625" s="175"/>
      <c r="AC625" s="175"/>
    </row>
    <row r="626" spans="1:29" ht="12.75">
      <c r="A626" s="175"/>
      <c r="B626" s="175"/>
      <c r="C626" s="175"/>
      <c r="D626" s="175"/>
      <c r="E626" s="175"/>
      <c r="F626" s="175"/>
      <c r="G626" s="175"/>
      <c r="H626" s="175"/>
      <c r="I626" s="175"/>
      <c r="J626" s="175"/>
      <c r="K626" s="175"/>
      <c r="L626" s="175"/>
      <c r="M626" s="175"/>
      <c r="N626" s="175"/>
      <c r="O626" s="175"/>
      <c r="P626" s="175"/>
      <c r="Q626" s="175"/>
      <c r="R626" s="175"/>
      <c r="S626" s="175"/>
      <c r="T626" s="175"/>
      <c r="U626" s="175"/>
      <c r="V626" s="175"/>
      <c r="W626" s="175"/>
      <c r="X626" s="175"/>
      <c r="Y626" s="175"/>
      <c r="Z626" s="175"/>
      <c r="AA626" s="175"/>
      <c r="AB626" s="175"/>
      <c r="AC626" s="175"/>
    </row>
    <row r="627" spans="1:29" ht="12.75">
      <c r="A627" s="175"/>
      <c r="B627" s="175"/>
      <c r="C627" s="175"/>
      <c r="D627" s="175"/>
      <c r="E627" s="175"/>
      <c r="F627" s="175"/>
      <c r="G627" s="175"/>
      <c r="H627" s="175"/>
      <c r="I627" s="175"/>
      <c r="J627" s="175"/>
      <c r="K627" s="175"/>
      <c r="L627" s="175"/>
      <c r="M627" s="175"/>
      <c r="N627" s="175"/>
      <c r="O627" s="175"/>
      <c r="P627" s="175"/>
      <c r="Q627" s="175"/>
      <c r="R627" s="175"/>
      <c r="S627" s="175"/>
      <c r="T627" s="175"/>
      <c r="U627" s="175"/>
      <c r="V627" s="175"/>
      <c r="W627" s="175"/>
      <c r="X627" s="175"/>
      <c r="Y627" s="175"/>
      <c r="Z627" s="175"/>
      <c r="AA627" s="175"/>
      <c r="AB627" s="175"/>
      <c r="AC627" s="175"/>
    </row>
    <row r="628" spans="1:29" ht="12.75">
      <c r="A628" s="175"/>
      <c r="B628" s="175"/>
      <c r="C628" s="175"/>
      <c r="D628" s="175"/>
      <c r="E628" s="175"/>
      <c r="F628" s="175"/>
      <c r="G628" s="175"/>
      <c r="H628" s="175"/>
      <c r="I628" s="175"/>
      <c r="J628" s="175"/>
      <c r="K628" s="175"/>
      <c r="L628" s="175"/>
      <c r="M628" s="175"/>
      <c r="N628" s="175"/>
      <c r="O628" s="175"/>
      <c r="P628" s="175"/>
      <c r="Q628" s="175"/>
      <c r="R628" s="175"/>
      <c r="S628" s="175"/>
      <c r="T628" s="175"/>
      <c r="U628" s="175"/>
      <c r="V628" s="175"/>
      <c r="W628" s="175"/>
      <c r="X628" s="175"/>
      <c r="Y628" s="175"/>
      <c r="Z628" s="175"/>
      <c r="AA628" s="175"/>
      <c r="AB628" s="175"/>
      <c r="AC628" s="175"/>
    </row>
    <row r="629" spans="1:29" ht="12.75">
      <c r="A629" s="175"/>
      <c r="B629" s="175"/>
      <c r="C629" s="175"/>
      <c r="D629" s="175"/>
      <c r="E629" s="175"/>
      <c r="F629" s="175"/>
      <c r="G629" s="175"/>
      <c r="H629" s="175"/>
      <c r="I629" s="175"/>
      <c r="J629" s="175"/>
      <c r="K629" s="175"/>
      <c r="L629" s="175"/>
      <c r="M629" s="175"/>
      <c r="N629" s="175"/>
      <c r="O629" s="175"/>
      <c r="P629" s="175"/>
      <c r="Q629" s="175"/>
      <c r="R629" s="175"/>
      <c r="S629" s="175"/>
      <c r="T629" s="175"/>
      <c r="U629" s="175"/>
      <c r="V629" s="175"/>
      <c r="W629" s="175"/>
      <c r="X629" s="175"/>
      <c r="Y629" s="175"/>
      <c r="Z629" s="175"/>
      <c r="AA629" s="175"/>
      <c r="AB629" s="175"/>
      <c r="AC629" s="175"/>
    </row>
    <row r="630" spans="1:29" ht="12.75">
      <c r="A630" s="175"/>
      <c r="B630" s="175"/>
      <c r="C630" s="175"/>
      <c r="D630" s="175"/>
      <c r="E630" s="175"/>
      <c r="F630" s="175"/>
      <c r="G630" s="175"/>
      <c r="H630" s="175"/>
      <c r="I630" s="175"/>
      <c r="J630" s="175"/>
      <c r="K630" s="175"/>
      <c r="L630" s="175"/>
      <c r="M630" s="175"/>
      <c r="N630" s="175"/>
      <c r="O630" s="175"/>
      <c r="P630" s="175"/>
      <c r="Q630" s="175"/>
      <c r="R630" s="175"/>
      <c r="S630" s="175"/>
      <c r="T630" s="175"/>
      <c r="U630" s="175"/>
      <c r="V630" s="175"/>
      <c r="W630" s="175"/>
      <c r="X630" s="175"/>
      <c r="Y630" s="175"/>
      <c r="Z630" s="175"/>
      <c r="AA630" s="175"/>
      <c r="AB630" s="175"/>
      <c r="AC630" s="175"/>
    </row>
    <row r="631" spans="1:29" ht="12.75">
      <c r="A631" s="175"/>
      <c r="B631" s="175"/>
      <c r="C631" s="175"/>
      <c r="D631" s="175"/>
      <c r="E631" s="175"/>
      <c r="F631" s="175"/>
      <c r="G631" s="175"/>
      <c r="H631" s="175"/>
      <c r="I631" s="175"/>
      <c r="J631" s="175"/>
      <c r="K631" s="175"/>
      <c r="L631" s="175"/>
      <c r="M631" s="175"/>
      <c r="N631" s="175"/>
      <c r="O631" s="175"/>
      <c r="P631" s="175"/>
      <c r="Q631" s="175"/>
      <c r="R631" s="175"/>
      <c r="S631" s="175"/>
      <c r="T631" s="175"/>
      <c r="U631" s="175"/>
      <c r="V631" s="175"/>
      <c r="W631" s="175"/>
      <c r="X631" s="175"/>
      <c r="Y631" s="175"/>
      <c r="Z631" s="175"/>
      <c r="AA631" s="175"/>
      <c r="AB631" s="175"/>
      <c r="AC631" s="175"/>
    </row>
    <row r="632" spans="1:29" ht="12.75">
      <c r="A632" s="175"/>
      <c r="B632" s="175"/>
      <c r="C632" s="175"/>
      <c r="D632" s="175"/>
      <c r="E632" s="175"/>
      <c r="F632" s="175"/>
      <c r="G632" s="175"/>
      <c r="H632" s="175"/>
      <c r="I632" s="175"/>
      <c r="J632" s="175"/>
      <c r="K632" s="175"/>
      <c r="L632" s="175"/>
      <c r="M632" s="175"/>
      <c r="N632" s="175"/>
      <c r="O632" s="175"/>
      <c r="P632" s="175"/>
      <c r="Q632" s="175"/>
      <c r="R632" s="175"/>
      <c r="S632" s="175"/>
      <c r="T632" s="175"/>
      <c r="U632" s="175"/>
      <c r="V632" s="175"/>
      <c r="W632" s="175"/>
      <c r="X632" s="175"/>
      <c r="Y632" s="175"/>
      <c r="Z632" s="175"/>
      <c r="AA632" s="175"/>
      <c r="AB632" s="175"/>
      <c r="AC632" s="175"/>
    </row>
    <row r="633" spans="1:29" ht="12.75">
      <c r="A633" s="175"/>
      <c r="B633" s="175"/>
      <c r="C633" s="175"/>
      <c r="D633" s="175"/>
      <c r="E633" s="175"/>
      <c r="F633" s="175"/>
      <c r="G633" s="175"/>
      <c r="H633" s="175"/>
      <c r="I633" s="175"/>
      <c r="J633" s="175"/>
      <c r="K633" s="175"/>
      <c r="L633" s="175"/>
      <c r="M633" s="175"/>
      <c r="N633" s="175"/>
      <c r="O633" s="175"/>
      <c r="P633" s="175"/>
      <c r="Q633" s="175"/>
      <c r="R633" s="175"/>
      <c r="S633" s="175"/>
      <c r="T633" s="175"/>
      <c r="U633" s="175"/>
      <c r="V633" s="175"/>
      <c r="W633" s="175"/>
      <c r="X633" s="175"/>
      <c r="Y633" s="175"/>
      <c r="Z633" s="175"/>
      <c r="AA633" s="175"/>
      <c r="AB633" s="175"/>
      <c r="AC633" s="175"/>
    </row>
    <row r="634" spans="1:29" ht="12.75">
      <c r="A634" s="175"/>
      <c r="B634" s="175"/>
      <c r="C634" s="175"/>
      <c r="D634" s="175"/>
      <c r="E634" s="175"/>
      <c r="F634" s="175"/>
      <c r="G634" s="175"/>
      <c r="H634" s="175"/>
      <c r="I634" s="175"/>
      <c r="J634" s="175"/>
      <c r="K634" s="175"/>
      <c r="L634" s="175"/>
      <c r="M634" s="175"/>
      <c r="N634" s="175"/>
      <c r="O634" s="175"/>
      <c r="P634" s="175"/>
      <c r="Q634" s="175"/>
      <c r="R634" s="175"/>
      <c r="S634" s="175"/>
      <c r="T634" s="175"/>
      <c r="U634" s="175"/>
      <c r="V634" s="175"/>
      <c r="W634" s="175"/>
      <c r="X634" s="175"/>
      <c r="Y634" s="175"/>
      <c r="Z634" s="175"/>
      <c r="AA634" s="175"/>
      <c r="AB634" s="175"/>
      <c r="AC634" s="175"/>
    </row>
    <row r="635" spans="1:29" ht="12.75">
      <c r="A635" s="175"/>
      <c r="B635" s="175"/>
      <c r="C635" s="175"/>
      <c r="D635" s="175"/>
      <c r="E635" s="175"/>
      <c r="F635" s="175"/>
      <c r="G635" s="175"/>
      <c r="H635" s="175"/>
      <c r="I635" s="175"/>
      <c r="J635" s="175"/>
      <c r="K635" s="175"/>
      <c r="L635" s="175"/>
      <c r="M635" s="175"/>
      <c r="N635" s="175"/>
      <c r="O635" s="175"/>
      <c r="P635" s="175"/>
      <c r="Q635" s="175"/>
      <c r="R635" s="175"/>
      <c r="S635" s="175"/>
      <c r="T635" s="175"/>
      <c r="U635" s="175"/>
      <c r="V635" s="175"/>
      <c r="W635" s="175"/>
      <c r="X635" s="175"/>
      <c r="Y635" s="175"/>
      <c r="Z635" s="175"/>
      <c r="AA635" s="175"/>
      <c r="AB635" s="175"/>
      <c r="AC635" s="175"/>
    </row>
    <row r="636" spans="1:29" ht="12.75">
      <c r="A636" s="175"/>
      <c r="B636" s="175"/>
      <c r="C636" s="175"/>
      <c r="D636" s="175"/>
      <c r="E636" s="175"/>
      <c r="F636" s="175"/>
      <c r="G636" s="175"/>
      <c r="H636" s="175"/>
      <c r="I636" s="175"/>
      <c r="J636" s="175"/>
      <c r="K636" s="175"/>
      <c r="L636" s="175"/>
      <c r="M636" s="175"/>
      <c r="N636" s="175"/>
      <c r="O636" s="175"/>
      <c r="P636" s="175"/>
      <c r="Q636" s="175"/>
      <c r="R636" s="175"/>
      <c r="S636" s="175"/>
      <c r="T636" s="175"/>
      <c r="U636" s="175"/>
      <c r="V636" s="175"/>
      <c r="W636" s="175"/>
      <c r="X636" s="175"/>
      <c r="Y636" s="175"/>
      <c r="Z636" s="175"/>
      <c r="AA636" s="175"/>
      <c r="AB636" s="175"/>
      <c r="AC636" s="175"/>
    </row>
    <row r="637" spans="1:29" ht="12.75">
      <c r="A637" s="175"/>
      <c r="B637" s="175"/>
      <c r="C637" s="175"/>
      <c r="D637" s="175"/>
      <c r="E637" s="175"/>
      <c r="F637" s="175"/>
      <c r="G637" s="175"/>
      <c r="H637" s="175"/>
      <c r="I637" s="175"/>
      <c r="J637" s="175"/>
      <c r="K637" s="175"/>
      <c r="L637" s="175"/>
      <c r="M637" s="175"/>
      <c r="N637" s="175"/>
      <c r="O637" s="175"/>
      <c r="P637" s="175"/>
      <c r="Q637" s="175"/>
      <c r="R637" s="175"/>
      <c r="S637" s="175"/>
      <c r="T637" s="175"/>
      <c r="U637" s="175"/>
      <c r="V637" s="175"/>
      <c r="W637" s="175"/>
      <c r="X637" s="175"/>
      <c r="Y637" s="175"/>
      <c r="Z637" s="175"/>
      <c r="AA637" s="175"/>
      <c r="AB637" s="175"/>
      <c r="AC637" s="175"/>
    </row>
    <row r="638" spans="1:29" ht="12.75">
      <c r="A638" s="175"/>
      <c r="B638" s="175"/>
      <c r="C638" s="175"/>
      <c r="D638" s="175"/>
      <c r="E638" s="175"/>
      <c r="F638" s="175"/>
      <c r="G638" s="175"/>
      <c r="H638" s="175"/>
      <c r="I638" s="175"/>
      <c r="J638" s="175"/>
      <c r="K638" s="175"/>
      <c r="L638" s="175"/>
      <c r="M638" s="175"/>
      <c r="N638" s="175"/>
      <c r="O638" s="175"/>
      <c r="P638" s="175"/>
      <c r="Q638" s="175"/>
      <c r="R638" s="175"/>
      <c r="S638" s="175"/>
      <c r="T638" s="175"/>
      <c r="U638" s="175"/>
      <c r="V638" s="175"/>
      <c r="W638" s="175"/>
      <c r="X638" s="175"/>
      <c r="Y638" s="175"/>
      <c r="Z638" s="175"/>
      <c r="AA638" s="175"/>
      <c r="AB638" s="175"/>
      <c r="AC638" s="175"/>
    </row>
    <row r="639" spans="1:29" ht="12.75">
      <c r="A639" s="175"/>
      <c r="B639" s="175"/>
      <c r="C639" s="175"/>
      <c r="D639" s="175"/>
      <c r="E639" s="175"/>
      <c r="F639" s="175"/>
      <c r="G639" s="175"/>
      <c r="H639" s="175"/>
      <c r="I639" s="175"/>
      <c r="J639" s="175"/>
      <c r="K639" s="175"/>
      <c r="L639" s="175"/>
      <c r="M639" s="175"/>
      <c r="N639" s="175"/>
      <c r="O639" s="175"/>
      <c r="P639" s="175"/>
      <c r="Q639" s="175"/>
      <c r="R639" s="175"/>
      <c r="S639" s="175"/>
      <c r="T639" s="175"/>
      <c r="U639" s="175"/>
      <c r="V639" s="175"/>
      <c r="W639" s="175"/>
      <c r="X639" s="175"/>
      <c r="Y639" s="175"/>
      <c r="Z639" s="175"/>
      <c r="AA639" s="175"/>
      <c r="AB639" s="175"/>
      <c r="AC639" s="175"/>
    </row>
    <row r="640" spans="1:29" ht="12.75">
      <c r="A640" s="175"/>
      <c r="B640" s="175"/>
      <c r="C640" s="175"/>
      <c r="D640" s="175"/>
      <c r="E640" s="175"/>
      <c r="F640" s="175"/>
      <c r="G640" s="175"/>
      <c r="H640" s="175"/>
      <c r="I640" s="175"/>
      <c r="J640" s="175"/>
      <c r="K640" s="175"/>
      <c r="L640" s="175"/>
      <c r="M640" s="175"/>
      <c r="N640" s="175"/>
      <c r="O640" s="175"/>
      <c r="P640" s="175"/>
      <c r="Q640" s="175"/>
      <c r="R640" s="175"/>
      <c r="S640" s="175"/>
      <c r="T640" s="175"/>
      <c r="U640" s="175"/>
      <c r="V640" s="175"/>
      <c r="W640" s="175"/>
      <c r="X640" s="175"/>
      <c r="Y640" s="175"/>
      <c r="Z640" s="175"/>
      <c r="AA640" s="175"/>
      <c r="AB640" s="175"/>
      <c r="AC640" s="175"/>
    </row>
    <row r="641" spans="1:29" ht="12.75">
      <c r="A641" s="175"/>
      <c r="B641" s="175"/>
      <c r="C641" s="175"/>
      <c r="D641" s="175"/>
      <c r="E641" s="175"/>
      <c r="F641" s="175"/>
      <c r="G641" s="175"/>
      <c r="H641" s="175"/>
      <c r="I641" s="175"/>
      <c r="J641" s="175"/>
      <c r="K641" s="175"/>
      <c r="L641" s="175"/>
      <c r="M641" s="175"/>
      <c r="N641" s="175"/>
      <c r="O641" s="175"/>
      <c r="P641" s="175"/>
      <c r="Q641" s="175"/>
      <c r="R641" s="175"/>
      <c r="S641" s="175"/>
      <c r="T641" s="175"/>
      <c r="U641" s="175"/>
      <c r="V641" s="175"/>
      <c r="W641" s="175"/>
      <c r="X641" s="175"/>
      <c r="Y641" s="175"/>
      <c r="Z641" s="175"/>
      <c r="AA641" s="175"/>
      <c r="AB641" s="175"/>
      <c r="AC641" s="175"/>
    </row>
    <row r="642" spans="1:29" ht="12.75">
      <c r="A642" s="175"/>
      <c r="B642" s="175"/>
      <c r="C642" s="175"/>
      <c r="D642" s="175"/>
      <c r="E642" s="175"/>
      <c r="F642" s="175"/>
      <c r="G642" s="175"/>
      <c r="H642" s="175"/>
      <c r="I642" s="175"/>
      <c r="J642" s="175"/>
      <c r="K642" s="175"/>
      <c r="L642" s="175"/>
      <c r="M642" s="175"/>
      <c r="N642" s="175"/>
      <c r="O642" s="175"/>
      <c r="P642" s="175"/>
      <c r="Q642" s="175"/>
      <c r="R642" s="175"/>
      <c r="S642" s="175"/>
      <c r="T642" s="175"/>
      <c r="U642" s="175"/>
      <c r="V642" s="175"/>
      <c r="W642" s="175"/>
      <c r="X642" s="175"/>
      <c r="Y642" s="175"/>
      <c r="Z642" s="175"/>
      <c r="AA642" s="175"/>
      <c r="AB642" s="175"/>
      <c r="AC642" s="175"/>
    </row>
    <row r="643" spans="1:29" ht="12.75">
      <c r="A643" s="175"/>
      <c r="B643" s="175"/>
      <c r="C643" s="175"/>
      <c r="D643" s="175"/>
      <c r="E643" s="175"/>
      <c r="F643" s="175"/>
      <c r="G643" s="175"/>
      <c r="H643" s="175"/>
      <c r="I643" s="175"/>
      <c r="J643" s="175"/>
      <c r="K643" s="175"/>
      <c r="L643" s="175"/>
      <c r="M643" s="175"/>
      <c r="N643" s="175"/>
      <c r="O643" s="175"/>
      <c r="P643" s="175"/>
      <c r="Q643" s="175"/>
      <c r="R643" s="175"/>
      <c r="S643" s="175"/>
      <c r="T643" s="175"/>
      <c r="U643" s="175"/>
      <c r="V643" s="175"/>
      <c r="W643" s="175"/>
      <c r="X643" s="175"/>
      <c r="Y643" s="175"/>
      <c r="Z643" s="175"/>
      <c r="AA643" s="175"/>
      <c r="AB643" s="175"/>
      <c r="AC643" s="175"/>
    </row>
    <row r="644" spans="1:29" ht="12.75">
      <c r="A644" s="175"/>
      <c r="B644" s="175"/>
      <c r="C644" s="175"/>
      <c r="D644" s="175"/>
      <c r="E644" s="175"/>
      <c r="F644" s="175"/>
      <c r="G644" s="175"/>
      <c r="H644" s="175"/>
      <c r="I644" s="175"/>
      <c r="J644" s="175"/>
      <c r="K644" s="175"/>
      <c r="L644" s="175"/>
      <c r="M644" s="175"/>
      <c r="N644" s="175"/>
      <c r="O644" s="175"/>
      <c r="P644" s="175"/>
      <c r="Q644" s="175"/>
      <c r="R644" s="175"/>
      <c r="S644" s="175"/>
      <c r="T644" s="175"/>
      <c r="U644" s="175"/>
      <c r="V644" s="175"/>
      <c r="W644" s="175"/>
      <c r="X644" s="175"/>
      <c r="Y644" s="175"/>
      <c r="Z644" s="175"/>
      <c r="AA644" s="175"/>
      <c r="AB644" s="175"/>
      <c r="AC644" s="175"/>
    </row>
    <row r="645" spans="1:29" ht="12.75">
      <c r="A645" s="175"/>
      <c r="B645" s="175"/>
      <c r="C645" s="175"/>
      <c r="D645" s="175"/>
      <c r="E645" s="175"/>
      <c r="F645" s="175"/>
      <c r="G645" s="175"/>
      <c r="H645" s="175"/>
      <c r="I645" s="175"/>
      <c r="J645" s="175"/>
      <c r="K645" s="175"/>
      <c r="L645" s="175"/>
      <c r="M645" s="175"/>
      <c r="N645" s="175"/>
      <c r="O645" s="175"/>
      <c r="P645" s="175"/>
      <c r="Q645" s="175"/>
      <c r="R645" s="175"/>
      <c r="S645" s="175"/>
      <c r="T645" s="175"/>
      <c r="U645" s="175"/>
      <c r="V645" s="175"/>
      <c r="W645" s="175"/>
      <c r="X645" s="175"/>
      <c r="Y645" s="175"/>
      <c r="Z645" s="175"/>
      <c r="AA645" s="175"/>
      <c r="AB645" s="175"/>
      <c r="AC645" s="175"/>
    </row>
    <row r="646" spans="1:29" ht="12.75">
      <c r="A646" s="175"/>
      <c r="B646" s="175"/>
      <c r="C646" s="175"/>
      <c r="D646" s="175"/>
      <c r="E646" s="175"/>
      <c r="F646" s="175"/>
      <c r="G646" s="175"/>
      <c r="H646" s="175"/>
      <c r="I646" s="175"/>
      <c r="J646" s="175"/>
      <c r="K646" s="175"/>
      <c r="L646" s="175"/>
      <c r="M646" s="175"/>
      <c r="N646" s="175"/>
      <c r="O646" s="175"/>
      <c r="P646" s="175"/>
      <c r="Q646" s="175"/>
      <c r="R646" s="175"/>
      <c r="S646" s="175"/>
      <c r="T646" s="175"/>
      <c r="U646" s="175"/>
      <c r="V646" s="175"/>
      <c r="W646" s="175"/>
      <c r="X646" s="175"/>
      <c r="Y646" s="175"/>
      <c r="Z646" s="175"/>
      <c r="AA646" s="175"/>
      <c r="AB646" s="175"/>
      <c r="AC646" s="175"/>
    </row>
    <row r="647" spans="1:29" ht="12.75">
      <c r="A647" s="175"/>
      <c r="B647" s="175"/>
      <c r="C647" s="175"/>
      <c r="D647" s="175"/>
      <c r="E647" s="175"/>
      <c r="F647" s="175"/>
      <c r="G647" s="175"/>
      <c r="H647" s="175"/>
      <c r="I647" s="175"/>
      <c r="J647" s="175"/>
      <c r="K647" s="175"/>
      <c r="L647" s="175"/>
      <c r="M647" s="175"/>
      <c r="N647" s="175"/>
      <c r="O647" s="175"/>
      <c r="P647" s="175"/>
      <c r="Q647" s="175"/>
      <c r="R647" s="175"/>
      <c r="S647" s="175"/>
      <c r="T647" s="175"/>
      <c r="U647" s="175"/>
      <c r="V647" s="175"/>
      <c r="W647" s="175"/>
      <c r="X647" s="175"/>
      <c r="Y647" s="175"/>
      <c r="Z647" s="175"/>
      <c r="AA647" s="175"/>
      <c r="AB647" s="175"/>
      <c r="AC647" s="175"/>
    </row>
    <row r="648" spans="1:29" ht="12.75">
      <c r="A648" s="175"/>
      <c r="B648" s="175"/>
      <c r="C648" s="175"/>
      <c r="D648" s="175"/>
      <c r="E648" s="175"/>
      <c r="F648" s="175"/>
      <c r="G648" s="175"/>
      <c r="H648" s="175"/>
      <c r="I648" s="175"/>
      <c r="J648" s="175"/>
      <c r="K648" s="175"/>
      <c r="L648" s="175"/>
      <c r="M648" s="175"/>
      <c r="N648" s="175"/>
      <c r="O648" s="175"/>
      <c r="P648" s="175"/>
      <c r="Q648" s="175"/>
      <c r="R648" s="175"/>
      <c r="S648" s="175"/>
      <c r="T648" s="175"/>
      <c r="U648" s="175"/>
      <c r="V648" s="175"/>
      <c r="W648" s="175"/>
      <c r="X648" s="175"/>
      <c r="Y648" s="175"/>
      <c r="Z648" s="175"/>
      <c r="AA648" s="175"/>
      <c r="AB648" s="175"/>
      <c r="AC648" s="175"/>
    </row>
    <row r="649" spans="1:29" ht="12.75">
      <c r="A649" s="175"/>
      <c r="B649" s="175"/>
      <c r="C649" s="175"/>
      <c r="D649" s="175"/>
      <c r="E649" s="175"/>
      <c r="F649" s="175"/>
      <c r="G649" s="175"/>
      <c r="H649" s="175"/>
      <c r="I649" s="175"/>
      <c r="J649" s="175"/>
      <c r="K649" s="175"/>
      <c r="L649" s="175"/>
      <c r="M649" s="175"/>
      <c r="N649" s="175"/>
      <c r="O649" s="175"/>
      <c r="P649" s="175"/>
      <c r="Q649" s="175"/>
      <c r="R649" s="175"/>
      <c r="S649" s="175"/>
      <c r="T649" s="175"/>
      <c r="U649" s="175"/>
      <c r="V649" s="175"/>
      <c r="W649" s="175"/>
      <c r="X649" s="175"/>
      <c r="Y649" s="175"/>
      <c r="Z649" s="175"/>
      <c r="AA649" s="175"/>
      <c r="AB649" s="175"/>
      <c r="AC649" s="175"/>
    </row>
    <row r="650" spans="1:29" ht="12.75">
      <c r="A650" s="175"/>
      <c r="B650" s="175"/>
      <c r="C650" s="175"/>
      <c r="D650" s="175"/>
      <c r="E650" s="175"/>
      <c r="F650" s="175"/>
      <c r="G650" s="175"/>
      <c r="H650" s="175"/>
      <c r="I650" s="175"/>
      <c r="J650" s="175"/>
      <c r="K650" s="175"/>
      <c r="L650" s="175"/>
      <c r="M650" s="175"/>
      <c r="N650" s="175"/>
      <c r="O650" s="175"/>
      <c r="P650" s="175"/>
      <c r="Q650" s="175"/>
      <c r="R650" s="175"/>
      <c r="S650" s="175"/>
      <c r="T650" s="175"/>
      <c r="U650" s="175"/>
      <c r="V650" s="175"/>
      <c r="W650" s="175"/>
      <c r="X650" s="175"/>
      <c r="Y650" s="175"/>
      <c r="Z650" s="175"/>
      <c r="AA650" s="175"/>
      <c r="AB650" s="175"/>
      <c r="AC650" s="175"/>
    </row>
    <row r="651" spans="1:29" ht="12.75">
      <c r="A651" s="175"/>
      <c r="B651" s="175"/>
      <c r="C651" s="175"/>
      <c r="D651" s="175"/>
      <c r="E651" s="175"/>
      <c r="F651" s="175"/>
      <c r="G651" s="175"/>
      <c r="H651" s="175"/>
      <c r="I651" s="175"/>
      <c r="J651" s="175"/>
      <c r="K651" s="175"/>
      <c r="L651" s="175"/>
      <c r="M651" s="175"/>
      <c r="N651" s="175"/>
      <c r="O651" s="175"/>
      <c r="P651" s="175"/>
      <c r="Q651" s="175"/>
      <c r="R651" s="175"/>
      <c r="S651" s="175"/>
      <c r="T651" s="175"/>
      <c r="U651" s="175"/>
      <c r="V651" s="175"/>
      <c r="W651" s="175"/>
      <c r="X651" s="175"/>
      <c r="Y651" s="175"/>
      <c r="Z651" s="175"/>
      <c r="AA651" s="175"/>
      <c r="AB651" s="175"/>
      <c r="AC651" s="175"/>
    </row>
    <row r="652" spans="1:29" ht="12.75">
      <c r="A652" s="175"/>
      <c r="B652" s="175"/>
      <c r="C652" s="175"/>
      <c r="D652" s="175"/>
      <c r="E652" s="175"/>
      <c r="F652" s="175"/>
      <c r="G652" s="175"/>
      <c r="H652" s="175"/>
      <c r="I652" s="175"/>
      <c r="J652" s="175"/>
      <c r="K652" s="175"/>
      <c r="L652" s="175"/>
      <c r="M652" s="175"/>
      <c r="N652" s="175"/>
      <c r="O652" s="175"/>
      <c r="P652" s="175"/>
      <c r="Q652" s="175"/>
      <c r="R652" s="175"/>
      <c r="S652" s="175"/>
      <c r="T652" s="175"/>
      <c r="U652" s="175"/>
      <c r="V652" s="175"/>
      <c r="W652" s="175"/>
      <c r="X652" s="175"/>
      <c r="Y652" s="175"/>
      <c r="Z652" s="175"/>
      <c r="AA652" s="175"/>
      <c r="AB652" s="175"/>
      <c r="AC652" s="175"/>
    </row>
    <row r="653" spans="1:29" ht="12.75">
      <c r="A653" s="175"/>
      <c r="B653" s="175"/>
      <c r="C653" s="175"/>
      <c r="D653" s="175"/>
      <c r="E653" s="175"/>
      <c r="F653" s="175"/>
      <c r="G653" s="175"/>
      <c r="H653" s="175"/>
      <c r="I653" s="175"/>
      <c r="J653" s="175"/>
      <c r="K653" s="175"/>
      <c r="L653" s="175"/>
      <c r="M653" s="175"/>
      <c r="N653" s="175"/>
      <c r="O653" s="175"/>
      <c r="P653" s="175"/>
      <c r="Q653" s="175"/>
      <c r="R653" s="175"/>
      <c r="S653" s="175"/>
      <c r="T653" s="175"/>
      <c r="U653" s="175"/>
      <c r="V653" s="175"/>
      <c r="W653" s="175"/>
      <c r="X653" s="175"/>
      <c r="Y653" s="175"/>
      <c r="Z653" s="175"/>
      <c r="AA653" s="175"/>
      <c r="AB653" s="175"/>
      <c r="AC653" s="175"/>
    </row>
    <row r="654" spans="1:29" ht="12.75">
      <c r="A654" s="175"/>
      <c r="B654" s="175"/>
      <c r="C654" s="175"/>
      <c r="D654" s="175"/>
      <c r="E654" s="175"/>
      <c r="F654" s="175"/>
      <c r="G654" s="175"/>
      <c r="H654" s="175"/>
      <c r="I654" s="175"/>
      <c r="J654" s="175"/>
      <c r="K654" s="175"/>
      <c r="L654" s="175"/>
      <c r="M654" s="175"/>
      <c r="N654" s="175"/>
      <c r="O654" s="175"/>
      <c r="P654" s="175"/>
      <c r="Q654" s="175"/>
      <c r="R654" s="175"/>
      <c r="S654" s="175"/>
      <c r="T654" s="175"/>
      <c r="U654" s="175"/>
      <c r="V654" s="175"/>
      <c r="W654" s="175"/>
      <c r="X654" s="175"/>
      <c r="Y654" s="175"/>
      <c r="Z654" s="175"/>
      <c r="AA654" s="175"/>
      <c r="AB654" s="175"/>
      <c r="AC654" s="175"/>
    </row>
    <row r="655" spans="1:29" ht="12.75">
      <c r="A655" s="175"/>
      <c r="B655" s="175"/>
      <c r="C655" s="175"/>
      <c r="D655" s="175"/>
      <c r="E655" s="175"/>
      <c r="F655" s="175"/>
      <c r="G655" s="175"/>
      <c r="H655" s="175"/>
      <c r="I655" s="175"/>
      <c r="J655" s="175"/>
      <c r="K655" s="175"/>
      <c r="L655" s="175"/>
      <c r="M655" s="175"/>
      <c r="N655" s="175"/>
      <c r="O655" s="175"/>
      <c r="P655" s="175"/>
      <c r="Q655" s="175"/>
      <c r="R655" s="175"/>
      <c r="S655" s="175"/>
      <c r="T655" s="175"/>
      <c r="U655" s="175"/>
      <c r="V655" s="175"/>
      <c r="W655" s="175"/>
      <c r="X655" s="175"/>
      <c r="Y655" s="175"/>
      <c r="Z655" s="175"/>
      <c r="AA655" s="175"/>
      <c r="AB655" s="175"/>
      <c r="AC655" s="175"/>
    </row>
    <row r="656" spans="1:29" ht="12.75">
      <c r="A656" s="175"/>
      <c r="B656" s="175"/>
      <c r="C656" s="175"/>
      <c r="D656" s="175"/>
      <c r="E656" s="175"/>
      <c r="F656" s="175"/>
      <c r="G656" s="175"/>
      <c r="H656" s="175"/>
      <c r="I656" s="175"/>
      <c r="J656" s="175"/>
      <c r="K656" s="175"/>
      <c r="L656" s="175"/>
      <c r="M656" s="175"/>
      <c r="N656" s="175"/>
      <c r="O656" s="175"/>
      <c r="P656" s="175"/>
      <c r="Q656" s="175"/>
      <c r="R656" s="175"/>
      <c r="S656" s="175"/>
      <c r="T656" s="175"/>
      <c r="U656" s="175"/>
      <c r="V656" s="175"/>
      <c r="W656" s="175"/>
      <c r="X656" s="175"/>
      <c r="Y656" s="175"/>
      <c r="Z656" s="175"/>
      <c r="AA656" s="175"/>
      <c r="AB656" s="175"/>
      <c r="AC656" s="175"/>
    </row>
    <row r="657" spans="1:29" ht="12.75">
      <c r="A657" s="175"/>
      <c r="B657" s="175"/>
      <c r="C657" s="175"/>
      <c r="D657" s="175"/>
      <c r="E657" s="175"/>
      <c r="F657" s="175"/>
      <c r="G657" s="175"/>
      <c r="H657" s="175"/>
      <c r="I657" s="175"/>
      <c r="J657" s="175"/>
      <c r="K657" s="175"/>
      <c r="L657" s="175"/>
      <c r="M657" s="175"/>
      <c r="N657" s="175"/>
      <c r="O657" s="175"/>
      <c r="P657" s="175"/>
      <c r="Q657" s="175"/>
      <c r="R657" s="175"/>
      <c r="S657" s="175"/>
      <c r="T657" s="175"/>
      <c r="U657" s="175"/>
      <c r="V657" s="175"/>
      <c r="W657" s="175"/>
      <c r="X657" s="175"/>
      <c r="Y657" s="175"/>
      <c r="Z657" s="175"/>
      <c r="AA657" s="175"/>
      <c r="AB657" s="175"/>
      <c r="AC657" s="175"/>
    </row>
    <row r="658" spans="1:29" ht="12.75">
      <c r="A658" s="175"/>
      <c r="B658" s="175"/>
      <c r="C658" s="175"/>
      <c r="D658" s="175"/>
      <c r="E658" s="175"/>
      <c r="F658" s="175"/>
      <c r="G658" s="175"/>
      <c r="H658" s="175"/>
      <c r="I658" s="175"/>
      <c r="J658" s="175"/>
      <c r="K658" s="175"/>
      <c r="L658" s="175"/>
      <c r="M658" s="175"/>
      <c r="N658" s="175"/>
      <c r="O658" s="175"/>
      <c r="P658" s="175"/>
      <c r="Q658" s="175"/>
      <c r="R658" s="175"/>
      <c r="S658" s="175"/>
      <c r="T658" s="175"/>
      <c r="U658" s="175"/>
      <c r="V658" s="175"/>
      <c r="W658" s="175"/>
      <c r="X658" s="175"/>
      <c r="Y658" s="175"/>
      <c r="Z658" s="175"/>
      <c r="AA658" s="175"/>
      <c r="AB658" s="175"/>
      <c r="AC658" s="175"/>
    </row>
    <row r="659" spans="1:29" ht="12.75">
      <c r="A659" s="175"/>
      <c r="B659" s="175"/>
      <c r="C659" s="175"/>
      <c r="D659" s="175"/>
      <c r="E659" s="175"/>
      <c r="F659" s="175"/>
      <c r="G659" s="175"/>
      <c r="H659" s="175"/>
      <c r="I659" s="175"/>
      <c r="J659" s="175"/>
      <c r="K659" s="175"/>
      <c r="L659" s="175"/>
      <c r="M659" s="175"/>
      <c r="N659" s="175"/>
      <c r="O659" s="175"/>
      <c r="P659" s="175"/>
      <c r="Q659" s="175"/>
      <c r="R659" s="175"/>
      <c r="S659" s="175"/>
      <c r="T659" s="175"/>
      <c r="U659" s="175"/>
      <c r="V659" s="175"/>
      <c r="W659" s="175"/>
      <c r="X659" s="175"/>
      <c r="Y659" s="175"/>
      <c r="Z659" s="175"/>
      <c r="AA659" s="175"/>
      <c r="AB659" s="175"/>
      <c r="AC659" s="175"/>
    </row>
    <row r="660" spans="1:29" ht="12.75">
      <c r="A660" s="175"/>
      <c r="B660" s="175"/>
      <c r="C660" s="175"/>
      <c r="D660" s="175"/>
      <c r="E660" s="175"/>
      <c r="F660" s="175"/>
      <c r="G660" s="175"/>
      <c r="H660" s="175"/>
      <c r="I660" s="175"/>
      <c r="J660" s="175"/>
      <c r="K660" s="175"/>
      <c r="L660" s="175"/>
      <c r="M660" s="175"/>
      <c r="N660" s="175"/>
      <c r="O660" s="175"/>
      <c r="P660" s="175"/>
      <c r="Q660" s="175"/>
      <c r="R660" s="175"/>
      <c r="S660" s="175"/>
      <c r="T660" s="175"/>
      <c r="U660" s="175"/>
      <c r="V660" s="175"/>
      <c r="W660" s="175"/>
      <c r="X660" s="175"/>
      <c r="Y660" s="175"/>
      <c r="Z660" s="175"/>
      <c r="AA660" s="175"/>
      <c r="AB660" s="175"/>
      <c r="AC660" s="175"/>
    </row>
    <row r="661" spans="1:29" ht="12.75">
      <c r="A661" s="175"/>
      <c r="B661" s="175"/>
      <c r="C661" s="175"/>
      <c r="D661" s="175"/>
      <c r="E661" s="175"/>
      <c r="F661" s="175"/>
      <c r="G661" s="175"/>
      <c r="H661" s="175"/>
      <c r="I661" s="175"/>
      <c r="J661" s="175"/>
      <c r="K661" s="175"/>
      <c r="L661" s="175"/>
      <c r="M661" s="175"/>
      <c r="N661" s="175"/>
      <c r="O661" s="175"/>
      <c r="P661" s="175"/>
      <c r="Q661" s="175"/>
      <c r="R661" s="175"/>
      <c r="S661" s="175"/>
      <c r="T661" s="175"/>
      <c r="U661" s="175"/>
      <c r="V661" s="175"/>
      <c r="W661" s="175"/>
      <c r="X661" s="175"/>
      <c r="Y661" s="175"/>
      <c r="Z661" s="175"/>
      <c r="AA661" s="175"/>
      <c r="AB661" s="175"/>
      <c r="AC661" s="175"/>
    </row>
    <row r="662" spans="1:29" ht="12.75">
      <c r="A662" s="175"/>
      <c r="B662" s="175"/>
      <c r="C662" s="175"/>
      <c r="D662" s="175"/>
      <c r="E662" s="175"/>
      <c r="F662" s="175"/>
      <c r="G662" s="175"/>
      <c r="H662" s="175"/>
      <c r="I662" s="175"/>
      <c r="J662" s="175"/>
      <c r="K662" s="175"/>
      <c r="L662" s="175"/>
      <c r="M662" s="175"/>
      <c r="N662" s="175"/>
      <c r="O662" s="175"/>
      <c r="P662" s="175"/>
      <c r="Q662" s="175"/>
      <c r="R662" s="175"/>
      <c r="S662" s="175"/>
      <c r="T662" s="175"/>
      <c r="U662" s="175"/>
      <c r="V662" s="175"/>
      <c r="W662" s="175"/>
      <c r="X662" s="175"/>
      <c r="Y662" s="175"/>
      <c r="Z662" s="175"/>
      <c r="AA662" s="175"/>
      <c r="AB662" s="175"/>
      <c r="AC662" s="175"/>
    </row>
    <row r="663" spans="1:29" ht="12.75">
      <c r="A663" s="175"/>
      <c r="B663" s="175"/>
      <c r="C663" s="175"/>
      <c r="D663" s="175"/>
      <c r="E663" s="175"/>
      <c r="F663" s="175"/>
      <c r="G663" s="175"/>
      <c r="H663" s="175"/>
      <c r="I663" s="175"/>
      <c r="J663" s="175"/>
      <c r="K663" s="175"/>
      <c r="L663" s="175"/>
      <c r="M663" s="175"/>
      <c r="N663" s="175"/>
      <c r="O663" s="175"/>
      <c r="P663" s="175"/>
      <c r="Q663" s="175"/>
      <c r="R663" s="175"/>
      <c r="S663" s="175"/>
      <c r="T663" s="175"/>
      <c r="U663" s="175"/>
      <c r="V663" s="175"/>
      <c r="W663" s="175"/>
      <c r="X663" s="175"/>
      <c r="Y663" s="175"/>
      <c r="Z663" s="175"/>
      <c r="AA663" s="175"/>
      <c r="AB663" s="175"/>
      <c r="AC663" s="175"/>
    </row>
    <row r="664" spans="1:29" ht="12.75">
      <c r="A664" s="175"/>
      <c r="B664" s="175"/>
      <c r="C664" s="175"/>
      <c r="D664" s="175"/>
      <c r="E664" s="175"/>
      <c r="F664" s="175"/>
      <c r="G664" s="175"/>
      <c r="H664" s="175"/>
      <c r="I664" s="175"/>
      <c r="J664" s="175"/>
      <c r="K664" s="175"/>
      <c r="L664" s="175"/>
      <c r="M664" s="175"/>
      <c r="N664" s="175"/>
      <c r="O664" s="175"/>
      <c r="P664" s="175"/>
      <c r="Q664" s="175"/>
      <c r="R664" s="175"/>
      <c r="S664" s="175"/>
      <c r="T664" s="175"/>
      <c r="U664" s="175"/>
      <c r="V664" s="175"/>
      <c r="W664" s="175"/>
      <c r="X664" s="175"/>
      <c r="Y664" s="175"/>
      <c r="Z664" s="175"/>
      <c r="AA664" s="175"/>
      <c r="AB664" s="175"/>
      <c r="AC664" s="175"/>
    </row>
    <row r="665" spans="1:29" ht="12.75">
      <c r="A665" s="175"/>
      <c r="B665" s="175"/>
      <c r="C665" s="175"/>
      <c r="D665" s="175"/>
      <c r="E665" s="175"/>
      <c r="F665" s="175"/>
      <c r="G665" s="175"/>
      <c r="H665" s="175"/>
      <c r="I665" s="175"/>
      <c r="J665" s="175"/>
      <c r="K665" s="175"/>
      <c r="L665" s="175"/>
      <c r="M665" s="175"/>
      <c r="N665" s="175"/>
      <c r="O665" s="175"/>
      <c r="P665" s="175"/>
      <c r="Q665" s="175"/>
      <c r="R665" s="175"/>
      <c r="S665" s="175"/>
      <c r="T665" s="175"/>
      <c r="U665" s="175"/>
      <c r="V665" s="175"/>
      <c r="W665" s="175"/>
      <c r="X665" s="175"/>
      <c r="Y665" s="175"/>
      <c r="Z665" s="175"/>
      <c r="AA665" s="175"/>
      <c r="AB665" s="175"/>
      <c r="AC665" s="175"/>
    </row>
    <row r="666" spans="1:29" ht="12.75">
      <c r="A666" s="175"/>
      <c r="B666" s="175"/>
      <c r="C666" s="175"/>
      <c r="D666" s="175"/>
      <c r="E666" s="175"/>
      <c r="F666" s="175"/>
      <c r="G666" s="175"/>
      <c r="H666" s="175"/>
      <c r="I666" s="175"/>
      <c r="J666" s="175"/>
      <c r="K666" s="175"/>
      <c r="L666" s="175"/>
      <c r="M666" s="175"/>
      <c r="N666" s="175"/>
      <c r="O666" s="175"/>
      <c r="P666" s="175"/>
      <c r="Q666" s="175"/>
      <c r="R666" s="175"/>
      <c r="S666" s="175"/>
      <c r="T666" s="175"/>
      <c r="U666" s="175"/>
      <c r="V666" s="175"/>
      <c r="W666" s="175"/>
      <c r="X666" s="175"/>
      <c r="Y666" s="175"/>
      <c r="Z666" s="175"/>
      <c r="AA666" s="175"/>
      <c r="AB666" s="175"/>
      <c r="AC666" s="175"/>
    </row>
    <row r="667" spans="1:29" ht="12.75">
      <c r="A667" s="175"/>
      <c r="B667" s="175"/>
      <c r="C667" s="175"/>
      <c r="D667" s="175"/>
      <c r="E667" s="175"/>
      <c r="F667" s="175"/>
      <c r="G667" s="175"/>
      <c r="H667" s="175"/>
      <c r="I667" s="175"/>
      <c r="J667" s="175"/>
      <c r="K667" s="175"/>
      <c r="L667" s="175"/>
      <c r="M667" s="175"/>
      <c r="N667" s="175"/>
      <c r="O667" s="175"/>
      <c r="P667" s="175"/>
      <c r="Q667" s="175"/>
      <c r="R667" s="175"/>
      <c r="S667" s="175"/>
      <c r="T667" s="175"/>
      <c r="U667" s="175"/>
      <c r="V667" s="175"/>
      <c r="W667" s="175"/>
      <c r="X667" s="175"/>
      <c r="Y667" s="175"/>
      <c r="Z667" s="175"/>
      <c r="AA667" s="175"/>
      <c r="AB667" s="175"/>
      <c r="AC667" s="175"/>
    </row>
    <row r="668" spans="1:29" ht="12.75">
      <c r="A668" s="175"/>
      <c r="B668" s="175"/>
      <c r="C668" s="175"/>
      <c r="D668" s="175"/>
      <c r="E668" s="175"/>
      <c r="F668" s="175"/>
      <c r="G668" s="175"/>
      <c r="H668" s="175"/>
      <c r="I668" s="175"/>
      <c r="J668" s="175"/>
      <c r="K668" s="175"/>
      <c r="L668" s="175"/>
      <c r="M668" s="175"/>
      <c r="N668" s="175"/>
      <c r="O668" s="175"/>
      <c r="P668" s="175"/>
      <c r="Q668" s="175"/>
      <c r="R668" s="175"/>
      <c r="S668" s="175"/>
      <c r="T668" s="175"/>
      <c r="U668" s="175"/>
      <c r="V668" s="175"/>
      <c r="W668" s="175"/>
      <c r="X668" s="175"/>
      <c r="Y668" s="175"/>
      <c r="Z668" s="175"/>
      <c r="AA668" s="175"/>
      <c r="AB668" s="175"/>
      <c r="AC668" s="175"/>
    </row>
    <row r="669" spans="1:29" ht="12.75">
      <c r="A669" s="175"/>
      <c r="B669" s="175"/>
      <c r="C669" s="175"/>
      <c r="D669" s="175"/>
      <c r="E669" s="175"/>
      <c r="F669" s="175"/>
      <c r="G669" s="175"/>
      <c r="H669" s="175"/>
      <c r="I669" s="175"/>
      <c r="J669" s="175"/>
      <c r="K669" s="175"/>
      <c r="L669" s="175"/>
      <c r="M669" s="175"/>
      <c r="N669" s="175"/>
      <c r="O669" s="175"/>
      <c r="P669" s="175"/>
      <c r="Q669" s="175"/>
      <c r="R669" s="175"/>
      <c r="S669" s="175"/>
      <c r="T669" s="175"/>
      <c r="U669" s="175"/>
      <c r="V669" s="175"/>
      <c r="W669" s="175"/>
      <c r="X669" s="175"/>
      <c r="Y669" s="175"/>
      <c r="Z669" s="175"/>
      <c r="AA669" s="175"/>
      <c r="AB669" s="175"/>
      <c r="AC669" s="175"/>
    </row>
    <row r="670" spans="1:29" ht="12.75">
      <c r="A670" s="175"/>
      <c r="B670" s="175"/>
      <c r="C670" s="175"/>
      <c r="D670" s="175"/>
      <c r="E670" s="175"/>
      <c r="F670" s="175"/>
      <c r="G670" s="175"/>
      <c r="H670" s="175"/>
      <c r="I670" s="175"/>
      <c r="J670" s="175"/>
      <c r="K670" s="175"/>
      <c r="L670" s="175"/>
      <c r="M670" s="175"/>
      <c r="N670" s="175"/>
      <c r="O670" s="175"/>
      <c r="P670" s="175"/>
      <c r="Q670" s="175"/>
      <c r="R670" s="175"/>
      <c r="S670" s="175"/>
      <c r="T670" s="175"/>
      <c r="U670" s="175"/>
      <c r="V670" s="175"/>
      <c r="W670" s="175"/>
      <c r="X670" s="175"/>
      <c r="Y670" s="175"/>
      <c r="Z670" s="175"/>
      <c r="AA670" s="175"/>
      <c r="AB670" s="175"/>
      <c r="AC670" s="175"/>
    </row>
    <row r="671" spans="1:29" ht="12.75">
      <c r="A671" s="175"/>
      <c r="B671" s="175"/>
      <c r="C671" s="175"/>
      <c r="D671" s="175"/>
      <c r="E671" s="175"/>
      <c r="F671" s="175"/>
      <c r="G671" s="175"/>
      <c r="H671" s="175"/>
      <c r="I671" s="175"/>
      <c r="J671" s="175"/>
      <c r="K671" s="175"/>
      <c r="L671" s="175"/>
      <c r="M671" s="175"/>
      <c r="N671" s="175"/>
      <c r="O671" s="175"/>
      <c r="P671" s="175"/>
      <c r="Q671" s="175"/>
      <c r="R671" s="175"/>
      <c r="S671" s="175"/>
      <c r="T671" s="175"/>
      <c r="U671" s="175"/>
      <c r="V671" s="175"/>
      <c r="W671" s="175"/>
      <c r="X671" s="175"/>
      <c r="Y671" s="175"/>
      <c r="Z671" s="175"/>
      <c r="AA671" s="175"/>
      <c r="AB671" s="175"/>
      <c r="AC671" s="175"/>
    </row>
    <row r="672" spans="1:29" ht="12.75">
      <c r="A672" s="175"/>
      <c r="B672" s="175"/>
      <c r="C672" s="175"/>
      <c r="D672" s="175"/>
      <c r="E672" s="175"/>
      <c r="F672" s="175"/>
      <c r="G672" s="175"/>
      <c r="H672" s="175"/>
      <c r="I672" s="175"/>
      <c r="J672" s="175"/>
      <c r="K672" s="175"/>
      <c r="L672" s="175"/>
      <c r="M672" s="175"/>
      <c r="N672" s="175"/>
      <c r="O672" s="175"/>
      <c r="P672" s="175"/>
      <c r="Q672" s="175"/>
      <c r="R672" s="175"/>
      <c r="S672" s="175"/>
      <c r="T672" s="175"/>
      <c r="U672" s="175"/>
      <c r="V672" s="175"/>
      <c r="W672" s="175"/>
      <c r="X672" s="175"/>
      <c r="Y672" s="175"/>
      <c r="Z672" s="175"/>
      <c r="AA672" s="175"/>
      <c r="AB672" s="175"/>
      <c r="AC672" s="175"/>
    </row>
    <row r="673" spans="1:29" ht="12.75">
      <c r="A673" s="175"/>
      <c r="B673" s="175"/>
      <c r="C673" s="175"/>
      <c r="D673" s="175"/>
      <c r="E673" s="175"/>
      <c r="F673" s="175"/>
      <c r="G673" s="175"/>
      <c r="H673" s="175"/>
      <c r="I673" s="175"/>
      <c r="J673" s="175"/>
      <c r="K673" s="175"/>
      <c r="L673" s="175"/>
      <c r="M673" s="175"/>
      <c r="N673" s="175"/>
      <c r="O673" s="175"/>
      <c r="P673" s="175"/>
      <c r="Q673" s="175"/>
      <c r="R673" s="175"/>
      <c r="S673" s="175"/>
      <c r="T673" s="175"/>
      <c r="U673" s="175"/>
      <c r="V673" s="175"/>
      <c r="W673" s="175"/>
      <c r="X673" s="175"/>
      <c r="Y673" s="175"/>
      <c r="Z673" s="175"/>
      <c r="AA673" s="175"/>
      <c r="AB673" s="175"/>
      <c r="AC673" s="175"/>
    </row>
    <row r="674" spans="1:29" ht="12.75">
      <c r="A674" s="175"/>
      <c r="B674" s="175"/>
      <c r="C674" s="175"/>
      <c r="D674" s="175"/>
      <c r="E674" s="175"/>
      <c r="F674" s="175"/>
      <c r="G674" s="175"/>
      <c r="H674" s="175"/>
      <c r="I674" s="175"/>
      <c r="J674" s="175"/>
      <c r="K674" s="175"/>
      <c r="L674" s="175"/>
      <c r="M674" s="175"/>
      <c r="N674" s="175"/>
      <c r="O674" s="175"/>
      <c r="P674" s="175"/>
      <c r="Q674" s="175"/>
      <c r="R674" s="175"/>
      <c r="S674" s="175"/>
      <c r="T674" s="175"/>
      <c r="U674" s="175"/>
      <c r="V674" s="175"/>
      <c r="W674" s="175"/>
      <c r="X674" s="175"/>
      <c r="Y674" s="175"/>
      <c r="Z674" s="175"/>
      <c r="AA674" s="175"/>
      <c r="AB674" s="175"/>
      <c r="AC674" s="175"/>
    </row>
    <row r="675" spans="1:29" ht="12.75">
      <c r="A675" s="175"/>
      <c r="B675" s="175"/>
      <c r="C675" s="175"/>
      <c r="D675" s="175"/>
      <c r="E675" s="175"/>
      <c r="F675" s="175"/>
      <c r="G675" s="175"/>
      <c r="H675" s="175"/>
      <c r="I675" s="175"/>
      <c r="J675" s="175"/>
      <c r="K675" s="175"/>
      <c r="L675" s="175"/>
      <c r="M675" s="175"/>
      <c r="N675" s="175"/>
      <c r="O675" s="175"/>
      <c r="P675" s="175"/>
      <c r="Q675" s="175"/>
      <c r="R675" s="175"/>
      <c r="S675" s="175"/>
      <c r="T675" s="175"/>
      <c r="U675" s="175"/>
      <c r="V675" s="175"/>
      <c r="W675" s="175"/>
      <c r="X675" s="175"/>
      <c r="Y675" s="175"/>
      <c r="Z675" s="175"/>
      <c r="AA675" s="175"/>
      <c r="AB675" s="175"/>
      <c r="AC675" s="175"/>
    </row>
    <row r="676" spans="1:29" ht="12.75">
      <c r="A676" s="175"/>
      <c r="B676" s="175"/>
      <c r="C676" s="175"/>
      <c r="D676" s="175"/>
      <c r="E676" s="175"/>
      <c r="F676" s="175"/>
      <c r="G676" s="175"/>
      <c r="H676" s="175"/>
      <c r="I676" s="175"/>
      <c r="J676" s="175"/>
      <c r="K676" s="175"/>
      <c r="L676" s="175"/>
      <c r="M676" s="175"/>
      <c r="N676" s="175"/>
      <c r="O676" s="175"/>
      <c r="P676" s="175"/>
      <c r="Q676" s="175"/>
      <c r="R676" s="175"/>
      <c r="S676" s="175"/>
      <c r="T676" s="175"/>
      <c r="U676" s="175"/>
      <c r="V676" s="175"/>
      <c r="W676" s="175"/>
      <c r="X676" s="175"/>
      <c r="Y676" s="175"/>
      <c r="Z676" s="175"/>
      <c r="AA676" s="175"/>
      <c r="AB676" s="175"/>
      <c r="AC676" s="175"/>
    </row>
    <row r="677" spans="1:29" ht="12.75">
      <c r="A677" s="175"/>
      <c r="B677" s="175"/>
      <c r="C677" s="175"/>
      <c r="D677" s="175"/>
      <c r="E677" s="175"/>
      <c r="F677" s="175"/>
      <c r="G677" s="175"/>
      <c r="H677" s="175"/>
      <c r="I677" s="175"/>
      <c r="J677" s="175"/>
      <c r="K677" s="175"/>
      <c r="L677" s="175"/>
      <c r="M677" s="175"/>
      <c r="N677" s="175"/>
      <c r="O677" s="175"/>
      <c r="P677" s="175"/>
      <c r="Q677" s="175"/>
      <c r="R677" s="175"/>
      <c r="S677" s="175"/>
      <c r="T677" s="175"/>
      <c r="U677" s="175"/>
      <c r="V677" s="175"/>
      <c r="W677" s="175"/>
      <c r="X677" s="175"/>
      <c r="Y677" s="175"/>
      <c r="Z677" s="175"/>
      <c r="AA677" s="175"/>
      <c r="AB677" s="175"/>
      <c r="AC677" s="175"/>
    </row>
    <row r="678" spans="1:29" ht="12.75">
      <c r="A678" s="175"/>
      <c r="B678" s="175"/>
      <c r="C678" s="175"/>
      <c r="D678" s="175"/>
      <c r="E678" s="175"/>
      <c r="F678" s="175"/>
      <c r="G678" s="175"/>
      <c r="H678" s="175"/>
      <c r="I678" s="175"/>
      <c r="J678" s="175"/>
      <c r="K678" s="175"/>
      <c r="L678" s="175"/>
      <c r="M678" s="175"/>
      <c r="N678" s="175"/>
      <c r="O678" s="175"/>
      <c r="P678" s="175"/>
      <c r="Q678" s="175"/>
      <c r="R678" s="175"/>
      <c r="S678" s="175"/>
      <c r="T678" s="175"/>
      <c r="U678" s="175"/>
      <c r="V678" s="175"/>
      <c r="W678" s="175"/>
      <c r="X678" s="175"/>
      <c r="Y678" s="175"/>
      <c r="Z678" s="175"/>
      <c r="AA678" s="175"/>
      <c r="AB678" s="175"/>
      <c r="AC678" s="175"/>
    </row>
    <row r="679" spans="1:29" ht="12.75">
      <c r="A679" s="175"/>
      <c r="B679" s="175"/>
      <c r="C679" s="175"/>
      <c r="D679" s="175"/>
      <c r="E679" s="175"/>
      <c r="F679" s="175"/>
      <c r="G679" s="175"/>
      <c r="H679" s="175"/>
      <c r="I679" s="175"/>
      <c r="J679" s="175"/>
      <c r="K679" s="175"/>
      <c r="L679" s="175"/>
      <c r="M679" s="175"/>
      <c r="N679" s="175"/>
      <c r="O679" s="175"/>
      <c r="P679" s="175"/>
      <c r="Q679" s="175"/>
      <c r="R679" s="175"/>
      <c r="S679" s="175"/>
      <c r="T679" s="175"/>
      <c r="U679" s="175"/>
      <c r="V679" s="175"/>
      <c r="W679" s="175"/>
      <c r="X679" s="175"/>
      <c r="Y679" s="175"/>
      <c r="Z679" s="175"/>
      <c r="AA679" s="175"/>
      <c r="AB679" s="175"/>
      <c r="AC679" s="175"/>
    </row>
    <row r="680" spans="1:29" ht="12.75">
      <c r="A680" s="175"/>
      <c r="B680" s="175"/>
      <c r="C680" s="175"/>
      <c r="D680" s="175"/>
      <c r="E680" s="175"/>
      <c r="F680" s="175"/>
      <c r="G680" s="175"/>
      <c r="H680" s="175"/>
      <c r="I680" s="175"/>
      <c r="J680" s="175"/>
      <c r="K680" s="175"/>
      <c r="L680" s="175"/>
      <c r="M680" s="175"/>
      <c r="N680" s="175"/>
      <c r="O680" s="175"/>
      <c r="P680" s="175"/>
      <c r="Q680" s="175"/>
      <c r="R680" s="175"/>
      <c r="S680" s="175"/>
      <c r="T680" s="175"/>
      <c r="U680" s="175"/>
      <c r="V680" s="175"/>
      <c r="W680" s="175"/>
      <c r="X680" s="175"/>
      <c r="Y680" s="175"/>
      <c r="Z680" s="175"/>
      <c r="AA680" s="175"/>
      <c r="AB680" s="175"/>
      <c r="AC680" s="175"/>
    </row>
    <row r="681" spans="1:29" ht="12.75">
      <c r="A681" s="175"/>
      <c r="B681" s="175"/>
      <c r="C681" s="175"/>
      <c r="D681" s="175"/>
      <c r="E681" s="175"/>
      <c r="F681" s="175"/>
      <c r="G681" s="175"/>
      <c r="H681" s="175"/>
      <c r="I681" s="175"/>
      <c r="J681" s="175"/>
      <c r="K681" s="175"/>
      <c r="L681" s="175"/>
      <c r="M681" s="175"/>
      <c r="N681" s="175"/>
      <c r="O681" s="175"/>
      <c r="P681" s="175"/>
      <c r="Q681" s="175"/>
      <c r="R681" s="175"/>
      <c r="S681" s="175"/>
      <c r="T681" s="175"/>
      <c r="U681" s="175"/>
      <c r="V681" s="175"/>
      <c r="W681" s="175"/>
      <c r="X681" s="175"/>
      <c r="Y681" s="175"/>
      <c r="Z681" s="175"/>
      <c r="AA681" s="175"/>
      <c r="AB681" s="175"/>
      <c r="AC681" s="175"/>
    </row>
    <row r="682" spans="1:29" ht="12.75">
      <c r="A682" s="175"/>
      <c r="B682" s="175"/>
      <c r="C682" s="175"/>
      <c r="D682" s="175"/>
      <c r="E682" s="175"/>
      <c r="F682" s="175"/>
      <c r="G682" s="175"/>
      <c r="H682" s="175"/>
      <c r="I682" s="175"/>
      <c r="J682" s="175"/>
      <c r="K682" s="175"/>
      <c r="L682" s="175"/>
      <c r="M682" s="175"/>
      <c r="N682" s="175"/>
      <c r="O682" s="175"/>
      <c r="P682" s="175"/>
      <c r="Q682" s="175"/>
      <c r="R682" s="175"/>
      <c r="S682" s="175"/>
      <c r="T682" s="175"/>
      <c r="U682" s="175"/>
      <c r="V682" s="175"/>
      <c r="W682" s="175"/>
      <c r="X682" s="175"/>
      <c r="Y682" s="175"/>
      <c r="Z682" s="175"/>
      <c r="AA682" s="175"/>
      <c r="AB682" s="175"/>
      <c r="AC682" s="175"/>
    </row>
    <row r="683" spans="1:29" ht="12.75">
      <c r="A683" s="175"/>
      <c r="B683" s="175"/>
      <c r="C683" s="175"/>
      <c r="D683" s="175"/>
      <c r="E683" s="175"/>
      <c r="F683" s="175"/>
      <c r="G683" s="175"/>
      <c r="H683" s="175"/>
      <c r="I683" s="175"/>
      <c r="J683" s="175"/>
      <c r="K683" s="175"/>
      <c r="L683" s="175"/>
      <c r="M683" s="175"/>
      <c r="N683" s="175"/>
      <c r="O683" s="175"/>
      <c r="P683" s="175"/>
      <c r="Q683" s="175"/>
      <c r="R683" s="175"/>
      <c r="S683" s="175"/>
      <c r="T683" s="175"/>
      <c r="U683" s="175"/>
      <c r="V683" s="175"/>
      <c r="W683" s="175"/>
      <c r="X683" s="175"/>
      <c r="Y683" s="175"/>
      <c r="Z683" s="175"/>
      <c r="AA683" s="175"/>
      <c r="AB683" s="175"/>
      <c r="AC683" s="175"/>
    </row>
    <row r="684" spans="1:29" ht="12.75">
      <c r="A684" s="175"/>
      <c r="B684" s="175"/>
      <c r="C684" s="175"/>
      <c r="D684" s="175"/>
      <c r="E684" s="175"/>
      <c r="F684" s="175"/>
      <c r="G684" s="175"/>
      <c r="H684" s="175"/>
      <c r="I684" s="175"/>
      <c r="J684" s="175"/>
      <c r="K684" s="175"/>
      <c r="L684" s="175"/>
      <c r="M684" s="175"/>
      <c r="N684" s="175"/>
      <c r="O684" s="175"/>
      <c r="P684" s="175"/>
      <c r="Q684" s="175"/>
      <c r="R684" s="175"/>
      <c r="S684" s="175"/>
      <c r="T684" s="175"/>
      <c r="U684" s="175"/>
      <c r="V684" s="175"/>
      <c r="W684" s="175"/>
      <c r="X684" s="175"/>
      <c r="Y684" s="175"/>
      <c r="Z684" s="175"/>
      <c r="AA684" s="175"/>
      <c r="AB684" s="175"/>
      <c r="AC684" s="175"/>
    </row>
    <row r="685" spans="1:29" ht="12.75">
      <c r="A685" s="175"/>
      <c r="B685" s="175"/>
      <c r="C685" s="175"/>
      <c r="D685" s="175"/>
      <c r="E685" s="175"/>
      <c r="F685" s="175"/>
      <c r="G685" s="175"/>
      <c r="H685" s="175"/>
      <c r="I685" s="175"/>
      <c r="J685" s="175"/>
      <c r="K685" s="175"/>
      <c r="L685" s="175"/>
      <c r="M685" s="175"/>
      <c r="N685" s="175"/>
      <c r="O685" s="175"/>
      <c r="P685" s="175"/>
      <c r="Q685" s="175"/>
      <c r="R685" s="175"/>
      <c r="S685" s="175"/>
      <c r="T685" s="175"/>
      <c r="U685" s="175"/>
      <c r="V685" s="175"/>
      <c r="W685" s="175"/>
      <c r="X685" s="175"/>
      <c r="Y685" s="175"/>
      <c r="Z685" s="175"/>
      <c r="AA685" s="175"/>
      <c r="AB685" s="175"/>
      <c r="AC685" s="175"/>
    </row>
    <row r="686" spans="1:29" ht="12.75">
      <c r="A686" s="175"/>
      <c r="B686" s="175"/>
      <c r="C686" s="175"/>
      <c r="D686" s="175"/>
      <c r="E686" s="175"/>
      <c r="F686" s="175"/>
      <c r="G686" s="175"/>
      <c r="H686" s="175"/>
      <c r="I686" s="175"/>
      <c r="J686" s="175"/>
      <c r="K686" s="175"/>
      <c r="L686" s="175"/>
      <c r="M686" s="175"/>
      <c r="N686" s="175"/>
      <c r="O686" s="175"/>
      <c r="P686" s="175"/>
      <c r="Q686" s="175"/>
      <c r="R686" s="175"/>
      <c r="S686" s="175"/>
      <c r="T686" s="175"/>
      <c r="U686" s="175"/>
      <c r="V686" s="175"/>
      <c r="W686" s="175"/>
      <c r="X686" s="175"/>
      <c r="Y686" s="175"/>
      <c r="Z686" s="175"/>
      <c r="AA686" s="175"/>
      <c r="AB686" s="175"/>
      <c r="AC686" s="175"/>
    </row>
    <row r="687" spans="1:29" ht="12.75">
      <c r="A687" s="175"/>
      <c r="B687" s="175"/>
      <c r="C687" s="175"/>
      <c r="D687" s="175"/>
      <c r="E687" s="175"/>
      <c r="F687" s="175"/>
      <c r="G687" s="175"/>
      <c r="H687" s="175"/>
      <c r="I687" s="175"/>
      <c r="J687" s="175"/>
      <c r="K687" s="175"/>
      <c r="L687" s="175"/>
      <c r="M687" s="175"/>
      <c r="N687" s="175"/>
      <c r="O687" s="175"/>
      <c r="P687" s="175"/>
      <c r="Q687" s="175"/>
      <c r="R687" s="175"/>
      <c r="S687" s="175"/>
      <c r="T687" s="175"/>
      <c r="U687" s="175"/>
      <c r="V687" s="175"/>
      <c r="W687" s="175"/>
      <c r="X687" s="175"/>
      <c r="Y687" s="175"/>
      <c r="Z687" s="175"/>
      <c r="AA687" s="175"/>
      <c r="AB687" s="175"/>
      <c r="AC687" s="175"/>
    </row>
    <row r="688" spans="1:29" ht="12.75">
      <c r="A688" s="175"/>
      <c r="B688" s="175"/>
      <c r="C688" s="175"/>
      <c r="D688" s="175"/>
      <c r="E688" s="175"/>
      <c r="F688" s="175"/>
      <c r="G688" s="175"/>
      <c r="H688" s="175"/>
      <c r="I688" s="175"/>
      <c r="J688" s="175"/>
      <c r="K688" s="175"/>
      <c r="L688" s="175"/>
      <c r="M688" s="175"/>
      <c r="N688" s="175"/>
      <c r="O688" s="175"/>
      <c r="P688" s="175"/>
      <c r="Q688" s="175"/>
      <c r="R688" s="175"/>
      <c r="S688" s="175"/>
      <c r="T688" s="175"/>
      <c r="U688" s="175"/>
      <c r="V688" s="175"/>
      <c r="W688" s="175"/>
      <c r="X688" s="175"/>
      <c r="Y688" s="175"/>
      <c r="Z688" s="175"/>
      <c r="AA688" s="175"/>
      <c r="AB688" s="175"/>
      <c r="AC688" s="175"/>
    </row>
    <row r="689" spans="1:29" ht="12.75">
      <c r="A689" s="175"/>
      <c r="B689" s="175"/>
      <c r="C689" s="175"/>
      <c r="D689" s="175"/>
      <c r="E689" s="175"/>
      <c r="F689" s="175"/>
      <c r="G689" s="175"/>
      <c r="H689" s="175"/>
      <c r="I689" s="175"/>
      <c r="J689" s="175"/>
      <c r="K689" s="175"/>
      <c r="L689" s="175"/>
      <c r="M689" s="175"/>
      <c r="N689" s="175"/>
      <c r="O689" s="175"/>
      <c r="P689" s="175"/>
      <c r="Q689" s="175"/>
      <c r="R689" s="175"/>
      <c r="S689" s="175"/>
      <c r="T689" s="175"/>
      <c r="U689" s="175"/>
      <c r="V689" s="175"/>
      <c r="W689" s="175"/>
      <c r="X689" s="175"/>
      <c r="Y689" s="175"/>
      <c r="Z689" s="175"/>
      <c r="AA689" s="175"/>
      <c r="AB689" s="175"/>
      <c r="AC689" s="175"/>
    </row>
    <row r="690" spans="1:29" ht="12.75">
      <c r="A690" s="175"/>
      <c r="B690" s="175"/>
      <c r="C690" s="175"/>
      <c r="D690" s="175"/>
      <c r="E690" s="175"/>
      <c r="F690" s="175"/>
      <c r="G690" s="175"/>
      <c r="H690" s="175"/>
      <c r="I690" s="175"/>
      <c r="J690" s="175"/>
      <c r="K690" s="175"/>
      <c r="L690" s="175"/>
      <c r="M690" s="175"/>
      <c r="N690" s="175"/>
      <c r="O690" s="175"/>
      <c r="P690" s="175"/>
      <c r="Q690" s="175"/>
      <c r="R690" s="175"/>
      <c r="S690" s="175"/>
      <c r="T690" s="175"/>
      <c r="U690" s="175"/>
      <c r="V690" s="175"/>
      <c r="W690" s="175"/>
      <c r="X690" s="175"/>
      <c r="Y690" s="175"/>
      <c r="Z690" s="175"/>
      <c r="AA690" s="175"/>
      <c r="AB690" s="175"/>
      <c r="AC690" s="175"/>
    </row>
    <row r="691" spans="1:29" ht="12.75">
      <c r="A691" s="175"/>
      <c r="B691" s="175"/>
      <c r="C691" s="175"/>
      <c r="D691" s="175"/>
      <c r="E691" s="175"/>
      <c r="F691" s="175"/>
      <c r="G691" s="175"/>
      <c r="H691" s="175"/>
      <c r="I691" s="175"/>
      <c r="J691" s="175"/>
      <c r="K691" s="175"/>
      <c r="L691" s="175"/>
      <c r="M691" s="175"/>
      <c r="N691" s="175"/>
      <c r="O691" s="175"/>
      <c r="P691" s="175"/>
      <c r="Q691" s="175"/>
      <c r="R691" s="175"/>
      <c r="S691" s="175"/>
      <c r="T691" s="175"/>
      <c r="U691" s="175"/>
      <c r="V691" s="175"/>
      <c r="W691" s="175"/>
      <c r="X691" s="175"/>
      <c r="Y691" s="175"/>
      <c r="Z691" s="175"/>
      <c r="AA691" s="175"/>
      <c r="AB691" s="175"/>
      <c r="AC691" s="175"/>
    </row>
    <row r="692" spans="1:29" ht="12.75">
      <c r="A692" s="175"/>
      <c r="B692" s="175"/>
      <c r="C692" s="175"/>
      <c r="D692" s="175"/>
      <c r="E692" s="175"/>
      <c r="F692" s="175"/>
      <c r="G692" s="175"/>
      <c r="H692" s="175"/>
      <c r="I692" s="175"/>
      <c r="J692" s="175"/>
      <c r="K692" s="175"/>
      <c r="L692" s="175"/>
      <c r="M692" s="175"/>
      <c r="N692" s="175"/>
      <c r="O692" s="175"/>
      <c r="P692" s="175"/>
      <c r="Q692" s="175"/>
      <c r="R692" s="175"/>
      <c r="S692" s="175"/>
      <c r="T692" s="175"/>
      <c r="U692" s="175"/>
      <c r="V692" s="175"/>
      <c r="W692" s="175"/>
      <c r="X692" s="175"/>
      <c r="Y692" s="175"/>
      <c r="Z692" s="175"/>
      <c r="AA692" s="175"/>
      <c r="AB692" s="175"/>
      <c r="AC692" s="175"/>
    </row>
    <row r="693" spans="1:29" ht="12.75">
      <c r="A693" s="175"/>
      <c r="B693" s="175"/>
      <c r="C693" s="175"/>
      <c r="D693" s="175"/>
      <c r="E693" s="175"/>
      <c r="F693" s="175"/>
      <c r="G693" s="175"/>
      <c r="H693" s="175"/>
      <c r="I693" s="175"/>
      <c r="J693" s="175"/>
      <c r="K693" s="175"/>
      <c r="L693" s="175"/>
      <c r="M693" s="175"/>
      <c r="N693" s="175"/>
      <c r="O693" s="175"/>
      <c r="P693" s="175"/>
      <c r="Q693" s="175"/>
      <c r="R693" s="175"/>
      <c r="S693" s="175"/>
      <c r="T693" s="175"/>
      <c r="U693" s="175"/>
      <c r="V693" s="175"/>
      <c r="W693" s="175"/>
      <c r="X693" s="175"/>
      <c r="Y693" s="175"/>
      <c r="Z693" s="175"/>
      <c r="AA693" s="175"/>
      <c r="AB693" s="175"/>
      <c r="AC693" s="175"/>
    </row>
    <row r="694" spans="1:29" ht="12.75">
      <c r="A694" s="175"/>
      <c r="B694" s="175"/>
      <c r="C694" s="175"/>
      <c r="D694" s="175"/>
      <c r="E694" s="175"/>
      <c r="F694" s="175"/>
      <c r="G694" s="175"/>
      <c r="H694" s="175"/>
      <c r="I694" s="175"/>
      <c r="J694" s="175"/>
      <c r="K694" s="175"/>
      <c r="L694" s="175"/>
      <c r="M694" s="175"/>
      <c r="N694" s="175"/>
      <c r="O694" s="175"/>
      <c r="P694" s="175"/>
      <c r="Q694" s="175"/>
      <c r="R694" s="175"/>
      <c r="S694" s="175"/>
      <c r="T694" s="175"/>
      <c r="U694" s="175"/>
      <c r="V694" s="175"/>
      <c r="W694" s="175"/>
      <c r="X694" s="175"/>
      <c r="Y694" s="175"/>
      <c r="Z694" s="175"/>
      <c r="AA694" s="175"/>
      <c r="AB694" s="175"/>
      <c r="AC694" s="175"/>
    </row>
    <row r="695" spans="1:29" ht="12.75">
      <c r="A695" s="175"/>
      <c r="B695" s="175"/>
      <c r="C695" s="175"/>
      <c r="D695" s="175"/>
      <c r="E695" s="175"/>
      <c r="F695" s="175"/>
      <c r="G695" s="175"/>
      <c r="H695" s="175"/>
      <c r="I695" s="175"/>
      <c r="J695" s="175"/>
      <c r="K695" s="175"/>
      <c r="L695" s="175"/>
      <c r="M695" s="175"/>
      <c r="N695" s="175"/>
      <c r="O695" s="175"/>
      <c r="P695" s="175"/>
      <c r="Q695" s="175"/>
      <c r="R695" s="175"/>
      <c r="S695" s="175"/>
      <c r="T695" s="175"/>
      <c r="U695" s="175"/>
      <c r="V695" s="175"/>
      <c r="W695" s="175"/>
      <c r="X695" s="175"/>
      <c r="Y695" s="175"/>
      <c r="Z695" s="175"/>
      <c r="AA695" s="175"/>
      <c r="AB695" s="175"/>
      <c r="AC695" s="175"/>
    </row>
    <row r="696" spans="1:29" ht="12.75">
      <c r="A696" s="175"/>
      <c r="B696" s="175"/>
      <c r="C696" s="175"/>
      <c r="D696" s="175"/>
      <c r="E696" s="175"/>
      <c r="F696" s="175"/>
      <c r="G696" s="175"/>
      <c r="H696" s="175"/>
      <c r="I696" s="175"/>
      <c r="J696" s="175"/>
      <c r="K696" s="175"/>
      <c r="L696" s="175"/>
      <c r="M696" s="175"/>
      <c r="N696" s="175"/>
      <c r="O696" s="175"/>
      <c r="P696" s="175"/>
      <c r="Q696" s="175"/>
      <c r="R696" s="175"/>
      <c r="S696" s="175"/>
      <c r="T696" s="175"/>
      <c r="U696" s="175"/>
      <c r="V696" s="175"/>
      <c r="W696" s="175"/>
      <c r="X696" s="175"/>
      <c r="Y696" s="175"/>
      <c r="Z696" s="175"/>
      <c r="AA696" s="175"/>
      <c r="AB696" s="175"/>
      <c r="AC696" s="175"/>
    </row>
    <row r="697" spans="1:29" ht="12.75">
      <c r="A697" s="175"/>
      <c r="B697" s="175"/>
      <c r="C697" s="175"/>
      <c r="D697" s="175"/>
      <c r="E697" s="175"/>
      <c r="F697" s="175"/>
      <c r="G697" s="175"/>
      <c r="H697" s="175"/>
      <c r="I697" s="175"/>
      <c r="J697" s="175"/>
      <c r="K697" s="175"/>
      <c r="L697" s="175"/>
      <c r="M697" s="175"/>
      <c r="N697" s="175"/>
      <c r="O697" s="175"/>
      <c r="P697" s="175"/>
      <c r="Q697" s="175"/>
      <c r="R697" s="175"/>
      <c r="S697" s="175"/>
      <c r="T697" s="175"/>
      <c r="U697" s="175"/>
      <c r="V697" s="175"/>
      <c r="W697" s="175"/>
      <c r="X697" s="175"/>
      <c r="Y697" s="175"/>
      <c r="Z697" s="175"/>
      <c r="AA697" s="175"/>
      <c r="AB697" s="175"/>
      <c r="AC697" s="175"/>
    </row>
    <row r="698" spans="1:29" ht="12.75">
      <c r="A698" s="175"/>
      <c r="B698" s="175"/>
      <c r="C698" s="175"/>
      <c r="D698" s="175"/>
      <c r="E698" s="175"/>
      <c r="F698" s="175"/>
      <c r="G698" s="175"/>
      <c r="H698" s="175"/>
      <c r="I698" s="175"/>
      <c r="J698" s="175"/>
      <c r="K698" s="175"/>
      <c r="L698" s="175"/>
      <c r="M698" s="175"/>
      <c r="N698" s="175"/>
      <c r="O698" s="175"/>
      <c r="P698" s="175"/>
      <c r="Q698" s="175"/>
      <c r="R698" s="175"/>
      <c r="S698" s="175"/>
      <c r="T698" s="175"/>
      <c r="U698" s="175"/>
      <c r="V698" s="175"/>
      <c r="W698" s="175"/>
      <c r="X698" s="175"/>
      <c r="Y698" s="175"/>
      <c r="Z698" s="175"/>
      <c r="AA698" s="175"/>
      <c r="AB698" s="175"/>
      <c r="AC698" s="175"/>
    </row>
    <row r="699" spans="1:29" ht="12.75">
      <c r="A699" s="175"/>
      <c r="B699" s="175"/>
      <c r="C699" s="175"/>
      <c r="D699" s="175"/>
      <c r="E699" s="175"/>
      <c r="F699" s="175"/>
      <c r="G699" s="175"/>
      <c r="H699" s="175"/>
      <c r="I699" s="175"/>
      <c r="J699" s="175"/>
      <c r="K699" s="175"/>
      <c r="L699" s="175"/>
      <c r="M699" s="175"/>
      <c r="N699" s="175"/>
      <c r="O699" s="175"/>
      <c r="P699" s="175"/>
      <c r="Q699" s="175"/>
      <c r="R699" s="175"/>
      <c r="S699" s="175"/>
      <c r="T699" s="175"/>
      <c r="U699" s="175"/>
      <c r="V699" s="175"/>
      <c r="W699" s="175"/>
      <c r="X699" s="175"/>
      <c r="Y699" s="175"/>
      <c r="Z699" s="175"/>
      <c r="AA699" s="175"/>
      <c r="AB699" s="175"/>
      <c r="AC699" s="175"/>
    </row>
    <row r="700" spans="1:29" ht="12.75">
      <c r="A700" s="175"/>
      <c r="B700" s="175"/>
      <c r="C700" s="175"/>
      <c r="D700" s="175"/>
      <c r="E700" s="175"/>
      <c r="F700" s="175"/>
      <c r="G700" s="175"/>
      <c r="H700" s="175"/>
      <c r="I700" s="175"/>
      <c r="J700" s="175"/>
      <c r="K700" s="175"/>
      <c r="L700" s="175"/>
      <c r="M700" s="175"/>
      <c r="N700" s="175"/>
      <c r="O700" s="175"/>
      <c r="P700" s="175"/>
      <c r="Q700" s="175"/>
      <c r="R700" s="175"/>
      <c r="S700" s="175"/>
      <c r="T700" s="175"/>
      <c r="U700" s="175"/>
      <c r="V700" s="175"/>
      <c r="W700" s="175"/>
      <c r="X700" s="175"/>
      <c r="Y700" s="175"/>
      <c r="Z700" s="175"/>
      <c r="AA700" s="175"/>
      <c r="AB700" s="175"/>
      <c r="AC700" s="175"/>
    </row>
    <row r="701" spans="1:29" ht="12.75">
      <c r="A701" s="175"/>
      <c r="B701" s="175"/>
      <c r="C701" s="175"/>
      <c r="D701" s="175"/>
      <c r="E701" s="175"/>
      <c r="F701" s="175"/>
      <c r="G701" s="175"/>
      <c r="H701" s="175"/>
      <c r="I701" s="175"/>
      <c r="J701" s="175"/>
      <c r="K701" s="175"/>
      <c r="L701" s="175"/>
      <c r="M701" s="175"/>
      <c r="N701" s="175"/>
      <c r="O701" s="175"/>
      <c r="P701" s="175"/>
      <c r="Q701" s="175"/>
      <c r="R701" s="175"/>
      <c r="S701" s="175"/>
      <c r="T701" s="175"/>
      <c r="U701" s="175"/>
      <c r="V701" s="175"/>
      <c r="W701" s="175"/>
      <c r="X701" s="175"/>
      <c r="Y701" s="175"/>
      <c r="Z701" s="175"/>
      <c r="AA701" s="175"/>
      <c r="AB701" s="175"/>
      <c r="AC701" s="175"/>
    </row>
    <row r="702" spans="1:29" ht="12.75">
      <c r="A702" s="175"/>
      <c r="B702" s="175"/>
      <c r="C702" s="175"/>
      <c r="D702" s="175"/>
      <c r="E702" s="175"/>
      <c r="F702" s="175"/>
      <c r="G702" s="175"/>
      <c r="H702" s="175"/>
      <c r="I702" s="175"/>
      <c r="J702" s="175"/>
      <c r="K702" s="175"/>
      <c r="L702" s="175"/>
      <c r="M702" s="175"/>
      <c r="N702" s="175"/>
      <c r="O702" s="175"/>
      <c r="P702" s="175"/>
      <c r="Q702" s="175"/>
      <c r="R702" s="175"/>
      <c r="S702" s="175"/>
      <c r="T702" s="175"/>
      <c r="U702" s="175"/>
      <c r="V702" s="175"/>
      <c r="W702" s="175"/>
      <c r="X702" s="175"/>
      <c r="Y702" s="175"/>
      <c r="Z702" s="175"/>
      <c r="AA702" s="175"/>
      <c r="AB702" s="175"/>
      <c r="AC702" s="175"/>
    </row>
    <row r="703" spans="1:29" ht="12.75">
      <c r="A703" s="175"/>
      <c r="B703" s="175"/>
      <c r="C703" s="175"/>
      <c r="D703" s="175"/>
      <c r="E703" s="175"/>
      <c r="F703" s="175"/>
      <c r="G703" s="175"/>
      <c r="H703" s="175"/>
      <c r="I703" s="175"/>
      <c r="J703" s="175"/>
      <c r="K703" s="175"/>
      <c r="L703" s="175"/>
      <c r="M703" s="175"/>
      <c r="N703" s="175"/>
      <c r="O703" s="175"/>
      <c r="P703" s="175"/>
      <c r="Q703" s="175"/>
      <c r="R703" s="175"/>
      <c r="S703" s="175"/>
      <c r="T703" s="175"/>
      <c r="U703" s="175"/>
      <c r="V703" s="175"/>
      <c r="W703" s="175"/>
      <c r="X703" s="175"/>
      <c r="Y703" s="175"/>
      <c r="Z703" s="175"/>
      <c r="AA703" s="175"/>
      <c r="AB703" s="175"/>
      <c r="AC703" s="175"/>
    </row>
    <row r="704" spans="1:29" ht="12.75">
      <c r="A704" s="175"/>
      <c r="B704" s="175"/>
      <c r="C704" s="175"/>
      <c r="D704" s="175"/>
      <c r="E704" s="175"/>
      <c r="F704" s="175"/>
      <c r="G704" s="175"/>
      <c r="H704" s="175"/>
      <c r="I704" s="175"/>
      <c r="J704" s="175"/>
      <c r="K704" s="175"/>
      <c r="L704" s="175"/>
      <c r="M704" s="175"/>
      <c r="N704" s="175"/>
      <c r="O704" s="175"/>
      <c r="P704" s="175"/>
      <c r="Q704" s="175"/>
      <c r="R704" s="175"/>
      <c r="S704" s="175"/>
      <c r="T704" s="175"/>
      <c r="U704" s="175"/>
      <c r="V704" s="175"/>
      <c r="W704" s="175"/>
      <c r="X704" s="175"/>
      <c r="Y704" s="175"/>
      <c r="Z704" s="175"/>
      <c r="AA704" s="175"/>
      <c r="AB704" s="175"/>
      <c r="AC704" s="175"/>
    </row>
    <row r="705" spans="1:29" ht="12.75">
      <c r="A705" s="175"/>
      <c r="B705" s="175"/>
      <c r="C705" s="175"/>
      <c r="D705" s="175"/>
      <c r="E705" s="175"/>
      <c r="F705" s="175"/>
      <c r="G705" s="175"/>
      <c r="H705" s="175"/>
      <c r="I705" s="175"/>
      <c r="J705" s="175"/>
      <c r="K705" s="175"/>
      <c r="L705" s="175"/>
      <c r="M705" s="175"/>
      <c r="N705" s="175"/>
      <c r="O705" s="175"/>
      <c r="P705" s="175"/>
      <c r="Q705" s="175"/>
      <c r="R705" s="175"/>
      <c r="S705" s="175"/>
      <c r="T705" s="175"/>
      <c r="U705" s="175"/>
      <c r="V705" s="175"/>
      <c r="W705" s="175"/>
      <c r="X705" s="175"/>
      <c r="Y705" s="175"/>
      <c r="Z705" s="175"/>
      <c r="AA705" s="175"/>
      <c r="AB705" s="175"/>
      <c r="AC705" s="175"/>
    </row>
    <row r="706" spans="1:29" ht="12.75">
      <c r="A706" s="175"/>
      <c r="B706" s="175"/>
      <c r="C706" s="175"/>
      <c r="D706" s="175"/>
      <c r="E706" s="175"/>
      <c r="F706" s="175"/>
      <c r="G706" s="175"/>
      <c r="H706" s="175"/>
      <c r="I706" s="175"/>
      <c r="J706" s="175"/>
      <c r="K706" s="175"/>
      <c r="L706" s="175"/>
      <c r="M706" s="175"/>
      <c r="N706" s="175"/>
      <c r="O706" s="175"/>
      <c r="P706" s="175"/>
      <c r="Q706" s="175"/>
      <c r="R706" s="175"/>
      <c r="S706" s="175"/>
      <c r="T706" s="175"/>
      <c r="U706" s="175"/>
      <c r="V706" s="175"/>
      <c r="W706" s="175"/>
      <c r="X706" s="175"/>
      <c r="Y706" s="175"/>
      <c r="Z706" s="175"/>
      <c r="AA706" s="175"/>
      <c r="AB706" s="175"/>
      <c r="AC706" s="175"/>
    </row>
    <row r="707" spans="1:29" ht="12.75">
      <c r="A707" s="175"/>
      <c r="B707" s="175"/>
      <c r="C707" s="175"/>
      <c r="D707" s="175"/>
      <c r="E707" s="175"/>
      <c r="F707" s="175"/>
      <c r="G707" s="175"/>
      <c r="H707" s="175"/>
      <c r="I707" s="175"/>
      <c r="J707" s="175"/>
      <c r="K707" s="175"/>
      <c r="L707" s="175"/>
      <c r="M707" s="175"/>
      <c r="N707" s="175"/>
      <c r="O707" s="175"/>
      <c r="P707" s="175"/>
      <c r="Q707" s="175"/>
      <c r="R707" s="175"/>
      <c r="S707" s="175"/>
      <c r="T707" s="175"/>
      <c r="U707" s="175"/>
      <c r="V707" s="175"/>
      <c r="W707" s="175"/>
      <c r="X707" s="175"/>
      <c r="Y707" s="175"/>
      <c r="Z707" s="175"/>
      <c r="AA707" s="175"/>
      <c r="AB707" s="175"/>
      <c r="AC707" s="175"/>
    </row>
    <row r="708" spans="1:29" ht="12.75">
      <c r="A708" s="175"/>
      <c r="B708" s="175"/>
      <c r="C708" s="175"/>
      <c r="D708" s="175"/>
      <c r="E708" s="175"/>
      <c r="F708" s="175"/>
      <c r="G708" s="175"/>
      <c r="H708" s="175"/>
      <c r="I708" s="175"/>
      <c r="J708" s="175"/>
      <c r="K708" s="175"/>
      <c r="L708" s="175"/>
      <c r="M708" s="175"/>
      <c r="N708" s="175"/>
      <c r="O708" s="175"/>
      <c r="P708" s="175"/>
      <c r="Q708" s="175"/>
      <c r="R708" s="175"/>
      <c r="S708" s="175"/>
      <c r="T708" s="175"/>
      <c r="U708" s="175"/>
      <c r="V708" s="175"/>
      <c r="W708" s="175"/>
      <c r="X708" s="175"/>
      <c r="Y708" s="175"/>
      <c r="Z708" s="175"/>
      <c r="AA708" s="175"/>
      <c r="AB708" s="175"/>
      <c r="AC708" s="175"/>
    </row>
    <row r="709" spans="1:29" ht="12.75">
      <c r="A709" s="175"/>
      <c r="B709" s="175"/>
      <c r="C709" s="175"/>
      <c r="D709" s="175"/>
      <c r="E709" s="175"/>
      <c r="F709" s="175"/>
      <c r="G709" s="175"/>
      <c r="H709" s="175"/>
      <c r="I709" s="175"/>
      <c r="J709" s="175"/>
      <c r="K709" s="175"/>
      <c r="L709" s="175"/>
      <c r="M709" s="175"/>
      <c r="N709" s="175"/>
      <c r="O709" s="175"/>
      <c r="P709" s="175"/>
      <c r="Q709" s="175"/>
      <c r="R709" s="175"/>
      <c r="S709" s="175"/>
      <c r="T709" s="175"/>
      <c r="U709" s="175"/>
      <c r="V709" s="175"/>
      <c r="W709" s="175"/>
      <c r="X709" s="175"/>
      <c r="Y709" s="175"/>
      <c r="Z709" s="175"/>
      <c r="AA709" s="175"/>
      <c r="AB709" s="175"/>
      <c r="AC709" s="175"/>
    </row>
    <row r="710" spans="1:29" ht="12.75">
      <c r="A710" s="175"/>
      <c r="B710" s="175"/>
      <c r="C710" s="175"/>
      <c r="D710" s="175"/>
      <c r="E710" s="175"/>
      <c r="F710" s="175"/>
      <c r="G710" s="175"/>
      <c r="H710" s="175"/>
      <c r="I710" s="175"/>
      <c r="J710" s="175"/>
      <c r="K710" s="175"/>
      <c r="L710" s="175"/>
      <c r="M710" s="175"/>
      <c r="N710" s="175"/>
      <c r="O710" s="175"/>
      <c r="P710" s="175"/>
      <c r="Q710" s="175"/>
      <c r="R710" s="175"/>
      <c r="S710" s="175"/>
      <c r="T710" s="175"/>
      <c r="U710" s="175"/>
      <c r="V710" s="175"/>
      <c r="W710" s="175"/>
      <c r="X710" s="175"/>
      <c r="Y710" s="175"/>
      <c r="Z710" s="175"/>
      <c r="AA710" s="175"/>
      <c r="AB710" s="175"/>
      <c r="AC710" s="175"/>
    </row>
    <row r="711" spans="1:29" ht="12.75">
      <c r="A711" s="175"/>
      <c r="B711" s="175"/>
      <c r="C711" s="175"/>
      <c r="D711" s="175"/>
      <c r="E711" s="175"/>
      <c r="F711" s="175"/>
      <c r="G711" s="175"/>
      <c r="H711" s="175"/>
      <c r="I711" s="175"/>
      <c r="J711" s="175"/>
      <c r="K711" s="175"/>
      <c r="L711" s="175"/>
      <c r="M711" s="175"/>
      <c r="N711" s="175"/>
      <c r="O711" s="175"/>
      <c r="P711" s="175"/>
      <c r="Q711" s="175"/>
      <c r="R711" s="175"/>
      <c r="S711" s="175"/>
      <c r="T711" s="175"/>
      <c r="U711" s="175"/>
      <c r="V711" s="175"/>
      <c r="W711" s="175"/>
      <c r="X711" s="175"/>
      <c r="Y711" s="175"/>
      <c r="Z711" s="175"/>
      <c r="AA711" s="175"/>
      <c r="AB711" s="175"/>
      <c r="AC711" s="175"/>
    </row>
    <row r="712" spans="1:29" ht="12.75">
      <c r="A712" s="175"/>
      <c r="B712" s="175"/>
      <c r="C712" s="175"/>
      <c r="D712" s="175"/>
      <c r="E712" s="175"/>
      <c r="F712" s="175"/>
      <c r="G712" s="175"/>
      <c r="H712" s="175"/>
      <c r="I712" s="175"/>
      <c r="J712" s="175"/>
      <c r="K712" s="175"/>
      <c r="L712" s="175"/>
      <c r="M712" s="175"/>
      <c r="N712" s="175"/>
      <c r="O712" s="175"/>
      <c r="P712" s="175"/>
      <c r="Q712" s="175"/>
      <c r="R712" s="175"/>
      <c r="S712" s="175"/>
      <c r="T712" s="175"/>
      <c r="U712" s="175"/>
      <c r="V712" s="175"/>
      <c r="W712" s="175"/>
      <c r="X712" s="175"/>
      <c r="Y712" s="175"/>
      <c r="Z712" s="175"/>
      <c r="AA712" s="175"/>
      <c r="AB712" s="175"/>
      <c r="AC712" s="175"/>
    </row>
    <row r="713" spans="1:29" ht="12.75">
      <c r="A713" s="175"/>
      <c r="B713" s="175"/>
      <c r="C713" s="175"/>
      <c r="D713" s="175"/>
      <c r="E713" s="175"/>
      <c r="F713" s="175"/>
      <c r="G713" s="175"/>
      <c r="H713" s="175"/>
      <c r="I713" s="175"/>
      <c r="J713" s="175"/>
      <c r="K713" s="175"/>
      <c r="L713" s="175"/>
      <c r="M713" s="175"/>
      <c r="N713" s="175"/>
      <c r="O713" s="175"/>
      <c r="P713" s="175"/>
      <c r="Q713" s="175"/>
      <c r="R713" s="175"/>
      <c r="S713" s="175"/>
      <c r="T713" s="175"/>
      <c r="U713" s="175"/>
      <c r="V713" s="175"/>
      <c r="W713" s="175"/>
      <c r="X713" s="175"/>
      <c r="Y713" s="175"/>
      <c r="Z713" s="175"/>
      <c r="AA713" s="175"/>
      <c r="AB713" s="175"/>
      <c r="AC713" s="175"/>
    </row>
    <row r="714" spans="1:29" ht="12.75">
      <c r="A714" s="175"/>
      <c r="B714" s="175"/>
      <c r="C714" s="175"/>
      <c r="D714" s="175"/>
      <c r="E714" s="175"/>
      <c r="F714" s="175"/>
      <c r="G714" s="175"/>
      <c r="H714" s="175"/>
      <c r="I714" s="175"/>
      <c r="J714" s="175"/>
      <c r="K714" s="175"/>
      <c r="L714" s="175"/>
      <c r="M714" s="175"/>
      <c r="N714" s="175"/>
      <c r="O714" s="175"/>
      <c r="P714" s="175"/>
      <c r="Q714" s="175"/>
      <c r="R714" s="175"/>
      <c r="S714" s="175"/>
      <c r="T714" s="175"/>
      <c r="U714" s="175"/>
      <c r="V714" s="175"/>
      <c r="W714" s="175"/>
      <c r="X714" s="175"/>
      <c r="Y714" s="175"/>
      <c r="Z714" s="175"/>
      <c r="AA714" s="175"/>
      <c r="AB714" s="175"/>
      <c r="AC714" s="175"/>
    </row>
    <row r="715" spans="1:29" ht="12.75">
      <c r="A715" s="175"/>
      <c r="B715" s="175"/>
      <c r="C715" s="175"/>
      <c r="D715" s="175"/>
      <c r="E715" s="175"/>
      <c r="F715" s="175"/>
      <c r="G715" s="175"/>
      <c r="H715" s="175"/>
      <c r="I715" s="175"/>
      <c r="J715" s="175"/>
      <c r="K715" s="175"/>
      <c r="L715" s="175"/>
      <c r="M715" s="175"/>
      <c r="N715" s="175"/>
      <c r="O715" s="175"/>
      <c r="P715" s="175"/>
      <c r="Q715" s="175"/>
      <c r="R715" s="175"/>
      <c r="S715" s="175"/>
      <c r="T715" s="175"/>
      <c r="U715" s="175"/>
      <c r="V715" s="175"/>
      <c r="W715" s="175"/>
      <c r="X715" s="175"/>
      <c r="Y715" s="175"/>
      <c r="Z715" s="175"/>
      <c r="AA715" s="175"/>
      <c r="AB715" s="175"/>
      <c r="AC715" s="175"/>
    </row>
    <row r="716" spans="1:29" ht="12.75">
      <c r="A716" s="175"/>
      <c r="B716" s="175"/>
      <c r="C716" s="175"/>
      <c r="D716" s="175"/>
      <c r="E716" s="175"/>
      <c r="F716" s="175"/>
      <c r="G716" s="175"/>
      <c r="H716" s="175"/>
      <c r="I716" s="175"/>
      <c r="J716" s="175"/>
      <c r="K716" s="175"/>
      <c r="L716" s="175"/>
      <c r="M716" s="175"/>
      <c r="N716" s="175"/>
      <c r="O716" s="175"/>
      <c r="P716" s="175"/>
      <c r="Q716" s="175"/>
      <c r="R716" s="175"/>
      <c r="S716" s="175"/>
      <c r="T716" s="175"/>
      <c r="U716" s="175"/>
      <c r="V716" s="175"/>
      <c r="W716" s="175"/>
      <c r="X716" s="175"/>
      <c r="Y716" s="175"/>
      <c r="Z716" s="175"/>
      <c r="AA716" s="175"/>
      <c r="AB716" s="175"/>
      <c r="AC716" s="175"/>
    </row>
    <row r="717" spans="1:29" ht="12.75">
      <c r="A717" s="175"/>
      <c r="B717" s="175"/>
      <c r="C717" s="175"/>
      <c r="D717" s="175"/>
      <c r="E717" s="175"/>
      <c r="F717" s="175"/>
      <c r="G717" s="175"/>
      <c r="H717" s="175"/>
      <c r="I717" s="175"/>
      <c r="J717" s="175"/>
      <c r="K717" s="175"/>
      <c r="L717" s="175"/>
      <c r="M717" s="175"/>
      <c r="N717" s="175"/>
      <c r="O717" s="175"/>
      <c r="P717" s="175"/>
      <c r="Q717" s="175"/>
      <c r="R717" s="175"/>
      <c r="S717" s="175"/>
      <c r="T717" s="175"/>
      <c r="U717" s="175"/>
      <c r="V717" s="175"/>
      <c r="W717" s="175"/>
      <c r="X717" s="175"/>
      <c r="Y717" s="175"/>
      <c r="Z717" s="175"/>
      <c r="AA717" s="175"/>
      <c r="AB717" s="175"/>
      <c r="AC717" s="175"/>
    </row>
    <row r="718" spans="1:29" ht="12.75">
      <c r="A718" s="175"/>
      <c r="B718" s="175"/>
      <c r="C718" s="175"/>
      <c r="D718" s="175"/>
      <c r="E718" s="175"/>
      <c r="F718" s="175"/>
      <c r="G718" s="175"/>
      <c r="H718" s="175"/>
      <c r="I718" s="175"/>
      <c r="J718" s="175"/>
      <c r="K718" s="175"/>
      <c r="L718" s="175"/>
      <c r="M718" s="175"/>
      <c r="N718" s="175"/>
      <c r="O718" s="175"/>
      <c r="P718" s="175"/>
      <c r="Q718" s="175"/>
      <c r="R718" s="175"/>
      <c r="S718" s="175"/>
      <c r="T718" s="175"/>
      <c r="U718" s="175"/>
      <c r="V718" s="175"/>
      <c r="W718" s="175"/>
      <c r="X718" s="175"/>
      <c r="Y718" s="175"/>
      <c r="Z718" s="175"/>
      <c r="AA718" s="175"/>
      <c r="AB718" s="175"/>
      <c r="AC718" s="175"/>
    </row>
    <row r="719" spans="1:29" ht="12.75">
      <c r="A719" s="175"/>
      <c r="B719" s="175"/>
      <c r="C719" s="175"/>
      <c r="D719" s="175"/>
      <c r="E719" s="175"/>
      <c r="F719" s="175"/>
      <c r="G719" s="175"/>
      <c r="H719" s="175"/>
      <c r="I719" s="175"/>
      <c r="J719" s="175"/>
      <c r="K719" s="175"/>
      <c r="L719" s="175"/>
      <c r="M719" s="175"/>
      <c r="N719" s="175"/>
      <c r="O719" s="175"/>
      <c r="P719" s="175"/>
      <c r="Q719" s="175"/>
      <c r="R719" s="175"/>
      <c r="S719" s="175"/>
      <c r="T719" s="175"/>
      <c r="U719" s="175"/>
      <c r="V719" s="175"/>
      <c r="W719" s="175"/>
      <c r="X719" s="175"/>
      <c r="Y719" s="175"/>
      <c r="Z719" s="175"/>
      <c r="AA719" s="175"/>
      <c r="AB719" s="175"/>
      <c r="AC719" s="175"/>
    </row>
    <row r="720" spans="1:29" ht="12.75">
      <c r="A720" s="175"/>
      <c r="B720" s="175"/>
      <c r="C720" s="175"/>
      <c r="D720" s="175"/>
      <c r="E720" s="175"/>
      <c r="F720" s="175"/>
      <c r="G720" s="175"/>
      <c r="H720" s="175"/>
      <c r="I720" s="175"/>
      <c r="J720" s="175"/>
      <c r="K720" s="175"/>
      <c r="L720" s="175"/>
      <c r="M720" s="175"/>
      <c r="N720" s="175"/>
      <c r="O720" s="175"/>
      <c r="P720" s="175"/>
      <c r="Q720" s="175"/>
      <c r="R720" s="175"/>
      <c r="S720" s="175"/>
      <c r="T720" s="175"/>
      <c r="U720" s="175"/>
      <c r="V720" s="175"/>
      <c r="W720" s="175"/>
      <c r="X720" s="175"/>
      <c r="Y720" s="175"/>
      <c r="Z720" s="175"/>
      <c r="AA720" s="175"/>
      <c r="AB720" s="175"/>
      <c r="AC720" s="175"/>
    </row>
    <row r="721" spans="1:29" ht="12.75">
      <c r="A721" s="175"/>
      <c r="B721" s="175"/>
      <c r="C721" s="175"/>
      <c r="D721" s="175"/>
      <c r="E721" s="175"/>
      <c r="F721" s="175"/>
      <c r="G721" s="175"/>
      <c r="H721" s="175"/>
      <c r="I721" s="175"/>
      <c r="J721" s="175"/>
      <c r="K721" s="175"/>
      <c r="L721" s="175"/>
      <c r="M721" s="175"/>
      <c r="N721" s="175"/>
      <c r="O721" s="175"/>
      <c r="P721" s="175"/>
      <c r="Q721" s="175"/>
      <c r="R721" s="175"/>
      <c r="S721" s="175"/>
      <c r="T721" s="175"/>
      <c r="U721" s="175"/>
      <c r="V721" s="175"/>
      <c r="W721" s="175"/>
      <c r="X721" s="175"/>
      <c r="Y721" s="175"/>
      <c r="Z721" s="175"/>
      <c r="AA721" s="175"/>
      <c r="AB721" s="175"/>
      <c r="AC721" s="175"/>
    </row>
    <row r="722" spans="1:29" ht="12.75">
      <c r="A722" s="175"/>
      <c r="B722" s="175"/>
      <c r="C722" s="175"/>
      <c r="D722" s="175"/>
      <c r="E722" s="175"/>
      <c r="F722" s="175"/>
      <c r="G722" s="175"/>
      <c r="H722" s="175"/>
      <c r="I722" s="175"/>
      <c r="J722" s="175"/>
      <c r="K722" s="175"/>
      <c r="L722" s="175"/>
      <c r="M722" s="175"/>
      <c r="N722" s="175"/>
      <c r="O722" s="175"/>
      <c r="P722" s="175"/>
      <c r="Q722" s="175"/>
      <c r="R722" s="175"/>
      <c r="S722" s="175"/>
      <c r="T722" s="175"/>
      <c r="U722" s="175"/>
      <c r="V722" s="175"/>
      <c r="W722" s="175"/>
      <c r="X722" s="175"/>
      <c r="Y722" s="175"/>
      <c r="Z722" s="175"/>
      <c r="AA722" s="175"/>
      <c r="AB722" s="175"/>
      <c r="AC722" s="175"/>
    </row>
    <row r="723" spans="1:29" ht="12.75">
      <c r="A723" s="175"/>
      <c r="B723" s="175"/>
      <c r="C723" s="175"/>
      <c r="D723" s="175"/>
      <c r="E723" s="175"/>
      <c r="F723" s="175"/>
      <c r="G723" s="175"/>
      <c r="H723" s="175"/>
      <c r="I723" s="175"/>
      <c r="J723" s="175"/>
      <c r="K723" s="175"/>
      <c r="L723" s="175"/>
      <c r="M723" s="175"/>
      <c r="N723" s="175"/>
      <c r="O723" s="175"/>
      <c r="P723" s="175"/>
      <c r="Q723" s="175"/>
      <c r="R723" s="175"/>
      <c r="S723" s="175"/>
      <c r="T723" s="175"/>
      <c r="U723" s="175"/>
      <c r="V723" s="175"/>
      <c r="W723" s="175"/>
      <c r="X723" s="175"/>
      <c r="Y723" s="175"/>
      <c r="Z723" s="175"/>
      <c r="AA723" s="175"/>
      <c r="AB723" s="175"/>
      <c r="AC723" s="175"/>
    </row>
    <row r="724" spans="1:29" ht="12.75">
      <c r="A724" s="175"/>
      <c r="B724" s="175"/>
      <c r="C724" s="175"/>
      <c r="D724" s="175"/>
      <c r="E724" s="175"/>
      <c r="F724" s="175"/>
      <c r="G724" s="175"/>
      <c r="H724" s="175"/>
      <c r="I724" s="175"/>
      <c r="J724" s="175"/>
      <c r="K724" s="175"/>
      <c r="L724" s="175"/>
      <c r="M724" s="175"/>
      <c r="N724" s="175"/>
      <c r="O724" s="175"/>
      <c r="P724" s="175"/>
      <c r="Q724" s="175"/>
      <c r="R724" s="175"/>
      <c r="S724" s="175"/>
      <c r="T724" s="175"/>
      <c r="U724" s="175"/>
      <c r="V724" s="175"/>
      <c r="W724" s="175"/>
      <c r="X724" s="175"/>
      <c r="Y724" s="175"/>
      <c r="Z724" s="175"/>
      <c r="AA724" s="175"/>
      <c r="AB724" s="175"/>
      <c r="AC724" s="175"/>
    </row>
    <row r="725" spans="1:29" ht="12.75">
      <c r="A725" s="175"/>
      <c r="B725" s="175"/>
      <c r="C725" s="175"/>
      <c r="D725" s="175"/>
      <c r="E725" s="175"/>
      <c r="F725" s="175"/>
      <c r="G725" s="175"/>
      <c r="H725" s="175"/>
      <c r="I725" s="175"/>
      <c r="J725" s="175"/>
      <c r="K725" s="175"/>
      <c r="L725" s="175"/>
      <c r="M725" s="175"/>
      <c r="N725" s="175"/>
      <c r="O725" s="175"/>
      <c r="P725" s="175"/>
      <c r="Q725" s="175"/>
      <c r="R725" s="175"/>
      <c r="S725" s="175"/>
      <c r="T725" s="175"/>
      <c r="U725" s="175"/>
      <c r="V725" s="175"/>
      <c r="W725" s="175"/>
      <c r="X725" s="175"/>
      <c r="Y725" s="175"/>
      <c r="Z725" s="175"/>
      <c r="AA725" s="175"/>
      <c r="AB725" s="175"/>
      <c r="AC725" s="175"/>
    </row>
    <row r="726" spans="1:29" ht="12.75">
      <c r="A726" s="175"/>
      <c r="B726" s="175"/>
      <c r="C726" s="175"/>
      <c r="D726" s="175"/>
      <c r="E726" s="175"/>
      <c r="F726" s="175"/>
      <c r="G726" s="175"/>
      <c r="H726" s="175"/>
      <c r="I726" s="175"/>
      <c r="J726" s="175"/>
      <c r="K726" s="175"/>
      <c r="L726" s="175"/>
      <c r="M726" s="175"/>
      <c r="N726" s="175"/>
      <c r="O726" s="175"/>
      <c r="P726" s="175"/>
      <c r="Q726" s="175"/>
      <c r="R726" s="175"/>
      <c r="S726" s="175"/>
      <c r="T726" s="175"/>
      <c r="U726" s="175"/>
      <c r="V726" s="175"/>
      <c r="W726" s="175"/>
      <c r="X726" s="175"/>
      <c r="Y726" s="175"/>
      <c r="Z726" s="175"/>
      <c r="AA726" s="175"/>
      <c r="AB726" s="175"/>
      <c r="AC726" s="175"/>
    </row>
    <row r="727" spans="1:29" ht="12.75">
      <c r="A727" s="175"/>
      <c r="B727" s="175"/>
      <c r="C727" s="175"/>
      <c r="D727" s="175"/>
      <c r="E727" s="175"/>
      <c r="F727" s="175"/>
      <c r="G727" s="175"/>
      <c r="H727" s="175"/>
      <c r="I727" s="175"/>
      <c r="J727" s="175"/>
      <c r="K727" s="175"/>
      <c r="L727" s="175"/>
      <c r="M727" s="175"/>
      <c r="N727" s="175"/>
      <c r="O727" s="175"/>
      <c r="P727" s="175"/>
      <c r="Q727" s="175"/>
      <c r="R727" s="175"/>
      <c r="S727" s="175"/>
      <c r="T727" s="175"/>
      <c r="U727" s="175"/>
      <c r="V727" s="175"/>
      <c r="W727" s="175"/>
      <c r="X727" s="175"/>
      <c r="Y727" s="175"/>
      <c r="Z727" s="175"/>
      <c r="AA727" s="175"/>
      <c r="AB727" s="175"/>
      <c r="AC727" s="175"/>
    </row>
    <row r="728" spans="1:29" ht="12.75">
      <c r="A728" s="175"/>
      <c r="B728" s="175"/>
      <c r="C728" s="175"/>
      <c r="D728" s="175"/>
      <c r="E728" s="175"/>
      <c r="F728" s="175"/>
      <c r="G728" s="175"/>
      <c r="H728" s="175"/>
      <c r="I728" s="175"/>
      <c r="J728" s="175"/>
      <c r="K728" s="175"/>
      <c r="L728" s="175"/>
      <c r="M728" s="175"/>
      <c r="N728" s="175"/>
      <c r="O728" s="175"/>
      <c r="P728" s="175"/>
      <c r="Q728" s="175"/>
      <c r="R728" s="175"/>
      <c r="S728" s="175"/>
      <c r="T728" s="175"/>
      <c r="U728" s="175"/>
      <c r="V728" s="175"/>
      <c r="W728" s="175"/>
      <c r="X728" s="175"/>
      <c r="Y728" s="175"/>
      <c r="Z728" s="175"/>
      <c r="AA728" s="175"/>
      <c r="AB728" s="175"/>
      <c r="AC728" s="175"/>
    </row>
    <row r="729" spans="1:29" ht="12.75">
      <c r="A729" s="175"/>
      <c r="B729" s="175"/>
      <c r="C729" s="175"/>
      <c r="D729" s="175"/>
      <c r="E729" s="175"/>
      <c r="F729" s="175"/>
      <c r="G729" s="175"/>
      <c r="H729" s="175"/>
      <c r="I729" s="175"/>
      <c r="J729" s="175"/>
      <c r="K729" s="175"/>
      <c r="L729" s="175"/>
      <c r="M729" s="175"/>
      <c r="N729" s="175"/>
      <c r="O729" s="175"/>
      <c r="P729" s="175"/>
      <c r="Q729" s="175"/>
      <c r="R729" s="175"/>
      <c r="S729" s="175"/>
      <c r="T729" s="175"/>
      <c r="U729" s="175"/>
      <c r="V729" s="175"/>
      <c r="W729" s="175"/>
      <c r="X729" s="175"/>
      <c r="Y729" s="175"/>
      <c r="Z729" s="175"/>
      <c r="AA729" s="175"/>
      <c r="AB729" s="175"/>
      <c r="AC729" s="175"/>
    </row>
    <row r="730" spans="1:29" ht="12.75">
      <c r="A730" s="175"/>
      <c r="B730" s="175"/>
      <c r="C730" s="175"/>
      <c r="D730" s="175"/>
      <c r="E730" s="175"/>
      <c r="F730" s="175"/>
      <c r="G730" s="175"/>
      <c r="H730" s="175"/>
      <c r="I730" s="175"/>
      <c r="J730" s="175"/>
      <c r="K730" s="175"/>
      <c r="L730" s="175"/>
      <c r="M730" s="175"/>
      <c r="N730" s="175"/>
      <c r="O730" s="175"/>
      <c r="P730" s="175"/>
      <c r="Q730" s="175"/>
      <c r="R730" s="175"/>
      <c r="S730" s="175"/>
      <c r="T730" s="175"/>
      <c r="U730" s="175"/>
      <c r="V730" s="175"/>
      <c r="W730" s="175"/>
      <c r="X730" s="175"/>
      <c r="Y730" s="175"/>
      <c r="Z730" s="175"/>
      <c r="AA730" s="175"/>
      <c r="AB730" s="175"/>
      <c r="AC730" s="175"/>
    </row>
    <row r="731" spans="1:29" ht="12.75">
      <c r="A731" s="175"/>
      <c r="B731" s="175"/>
      <c r="C731" s="175"/>
      <c r="D731" s="175"/>
      <c r="E731" s="175"/>
      <c r="F731" s="175"/>
      <c r="G731" s="175"/>
      <c r="H731" s="175"/>
      <c r="I731" s="175"/>
      <c r="J731" s="175"/>
      <c r="K731" s="175"/>
      <c r="L731" s="175"/>
      <c r="M731" s="175"/>
      <c r="N731" s="175"/>
      <c r="O731" s="175"/>
      <c r="P731" s="175"/>
      <c r="Q731" s="175"/>
      <c r="R731" s="175"/>
      <c r="S731" s="175"/>
      <c r="T731" s="175"/>
      <c r="U731" s="175"/>
      <c r="V731" s="175"/>
      <c r="W731" s="175"/>
      <c r="X731" s="175"/>
      <c r="Y731" s="175"/>
      <c r="Z731" s="175"/>
      <c r="AA731" s="175"/>
      <c r="AB731" s="175"/>
      <c r="AC731" s="175"/>
    </row>
    <row r="732" spans="1:29" ht="12.75">
      <c r="A732" s="175"/>
      <c r="B732" s="175"/>
      <c r="C732" s="175"/>
      <c r="D732" s="175"/>
      <c r="E732" s="175"/>
      <c r="F732" s="175"/>
      <c r="G732" s="175"/>
      <c r="H732" s="175"/>
      <c r="I732" s="175"/>
      <c r="J732" s="175"/>
      <c r="K732" s="175"/>
      <c r="L732" s="175"/>
      <c r="M732" s="175"/>
      <c r="N732" s="175"/>
      <c r="O732" s="175"/>
      <c r="P732" s="175"/>
      <c r="Q732" s="175"/>
      <c r="R732" s="175"/>
      <c r="S732" s="175"/>
      <c r="T732" s="175"/>
      <c r="U732" s="175"/>
      <c r="V732" s="175"/>
      <c r="W732" s="175"/>
      <c r="X732" s="175"/>
      <c r="Y732" s="175"/>
      <c r="Z732" s="175"/>
      <c r="AA732" s="175"/>
      <c r="AB732" s="175"/>
      <c r="AC732" s="175"/>
    </row>
    <row r="733" spans="1:29" ht="12.75">
      <c r="A733" s="175"/>
      <c r="B733" s="175"/>
      <c r="C733" s="175"/>
      <c r="D733" s="175"/>
      <c r="E733" s="175"/>
      <c r="F733" s="175"/>
      <c r="G733" s="175"/>
      <c r="H733" s="175"/>
      <c r="I733" s="175"/>
      <c r="J733" s="175"/>
      <c r="K733" s="175"/>
      <c r="L733" s="175"/>
      <c r="M733" s="175"/>
      <c r="N733" s="175"/>
      <c r="O733" s="175"/>
      <c r="P733" s="175"/>
      <c r="Q733" s="175"/>
      <c r="R733" s="175"/>
      <c r="S733" s="175"/>
      <c r="T733" s="175"/>
      <c r="U733" s="175"/>
      <c r="V733" s="175"/>
      <c r="W733" s="175"/>
      <c r="X733" s="175"/>
      <c r="Y733" s="175"/>
      <c r="Z733" s="175"/>
      <c r="AA733" s="175"/>
      <c r="AB733" s="175"/>
      <c r="AC733" s="175"/>
    </row>
    <row r="734" spans="1:29" ht="12.75">
      <c r="A734" s="175"/>
      <c r="B734" s="175"/>
      <c r="C734" s="175"/>
      <c r="D734" s="175"/>
      <c r="E734" s="175"/>
      <c r="F734" s="175"/>
      <c r="G734" s="175"/>
      <c r="H734" s="175"/>
      <c r="I734" s="175"/>
      <c r="J734" s="175"/>
      <c r="K734" s="175"/>
      <c r="L734" s="175"/>
      <c r="M734" s="175"/>
      <c r="N734" s="175"/>
      <c r="O734" s="175"/>
      <c r="P734" s="175"/>
      <c r="Q734" s="175"/>
      <c r="R734" s="175"/>
      <c r="S734" s="175"/>
      <c r="T734" s="175"/>
      <c r="U734" s="175"/>
      <c r="V734" s="175"/>
      <c r="W734" s="175"/>
      <c r="X734" s="175"/>
      <c r="Y734" s="175"/>
      <c r="Z734" s="175"/>
      <c r="AA734" s="175"/>
      <c r="AB734" s="175"/>
      <c r="AC734" s="175"/>
    </row>
    <row r="735" spans="1:29" ht="12.75">
      <c r="A735" s="175"/>
      <c r="B735" s="175"/>
      <c r="C735" s="175"/>
      <c r="D735" s="175"/>
      <c r="E735" s="175"/>
      <c r="F735" s="175"/>
      <c r="G735" s="175"/>
      <c r="H735" s="175"/>
      <c r="I735" s="175"/>
      <c r="J735" s="175"/>
      <c r="K735" s="175"/>
      <c r="L735" s="175"/>
      <c r="M735" s="175"/>
      <c r="N735" s="175"/>
      <c r="O735" s="175"/>
      <c r="P735" s="175"/>
      <c r="Q735" s="175"/>
      <c r="R735" s="175"/>
      <c r="S735" s="175"/>
      <c r="T735" s="175"/>
      <c r="U735" s="175"/>
      <c r="V735" s="175"/>
      <c r="W735" s="175"/>
      <c r="X735" s="175"/>
      <c r="Y735" s="175"/>
      <c r="Z735" s="175"/>
      <c r="AA735" s="175"/>
      <c r="AB735" s="175"/>
      <c r="AC735" s="175"/>
    </row>
    <row r="736" spans="1:29" ht="12.75">
      <c r="A736" s="175"/>
      <c r="B736" s="175"/>
      <c r="C736" s="175"/>
      <c r="D736" s="175"/>
      <c r="E736" s="175"/>
      <c r="F736" s="175"/>
      <c r="G736" s="175"/>
      <c r="H736" s="175"/>
      <c r="I736" s="175"/>
      <c r="J736" s="175"/>
      <c r="K736" s="175"/>
      <c r="L736" s="175"/>
      <c r="M736" s="175"/>
      <c r="N736" s="175"/>
      <c r="O736" s="175"/>
      <c r="P736" s="175"/>
      <c r="Q736" s="175"/>
      <c r="R736" s="175"/>
      <c r="S736" s="175"/>
      <c r="T736" s="175"/>
      <c r="U736" s="175"/>
      <c r="V736" s="175"/>
      <c r="W736" s="175"/>
      <c r="X736" s="175"/>
      <c r="Y736" s="175"/>
      <c r="Z736" s="175"/>
      <c r="AA736" s="175"/>
      <c r="AB736" s="175"/>
      <c r="AC736" s="175"/>
    </row>
    <row r="737" spans="1:29" ht="12.75">
      <c r="A737" s="175"/>
      <c r="B737" s="175"/>
      <c r="C737" s="175"/>
      <c r="D737" s="175"/>
      <c r="E737" s="175"/>
      <c r="F737" s="175"/>
      <c r="G737" s="175"/>
      <c r="H737" s="175"/>
      <c r="I737" s="175"/>
      <c r="J737" s="175"/>
      <c r="K737" s="175"/>
      <c r="L737" s="175"/>
      <c r="M737" s="175"/>
      <c r="N737" s="175"/>
      <c r="O737" s="175"/>
      <c r="P737" s="175"/>
      <c r="Q737" s="175"/>
      <c r="R737" s="175"/>
      <c r="S737" s="175"/>
      <c r="T737" s="175"/>
      <c r="U737" s="175"/>
      <c r="V737" s="175"/>
      <c r="W737" s="175"/>
      <c r="X737" s="175"/>
      <c r="Y737" s="175"/>
      <c r="Z737" s="175"/>
      <c r="AA737" s="175"/>
      <c r="AB737" s="175"/>
      <c r="AC737" s="175"/>
    </row>
    <row r="738" spans="1:29" ht="12.75">
      <c r="A738" s="175"/>
      <c r="B738" s="175"/>
      <c r="C738" s="175"/>
      <c r="D738" s="175"/>
      <c r="E738" s="175"/>
      <c r="F738" s="175"/>
      <c r="G738" s="175"/>
      <c r="H738" s="175"/>
      <c r="I738" s="175"/>
      <c r="J738" s="175"/>
      <c r="K738" s="175"/>
      <c r="L738" s="175"/>
      <c r="M738" s="175"/>
      <c r="N738" s="175"/>
      <c r="O738" s="175"/>
      <c r="P738" s="175"/>
      <c r="Q738" s="175"/>
      <c r="R738" s="175"/>
      <c r="S738" s="175"/>
      <c r="T738" s="175"/>
      <c r="U738" s="175"/>
      <c r="V738" s="175"/>
      <c r="W738" s="175"/>
      <c r="X738" s="175"/>
      <c r="Y738" s="175"/>
      <c r="Z738" s="175"/>
      <c r="AA738" s="175"/>
      <c r="AB738" s="175"/>
      <c r="AC738" s="175"/>
    </row>
    <row r="739" spans="1:29" ht="12.75">
      <c r="A739" s="175"/>
      <c r="B739" s="175"/>
      <c r="C739" s="175"/>
      <c r="D739" s="175"/>
      <c r="E739" s="175"/>
      <c r="F739" s="175"/>
      <c r="G739" s="175"/>
      <c r="H739" s="175"/>
      <c r="I739" s="175"/>
      <c r="J739" s="175"/>
      <c r="K739" s="175"/>
      <c r="L739" s="175"/>
      <c r="M739" s="175"/>
      <c r="N739" s="175"/>
      <c r="O739" s="175"/>
      <c r="P739" s="175"/>
      <c r="Q739" s="175"/>
      <c r="R739" s="175"/>
      <c r="S739" s="175"/>
      <c r="T739" s="175"/>
      <c r="U739" s="175"/>
      <c r="V739" s="175"/>
      <c r="W739" s="175"/>
      <c r="X739" s="175"/>
      <c r="Y739" s="175"/>
      <c r="Z739" s="175"/>
      <c r="AA739" s="175"/>
      <c r="AB739" s="175"/>
      <c r="AC739" s="175"/>
    </row>
    <row r="740" spans="1:29" ht="12.75">
      <c r="A740" s="175"/>
      <c r="B740" s="175"/>
      <c r="C740" s="175"/>
      <c r="D740" s="175"/>
      <c r="E740" s="175"/>
      <c r="F740" s="175"/>
      <c r="G740" s="175"/>
      <c r="H740" s="175"/>
      <c r="I740" s="175"/>
      <c r="J740" s="175"/>
      <c r="K740" s="175"/>
      <c r="L740" s="175"/>
      <c r="M740" s="175"/>
      <c r="N740" s="175"/>
      <c r="O740" s="175"/>
      <c r="P740" s="175"/>
      <c r="Q740" s="175"/>
      <c r="R740" s="175"/>
      <c r="S740" s="175"/>
      <c r="T740" s="175"/>
      <c r="U740" s="175"/>
      <c r="V740" s="175"/>
      <c r="W740" s="175"/>
      <c r="X740" s="175"/>
      <c r="Y740" s="175"/>
      <c r="Z740" s="175"/>
      <c r="AA740" s="175"/>
      <c r="AB740" s="175"/>
      <c r="AC740" s="175"/>
    </row>
    <row r="741" spans="1:29" ht="12.75">
      <c r="A741" s="175"/>
      <c r="B741" s="175"/>
      <c r="C741" s="175"/>
      <c r="D741" s="175"/>
      <c r="E741" s="175"/>
      <c r="F741" s="175"/>
      <c r="G741" s="175"/>
      <c r="H741" s="175"/>
      <c r="I741" s="175"/>
      <c r="J741" s="175"/>
      <c r="K741" s="175"/>
      <c r="L741" s="175"/>
      <c r="M741" s="175"/>
      <c r="N741" s="175"/>
      <c r="O741" s="175"/>
      <c r="P741" s="175"/>
      <c r="Q741" s="175"/>
      <c r="R741" s="175"/>
      <c r="S741" s="175"/>
      <c r="T741" s="175"/>
      <c r="U741" s="175"/>
      <c r="V741" s="175"/>
      <c r="W741" s="175"/>
      <c r="X741" s="175"/>
      <c r="Y741" s="175"/>
      <c r="Z741" s="175"/>
      <c r="AA741" s="175"/>
      <c r="AB741" s="175"/>
      <c r="AC741" s="175"/>
    </row>
    <row r="742" spans="1:29" ht="12.75">
      <c r="A742" s="175"/>
      <c r="B742" s="175"/>
      <c r="C742" s="175"/>
      <c r="D742" s="175"/>
      <c r="E742" s="175"/>
      <c r="F742" s="175"/>
      <c r="G742" s="175"/>
      <c r="H742" s="175"/>
      <c r="I742" s="175"/>
      <c r="J742" s="175"/>
      <c r="K742" s="175"/>
      <c r="L742" s="175"/>
      <c r="M742" s="175"/>
      <c r="N742" s="175"/>
      <c r="O742" s="175"/>
      <c r="P742" s="175"/>
      <c r="Q742" s="175"/>
      <c r="R742" s="175"/>
      <c r="S742" s="175"/>
      <c r="T742" s="175"/>
      <c r="U742" s="175"/>
      <c r="V742" s="175"/>
      <c r="W742" s="175"/>
      <c r="X742" s="175"/>
      <c r="Y742" s="175"/>
      <c r="Z742" s="175"/>
      <c r="AA742" s="175"/>
      <c r="AB742" s="175"/>
      <c r="AC742" s="175"/>
    </row>
    <row r="743" spans="1:29" ht="12.75">
      <c r="A743" s="175"/>
      <c r="B743" s="175"/>
      <c r="C743" s="175"/>
      <c r="D743" s="175"/>
      <c r="E743" s="175"/>
      <c r="F743" s="175"/>
      <c r="G743" s="175"/>
      <c r="H743" s="175"/>
      <c r="I743" s="175"/>
      <c r="J743" s="175"/>
      <c r="K743" s="175"/>
      <c r="L743" s="175"/>
      <c r="M743" s="175"/>
      <c r="N743" s="175"/>
      <c r="O743" s="175"/>
      <c r="P743" s="175"/>
      <c r="Q743" s="175"/>
      <c r="R743" s="175"/>
      <c r="S743" s="175"/>
      <c r="T743" s="175"/>
      <c r="U743" s="175"/>
      <c r="V743" s="175"/>
      <c r="W743" s="175"/>
      <c r="X743" s="175"/>
      <c r="Y743" s="175"/>
      <c r="Z743" s="175"/>
      <c r="AA743" s="175"/>
      <c r="AB743" s="175"/>
      <c r="AC743" s="175"/>
    </row>
    <row r="744" spans="1:29" ht="12.75">
      <c r="A744" s="175"/>
      <c r="B744" s="175"/>
      <c r="C744" s="175"/>
      <c r="D744" s="175"/>
      <c r="E744" s="175"/>
      <c r="F744" s="175"/>
      <c r="G744" s="175"/>
      <c r="H744" s="175"/>
      <c r="I744" s="175"/>
      <c r="J744" s="175"/>
      <c r="K744" s="175"/>
      <c r="L744" s="175"/>
      <c r="M744" s="175"/>
      <c r="N744" s="175"/>
      <c r="O744" s="175"/>
      <c r="P744" s="175"/>
      <c r="Q744" s="175"/>
      <c r="R744" s="175"/>
      <c r="S744" s="175"/>
      <c r="T744" s="175"/>
      <c r="U744" s="175"/>
      <c r="V744" s="175"/>
      <c r="W744" s="175"/>
      <c r="X744" s="175"/>
      <c r="Y744" s="175"/>
      <c r="Z744" s="175"/>
      <c r="AA744" s="175"/>
      <c r="AB744" s="175"/>
      <c r="AC744" s="175"/>
    </row>
    <row r="745" spans="1:29" ht="12.75">
      <c r="A745" s="175"/>
      <c r="B745" s="175"/>
      <c r="C745" s="175"/>
      <c r="D745" s="175"/>
      <c r="E745" s="175"/>
      <c r="F745" s="175"/>
      <c r="G745" s="175"/>
      <c r="H745" s="175"/>
      <c r="I745" s="175"/>
      <c r="J745" s="175"/>
      <c r="K745" s="175"/>
      <c r="L745" s="175"/>
      <c r="M745" s="175"/>
      <c r="N745" s="175"/>
      <c r="O745" s="175"/>
      <c r="P745" s="175"/>
      <c r="Q745" s="175"/>
      <c r="R745" s="175"/>
      <c r="S745" s="175"/>
      <c r="T745" s="175"/>
      <c r="U745" s="175"/>
      <c r="V745" s="175"/>
      <c r="W745" s="175"/>
      <c r="X745" s="175"/>
      <c r="Y745" s="175"/>
      <c r="Z745" s="175"/>
      <c r="AA745" s="175"/>
      <c r="AB745" s="175"/>
      <c r="AC745" s="175"/>
    </row>
    <row r="746" spans="1:29" ht="12.75">
      <c r="A746" s="175"/>
      <c r="B746" s="175"/>
      <c r="C746" s="175"/>
      <c r="D746" s="175"/>
      <c r="E746" s="175"/>
      <c r="F746" s="175"/>
      <c r="G746" s="175"/>
      <c r="H746" s="175"/>
      <c r="I746" s="175"/>
      <c r="J746" s="175"/>
      <c r="K746" s="175"/>
      <c r="L746" s="175"/>
      <c r="M746" s="175"/>
      <c r="N746" s="175"/>
      <c r="O746" s="175"/>
      <c r="P746" s="175"/>
      <c r="Q746" s="175"/>
      <c r="R746" s="175"/>
      <c r="S746" s="175"/>
      <c r="T746" s="175"/>
      <c r="U746" s="175"/>
      <c r="V746" s="175"/>
      <c r="W746" s="175"/>
      <c r="X746" s="175"/>
      <c r="Y746" s="175"/>
      <c r="Z746" s="175"/>
      <c r="AA746" s="175"/>
      <c r="AB746" s="175"/>
      <c r="AC746" s="175"/>
    </row>
    <row r="747" spans="1:29" ht="12.75">
      <c r="A747" s="175"/>
      <c r="B747" s="175"/>
      <c r="C747" s="175"/>
      <c r="D747" s="175"/>
      <c r="E747" s="175"/>
      <c r="F747" s="175"/>
      <c r="G747" s="175"/>
      <c r="H747" s="175"/>
      <c r="I747" s="175"/>
      <c r="J747" s="175"/>
      <c r="K747" s="175"/>
      <c r="L747" s="175"/>
      <c r="M747" s="175"/>
      <c r="N747" s="175"/>
      <c r="O747" s="175"/>
      <c r="P747" s="175"/>
      <c r="Q747" s="175"/>
      <c r="R747" s="175"/>
      <c r="S747" s="175"/>
      <c r="T747" s="175"/>
      <c r="U747" s="175"/>
      <c r="V747" s="175"/>
      <c r="W747" s="175"/>
      <c r="X747" s="175"/>
      <c r="Y747" s="175"/>
      <c r="Z747" s="175"/>
      <c r="AA747" s="175"/>
      <c r="AB747" s="175"/>
      <c r="AC747" s="175"/>
    </row>
    <row r="748" spans="1:29" ht="12.75">
      <c r="A748" s="175"/>
      <c r="B748" s="175"/>
      <c r="C748" s="175"/>
      <c r="D748" s="175"/>
      <c r="E748" s="175"/>
      <c r="F748" s="175"/>
      <c r="G748" s="175"/>
      <c r="H748" s="175"/>
      <c r="I748" s="175"/>
      <c r="J748" s="175"/>
      <c r="K748" s="175"/>
      <c r="L748" s="175"/>
      <c r="M748" s="175"/>
      <c r="N748" s="175"/>
      <c r="O748" s="175"/>
      <c r="P748" s="175"/>
      <c r="Q748" s="175"/>
      <c r="R748" s="175"/>
      <c r="S748" s="175"/>
      <c r="T748" s="175"/>
      <c r="U748" s="175"/>
      <c r="V748" s="175"/>
      <c r="W748" s="175"/>
      <c r="X748" s="175"/>
      <c r="Y748" s="175"/>
      <c r="Z748" s="175"/>
      <c r="AA748" s="175"/>
      <c r="AB748" s="175"/>
      <c r="AC748" s="175"/>
    </row>
    <row r="749" spans="1:29" ht="12.75">
      <c r="A749" s="175"/>
      <c r="B749" s="175"/>
      <c r="C749" s="175"/>
      <c r="D749" s="175"/>
      <c r="E749" s="175"/>
      <c r="F749" s="175"/>
      <c r="G749" s="175"/>
      <c r="H749" s="175"/>
      <c r="I749" s="175"/>
      <c r="J749" s="175"/>
      <c r="K749" s="175"/>
      <c r="L749" s="175"/>
      <c r="M749" s="175"/>
      <c r="N749" s="175"/>
      <c r="O749" s="175"/>
      <c r="P749" s="175"/>
      <c r="Q749" s="175"/>
      <c r="R749" s="175"/>
      <c r="S749" s="175"/>
      <c r="T749" s="175"/>
      <c r="U749" s="175"/>
      <c r="V749" s="175"/>
      <c r="W749" s="175"/>
      <c r="X749" s="175"/>
      <c r="Y749" s="175"/>
      <c r="Z749" s="175"/>
      <c r="AA749" s="175"/>
      <c r="AB749" s="175"/>
      <c r="AC749" s="175"/>
    </row>
    <row r="750" spans="1:29" ht="12.75">
      <c r="A750" s="175"/>
      <c r="B750" s="175"/>
      <c r="C750" s="175"/>
      <c r="D750" s="175"/>
      <c r="E750" s="175"/>
      <c r="F750" s="175"/>
      <c r="G750" s="175"/>
      <c r="H750" s="175"/>
      <c r="I750" s="175"/>
      <c r="J750" s="175"/>
      <c r="K750" s="175"/>
      <c r="L750" s="175"/>
      <c r="M750" s="175"/>
      <c r="N750" s="175"/>
      <c r="O750" s="175"/>
      <c r="P750" s="175"/>
      <c r="Q750" s="175"/>
      <c r="R750" s="175"/>
      <c r="S750" s="175"/>
      <c r="T750" s="175"/>
      <c r="U750" s="175"/>
      <c r="V750" s="175"/>
      <c r="W750" s="175"/>
      <c r="X750" s="175"/>
      <c r="Y750" s="175"/>
      <c r="Z750" s="175"/>
      <c r="AA750" s="175"/>
      <c r="AB750" s="175"/>
      <c r="AC750" s="175"/>
    </row>
    <row r="751" spans="1:29" ht="12.75">
      <c r="A751" s="175"/>
      <c r="B751" s="175"/>
      <c r="C751" s="175"/>
      <c r="D751" s="175"/>
      <c r="E751" s="175"/>
      <c r="F751" s="175"/>
      <c r="G751" s="175"/>
      <c r="H751" s="175"/>
      <c r="I751" s="175"/>
      <c r="J751" s="175"/>
      <c r="K751" s="175"/>
      <c r="L751" s="175"/>
      <c r="M751" s="175"/>
      <c r="N751" s="175"/>
      <c r="O751" s="175"/>
      <c r="P751" s="175"/>
      <c r="Q751" s="175"/>
      <c r="R751" s="175"/>
      <c r="S751" s="175"/>
      <c r="T751" s="175"/>
      <c r="U751" s="175"/>
      <c r="V751" s="175"/>
      <c r="W751" s="175"/>
      <c r="X751" s="175"/>
      <c r="Y751" s="175"/>
      <c r="Z751" s="175"/>
      <c r="AA751" s="175"/>
      <c r="AB751" s="175"/>
      <c r="AC751" s="175"/>
    </row>
    <row r="752" spans="1:29" ht="12.75">
      <c r="A752" s="175"/>
      <c r="B752" s="175"/>
      <c r="C752" s="175"/>
      <c r="D752" s="175"/>
      <c r="E752" s="175"/>
      <c r="F752" s="175"/>
      <c r="G752" s="175"/>
      <c r="H752" s="175"/>
      <c r="I752" s="175"/>
      <c r="J752" s="175"/>
      <c r="K752" s="175"/>
      <c r="L752" s="175"/>
      <c r="M752" s="175"/>
      <c r="N752" s="175"/>
      <c r="O752" s="175"/>
      <c r="P752" s="175"/>
      <c r="Q752" s="175"/>
      <c r="R752" s="175"/>
      <c r="S752" s="175"/>
      <c r="T752" s="175"/>
      <c r="U752" s="175"/>
      <c r="V752" s="175"/>
      <c r="W752" s="175"/>
      <c r="X752" s="175"/>
      <c r="Y752" s="175"/>
      <c r="Z752" s="175"/>
      <c r="AA752" s="175"/>
      <c r="AB752" s="175"/>
      <c r="AC752" s="175"/>
    </row>
    <row r="753" spans="1:29" ht="12.75">
      <c r="A753" s="175"/>
      <c r="B753" s="175"/>
      <c r="C753" s="175"/>
      <c r="D753" s="175"/>
      <c r="E753" s="175"/>
      <c r="F753" s="175"/>
      <c r="G753" s="175"/>
      <c r="H753" s="175"/>
      <c r="I753" s="175"/>
      <c r="J753" s="175"/>
      <c r="K753" s="175"/>
      <c r="L753" s="175"/>
      <c r="M753" s="175"/>
      <c r="N753" s="175"/>
      <c r="O753" s="175"/>
      <c r="P753" s="175"/>
      <c r="Q753" s="175"/>
      <c r="R753" s="175"/>
      <c r="S753" s="175"/>
      <c r="T753" s="175"/>
      <c r="U753" s="175"/>
      <c r="V753" s="175"/>
      <c r="W753" s="175"/>
      <c r="X753" s="175"/>
      <c r="Y753" s="175"/>
      <c r="Z753" s="175"/>
      <c r="AA753" s="175"/>
      <c r="AB753" s="175"/>
      <c r="AC753" s="175"/>
    </row>
    <row r="754" spans="1:29" ht="12.75">
      <c r="A754" s="175"/>
      <c r="B754" s="175"/>
      <c r="C754" s="175"/>
      <c r="D754" s="175"/>
      <c r="E754" s="175"/>
      <c r="F754" s="175"/>
      <c r="G754" s="175"/>
      <c r="H754" s="175"/>
      <c r="I754" s="175"/>
      <c r="J754" s="175"/>
      <c r="K754" s="175"/>
      <c r="L754" s="175"/>
      <c r="M754" s="175"/>
      <c r="N754" s="175"/>
      <c r="O754" s="175"/>
      <c r="P754" s="175"/>
      <c r="Q754" s="175"/>
      <c r="R754" s="175"/>
      <c r="S754" s="175"/>
      <c r="T754" s="175"/>
      <c r="U754" s="175"/>
      <c r="V754" s="175"/>
      <c r="W754" s="175"/>
      <c r="X754" s="175"/>
      <c r="Y754" s="175"/>
      <c r="Z754" s="175"/>
      <c r="AA754" s="175"/>
      <c r="AB754" s="175"/>
      <c r="AC754" s="175"/>
    </row>
    <row r="755" spans="1:29" ht="12.75">
      <c r="A755" s="175"/>
      <c r="B755" s="175"/>
      <c r="C755" s="175"/>
      <c r="D755" s="175"/>
      <c r="E755" s="175"/>
      <c r="F755" s="175"/>
      <c r="G755" s="175"/>
      <c r="H755" s="175"/>
      <c r="I755" s="175"/>
      <c r="J755" s="175"/>
      <c r="K755" s="175"/>
      <c r="L755" s="175"/>
      <c r="M755" s="175"/>
      <c r="N755" s="175"/>
      <c r="O755" s="175"/>
      <c r="P755" s="175"/>
      <c r="Q755" s="175"/>
      <c r="R755" s="175"/>
      <c r="S755" s="175"/>
      <c r="T755" s="175"/>
      <c r="U755" s="175"/>
      <c r="V755" s="175"/>
      <c r="W755" s="175"/>
      <c r="X755" s="175"/>
      <c r="Y755" s="175"/>
      <c r="Z755" s="175"/>
      <c r="AA755" s="175"/>
      <c r="AB755" s="175"/>
      <c r="AC755" s="175"/>
    </row>
    <row r="756" spans="1:29" ht="12.75">
      <c r="A756" s="175"/>
      <c r="B756" s="175"/>
      <c r="C756" s="175"/>
      <c r="D756" s="175"/>
      <c r="E756" s="175"/>
      <c r="F756" s="175"/>
      <c r="G756" s="175"/>
      <c r="H756" s="175"/>
      <c r="I756" s="175"/>
      <c r="J756" s="175"/>
      <c r="K756" s="175"/>
      <c r="L756" s="175"/>
      <c r="M756" s="175"/>
      <c r="N756" s="175"/>
      <c r="O756" s="175"/>
      <c r="P756" s="175"/>
      <c r="Q756" s="175"/>
      <c r="R756" s="175"/>
      <c r="S756" s="175"/>
      <c r="T756" s="175"/>
      <c r="U756" s="175"/>
      <c r="V756" s="175"/>
      <c r="W756" s="175"/>
      <c r="X756" s="175"/>
      <c r="Y756" s="175"/>
      <c r="Z756" s="175"/>
      <c r="AA756" s="175"/>
      <c r="AB756" s="175"/>
      <c r="AC756" s="175"/>
    </row>
    <row r="757" spans="1:29" ht="12.75">
      <c r="A757" s="175"/>
      <c r="B757" s="175"/>
      <c r="C757" s="175"/>
      <c r="D757" s="175"/>
      <c r="E757" s="175"/>
      <c r="F757" s="175"/>
      <c r="G757" s="175"/>
      <c r="H757" s="175"/>
      <c r="I757" s="175"/>
      <c r="J757" s="175"/>
      <c r="K757" s="175"/>
      <c r="L757" s="175"/>
      <c r="M757" s="175"/>
      <c r="N757" s="175"/>
      <c r="O757" s="175"/>
      <c r="P757" s="175"/>
      <c r="Q757" s="175"/>
      <c r="R757" s="175"/>
      <c r="S757" s="175"/>
      <c r="T757" s="175"/>
      <c r="U757" s="175"/>
      <c r="V757" s="175"/>
      <c r="W757" s="175"/>
      <c r="X757" s="175"/>
      <c r="Y757" s="175"/>
      <c r="Z757" s="175"/>
      <c r="AA757" s="175"/>
      <c r="AB757" s="175"/>
      <c r="AC757" s="175"/>
    </row>
    <row r="758" spans="1:29" ht="12.75">
      <c r="A758" s="175"/>
      <c r="B758" s="175"/>
      <c r="C758" s="175"/>
      <c r="D758" s="175"/>
      <c r="E758" s="175"/>
      <c r="F758" s="175"/>
      <c r="G758" s="175"/>
      <c r="H758" s="175"/>
      <c r="I758" s="175"/>
      <c r="J758" s="175"/>
      <c r="K758" s="175"/>
      <c r="L758" s="175"/>
      <c r="M758" s="175"/>
      <c r="N758" s="175"/>
      <c r="O758" s="175"/>
      <c r="P758" s="175"/>
      <c r="Q758" s="175"/>
      <c r="R758" s="175"/>
      <c r="S758" s="175"/>
      <c r="T758" s="175"/>
      <c r="U758" s="175"/>
      <c r="V758" s="175"/>
      <c r="W758" s="175"/>
      <c r="X758" s="175"/>
      <c r="Y758" s="175"/>
      <c r="Z758" s="175"/>
      <c r="AA758" s="175"/>
      <c r="AB758" s="175"/>
      <c r="AC758" s="175"/>
    </row>
    <row r="759" spans="1:29" ht="12.75">
      <c r="A759" s="175"/>
      <c r="B759" s="175"/>
      <c r="C759" s="175"/>
      <c r="D759" s="175"/>
      <c r="E759" s="175"/>
      <c r="F759" s="175"/>
      <c r="G759" s="175"/>
      <c r="H759" s="175"/>
      <c r="I759" s="175"/>
      <c r="J759" s="175"/>
      <c r="K759" s="175"/>
      <c r="L759" s="175"/>
      <c r="M759" s="175"/>
      <c r="N759" s="175"/>
      <c r="O759" s="175"/>
      <c r="P759" s="175"/>
      <c r="Q759" s="175"/>
      <c r="R759" s="175"/>
      <c r="S759" s="175"/>
      <c r="T759" s="175"/>
      <c r="U759" s="175"/>
      <c r="V759" s="175"/>
      <c r="W759" s="175"/>
      <c r="X759" s="175"/>
      <c r="Y759" s="175"/>
      <c r="Z759" s="175"/>
      <c r="AA759" s="175"/>
      <c r="AB759" s="175"/>
      <c r="AC759" s="175"/>
    </row>
    <row r="760" spans="1:29" ht="12.75">
      <c r="A760" s="175"/>
      <c r="B760" s="175"/>
      <c r="C760" s="175"/>
      <c r="D760" s="175"/>
      <c r="E760" s="175"/>
      <c r="F760" s="175"/>
      <c r="G760" s="175"/>
      <c r="H760" s="175"/>
      <c r="I760" s="175"/>
      <c r="J760" s="175"/>
      <c r="K760" s="175"/>
      <c r="L760" s="175"/>
      <c r="M760" s="175"/>
      <c r="N760" s="175"/>
      <c r="O760" s="175"/>
      <c r="P760" s="175"/>
      <c r="Q760" s="175"/>
      <c r="R760" s="175"/>
      <c r="S760" s="175"/>
      <c r="T760" s="175"/>
      <c r="U760" s="175"/>
      <c r="V760" s="175"/>
      <c r="W760" s="175"/>
      <c r="X760" s="175"/>
      <c r="Y760" s="175"/>
      <c r="Z760" s="175"/>
      <c r="AA760" s="175"/>
      <c r="AB760" s="175"/>
      <c r="AC760" s="175"/>
    </row>
    <row r="761" spans="1:29" ht="12.75">
      <c r="A761" s="175"/>
      <c r="B761" s="175"/>
      <c r="C761" s="175"/>
      <c r="D761" s="175"/>
      <c r="E761" s="175"/>
      <c r="F761" s="175"/>
      <c r="G761" s="175"/>
      <c r="H761" s="175"/>
      <c r="I761" s="175"/>
      <c r="J761" s="175"/>
      <c r="K761" s="175"/>
      <c r="L761" s="175"/>
      <c r="M761" s="175"/>
      <c r="N761" s="175"/>
      <c r="O761" s="175"/>
      <c r="P761" s="175"/>
      <c r="Q761" s="175"/>
      <c r="R761" s="175"/>
      <c r="S761" s="175"/>
      <c r="T761" s="175"/>
      <c r="U761" s="175"/>
      <c r="V761" s="175"/>
      <c r="W761" s="175"/>
      <c r="X761" s="175"/>
      <c r="Y761" s="175"/>
      <c r="Z761" s="175"/>
      <c r="AA761" s="175"/>
      <c r="AB761" s="175"/>
      <c r="AC761" s="175"/>
    </row>
    <row r="762" spans="1:29" ht="12.75">
      <c r="A762" s="175"/>
      <c r="B762" s="175"/>
      <c r="C762" s="175"/>
      <c r="D762" s="175"/>
      <c r="E762" s="175"/>
      <c r="F762" s="175"/>
      <c r="G762" s="175"/>
      <c r="H762" s="175"/>
      <c r="I762" s="175"/>
      <c r="J762" s="175"/>
      <c r="K762" s="175"/>
      <c r="L762" s="175"/>
      <c r="M762" s="175"/>
      <c r="N762" s="175"/>
      <c r="O762" s="175"/>
      <c r="P762" s="175"/>
      <c r="Q762" s="175"/>
      <c r="R762" s="175"/>
      <c r="S762" s="175"/>
      <c r="T762" s="175"/>
      <c r="U762" s="175"/>
      <c r="V762" s="175"/>
      <c r="W762" s="175"/>
      <c r="X762" s="175"/>
      <c r="Y762" s="175"/>
      <c r="Z762" s="175"/>
      <c r="AA762" s="175"/>
      <c r="AB762" s="175"/>
      <c r="AC762" s="175"/>
    </row>
    <row r="763" spans="1:29" ht="12.75">
      <c r="A763" s="175"/>
      <c r="B763" s="175"/>
      <c r="C763" s="175"/>
      <c r="D763" s="175"/>
      <c r="E763" s="175"/>
      <c r="F763" s="175"/>
      <c r="G763" s="175"/>
      <c r="H763" s="175"/>
      <c r="I763" s="175"/>
      <c r="J763" s="175"/>
      <c r="K763" s="175"/>
      <c r="L763" s="175"/>
      <c r="M763" s="175"/>
      <c r="N763" s="175"/>
      <c r="O763" s="175"/>
      <c r="P763" s="175"/>
      <c r="Q763" s="175"/>
      <c r="R763" s="175"/>
      <c r="S763" s="175"/>
      <c r="T763" s="175"/>
      <c r="U763" s="175"/>
      <c r="V763" s="175"/>
      <c r="W763" s="175"/>
      <c r="X763" s="175"/>
      <c r="Y763" s="175"/>
      <c r="Z763" s="175"/>
      <c r="AA763" s="175"/>
      <c r="AB763" s="175"/>
      <c r="AC763" s="175"/>
    </row>
    <row r="764" spans="1:29" ht="12.75">
      <c r="A764" s="175"/>
      <c r="B764" s="175"/>
      <c r="C764" s="175"/>
      <c r="D764" s="175"/>
      <c r="E764" s="175"/>
      <c r="F764" s="175"/>
      <c r="G764" s="175"/>
      <c r="H764" s="175"/>
      <c r="I764" s="175"/>
      <c r="J764" s="175"/>
      <c r="K764" s="175"/>
      <c r="L764" s="175"/>
      <c r="M764" s="175"/>
      <c r="N764" s="175"/>
      <c r="O764" s="175"/>
      <c r="P764" s="175"/>
      <c r="Q764" s="175"/>
      <c r="R764" s="175"/>
      <c r="S764" s="175"/>
      <c r="T764" s="175"/>
      <c r="U764" s="175"/>
      <c r="V764" s="175"/>
      <c r="W764" s="175"/>
      <c r="X764" s="175"/>
      <c r="Y764" s="175"/>
      <c r="Z764" s="175"/>
      <c r="AA764" s="175"/>
      <c r="AB764" s="175"/>
      <c r="AC764" s="175"/>
    </row>
    <row r="765" spans="1:29" ht="12.75">
      <c r="A765" s="175"/>
      <c r="B765" s="175"/>
      <c r="C765" s="175"/>
      <c r="D765" s="175"/>
      <c r="E765" s="175"/>
      <c r="F765" s="175"/>
      <c r="G765" s="175"/>
      <c r="H765" s="175"/>
      <c r="I765" s="175"/>
      <c r="J765" s="175"/>
      <c r="K765" s="175"/>
      <c r="L765" s="175"/>
      <c r="M765" s="175"/>
      <c r="N765" s="175"/>
      <c r="O765" s="175"/>
      <c r="P765" s="175"/>
      <c r="Q765" s="175"/>
      <c r="R765" s="175"/>
      <c r="S765" s="175"/>
      <c r="T765" s="175"/>
      <c r="U765" s="175"/>
      <c r="V765" s="175"/>
      <c r="W765" s="175"/>
      <c r="X765" s="175"/>
      <c r="Y765" s="175"/>
      <c r="Z765" s="175"/>
      <c r="AA765" s="175"/>
      <c r="AB765" s="175"/>
      <c r="AC765" s="175"/>
    </row>
    <row r="766" spans="1:29" ht="12.75">
      <c r="A766" s="175"/>
      <c r="B766" s="175"/>
      <c r="C766" s="175"/>
      <c r="D766" s="175"/>
      <c r="E766" s="175"/>
      <c r="F766" s="175"/>
      <c r="G766" s="175"/>
      <c r="H766" s="175"/>
      <c r="I766" s="175"/>
      <c r="J766" s="175"/>
      <c r="K766" s="175"/>
      <c r="L766" s="175"/>
      <c r="M766" s="175"/>
      <c r="N766" s="175"/>
      <c r="O766" s="175"/>
      <c r="P766" s="175"/>
      <c r="Q766" s="175"/>
      <c r="R766" s="175"/>
      <c r="S766" s="175"/>
      <c r="T766" s="175"/>
      <c r="U766" s="175"/>
      <c r="V766" s="175"/>
      <c r="W766" s="175"/>
      <c r="X766" s="175"/>
      <c r="Y766" s="175"/>
      <c r="Z766" s="175"/>
      <c r="AA766" s="175"/>
      <c r="AB766" s="175"/>
      <c r="AC766" s="175"/>
    </row>
    <row r="767" spans="1:29" ht="12.75">
      <c r="A767" s="175"/>
      <c r="B767" s="175"/>
      <c r="C767" s="175"/>
      <c r="D767" s="175"/>
      <c r="E767" s="175"/>
      <c r="F767" s="175"/>
      <c r="G767" s="175"/>
      <c r="H767" s="175"/>
      <c r="I767" s="175"/>
      <c r="J767" s="175"/>
      <c r="K767" s="175"/>
      <c r="L767" s="175"/>
      <c r="M767" s="175"/>
      <c r="N767" s="175"/>
      <c r="O767" s="175"/>
      <c r="P767" s="175"/>
      <c r="Q767" s="175"/>
      <c r="R767" s="175"/>
      <c r="S767" s="175"/>
      <c r="T767" s="175"/>
      <c r="U767" s="175"/>
      <c r="V767" s="175"/>
      <c r="W767" s="175"/>
      <c r="X767" s="175"/>
      <c r="Y767" s="175"/>
      <c r="Z767" s="175"/>
      <c r="AA767" s="175"/>
      <c r="AB767" s="175"/>
      <c r="AC767" s="175"/>
    </row>
    <row r="768" spans="1:29" ht="12.75">
      <c r="A768" s="175"/>
      <c r="B768" s="175"/>
      <c r="C768" s="175"/>
      <c r="D768" s="175"/>
      <c r="E768" s="175"/>
      <c r="F768" s="175"/>
      <c r="G768" s="175"/>
      <c r="H768" s="175"/>
      <c r="I768" s="175"/>
      <c r="J768" s="175"/>
      <c r="K768" s="175"/>
      <c r="L768" s="175"/>
      <c r="M768" s="175"/>
      <c r="N768" s="175"/>
      <c r="O768" s="175"/>
      <c r="P768" s="175"/>
      <c r="Q768" s="175"/>
      <c r="R768" s="175"/>
      <c r="S768" s="175"/>
      <c r="T768" s="175"/>
      <c r="U768" s="175"/>
      <c r="V768" s="175"/>
      <c r="W768" s="175"/>
      <c r="X768" s="175"/>
      <c r="Y768" s="175"/>
      <c r="Z768" s="175"/>
      <c r="AA768" s="175"/>
      <c r="AB768" s="175"/>
      <c r="AC768" s="175"/>
    </row>
    <row r="769" spans="1:29" ht="12.75">
      <c r="A769" s="175"/>
      <c r="B769" s="175"/>
      <c r="C769" s="175"/>
      <c r="D769" s="175"/>
      <c r="E769" s="175"/>
      <c r="F769" s="175"/>
      <c r="G769" s="175"/>
      <c r="H769" s="175"/>
      <c r="I769" s="175"/>
      <c r="J769" s="175"/>
      <c r="K769" s="175"/>
      <c r="L769" s="175"/>
      <c r="M769" s="175"/>
      <c r="N769" s="175"/>
      <c r="O769" s="175"/>
      <c r="P769" s="175"/>
      <c r="Q769" s="175"/>
      <c r="R769" s="175"/>
      <c r="S769" s="175"/>
      <c r="T769" s="175"/>
      <c r="U769" s="175"/>
      <c r="V769" s="175"/>
      <c r="W769" s="175"/>
      <c r="X769" s="175"/>
      <c r="Y769" s="175"/>
      <c r="Z769" s="175"/>
      <c r="AA769" s="175"/>
      <c r="AB769" s="175"/>
      <c r="AC769" s="175"/>
    </row>
    <row r="770" spans="1:29" ht="12.75">
      <c r="A770" s="175"/>
      <c r="B770" s="175"/>
      <c r="C770" s="175"/>
      <c r="D770" s="175"/>
      <c r="E770" s="175"/>
      <c r="F770" s="175"/>
      <c r="G770" s="175"/>
      <c r="H770" s="175"/>
      <c r="I770" s="175"/>
      <c r="J770" s="175"/>
      <c r="K770" s="175"/>
      <c r="L770" s="175"/>
      <c r="M770" s="175"/>
      <c r="N770" s="175"/>
      <c r="O770" s="175"/>
      <c r="P770" s="175"/>
      <c r="Q770" s="175"/>
      <c r="R770" s="175"/>
      <c r="S770" s="175"/>
      <c r="T770" s="175"/>
      <c r="U770" s="175"/>
      <c r="V770" s="175"/>
      <c r="W770" s="175"/>
      <c r="X770" s="175"/>
      <c r="Y770" s="175"/>
      <c r="Z770" s="175"/>
      <c r="AA770" s="175"/>
      <c r="AB770" s="175"/>
      <c r="AC770" s="175"/>
    </row>
    <row r="771" spans="1:29" ht="12.75">
      <c r="A771" s="175"/>
      <c r="B771" s="175"/>
      <c r="C771" s="175"/>
      <c r="D771" s="175"/>
      <c r="E771" s="175"/>
      <c r="F771" s="175"/>
      <c r="G771" s="175"/>
      <c r="H771" s="175"/>
      <c r="I771" s="175"/>
      <c r="J771" s="175"/>
      <c r="K771" s="175"/>
      <c r="L771" s="175"/>
      <c r="M771" s="175"/>
      <c r="N771" s="175"/>
      <c r="O771" s="175"/>
      <c r="P771" s="175"/>
      <c r="Q771" s="175"/>
      <c r="R771" s="175"/>
      <c r="S771" s="175"/>
      <c r="T771" s="175"/>
      <c r="U771" s="175"/>
      <c r="V771" s="175"/>
      <c r="W771" s="175"/>
      <c r="X771" s="175"/>
      <c r="Y771" s="175"/>
      <c r="Z771" s="175"/>
      <c r="AA771" s="175"/>
      <c r="AB771" s="175"/>
      <c r="AC771" s="175"/>
    </row>
    <row r="772" spans="1:29" ht="12.75">
      <c r="A772" s="175"/>
      <c r="B772" s="175"/>
      <c r="C772" s="175"/>
      <c r="D772" s="175"/>
      <c r="E772" s="175"/>
      <c r="F772" s="175"/>
      <c r="G772" s="175"/>
      <c r="H772" s="175"/>
      <c r="I772" s="175"/>
      <c r="J772" s="175"/>
      <c r="K772" s="175"/>
      <c r="L772" s="175"/>
      <c r="M772" s="175"/>
      <c r="N772" s="175"/>
      <c r="O772" s="175"/>
      <c r="P772" s="175"/>
      <c r="Q772" s="175"/>
      <c r="R772" s="175"/>
      <c r="S772" s="175"/>
      <c r="T772" s="175"/>
      <c r="U772" s="175"/>
      <c r="V772" s="175"/>
      <c r="W772" s="175"/>
      <c r="X772" s="175"/>
      <c r="Y772" s="175"/>
      <c r="Z772" s="175"/>
      <c r="AA772" s="175"/>
      <c r="AB772" s="175"/>
      <c r="AC772" s="175"/>
    </row>
    <row r="773" spans="1:29" ht="12.75">
      <c r="A773" s="175"/>
      <c r="B773" s="175"/>
      <c r="C773" s="175"/>
      <c r="D773" s="175"/>
      <c r="E773" s="175"/>
      <c r="F773" s="175"/>
      <c r="G773" s="175"/>
      <c r="H773" s="175"/>
      <c r="I773" s="175"/>
      <c r="J773" s="175"/>
      <c r="K773" s="175"/>
      <c r="L773" s="175"/>
      <c r="M773" s="175"/>
      <c r="N773" s="175"/>
      <c r="O773" s="175"/>
      <c r="P773" s="175"/>
      <c r="Q773" s="175"/>
      <c r="R773" s="175"/>
      <c r="S773" s="175"/>
      <c r="T773" s="175"/>
      <c r="U773" s="175"/>
      <c r="V773" s="175"/>
      <c r="W773" s="175"/>
      <c r="X773" s="175"/>
      <c r="Y773" s="175"/>
      <c r="Z773" s="175"/>
      <c r="AA773" s="175"/>
      <c r="AB773" s="175"/>
      <c r="AC773" s="175"/>
    </row>
    <row r="774" spans="1:29" ht="12.75">
      <c r="A774" s="175"/>
      <c r="B774" s="175"/>
      <c r="C774" s="175"/>
      <c r="D774" s="175"/>
      <c r="E774" s="175"/>
      <c r="F774" s="175"/>
      <c r="G774" s="175"/>
      <c r="H774" s="175"/>
      <c r="I774" s="175"/>
      <c r="J774" s="175"/>
      <c r="K774" s="175"/>
      <c r="L774" s="175"/>
      <c r="M774" s="175"/>
      <c r="N774" s="175"/>
      <c r="O774" s="175"/>
      <c r="P774" s="175"/>
      <c r="Q774" s="175"/>
      <c r="R774" s="175"/>
      <c r="S774" s="175"/>
      <c r="T774" s="175"/>
      <c r="U774" s="175"/>
      <c r="V774" s="175"/>
      <c r="W774" s="175"/>
      <c r="X774" s="175"/>
      <c r="Y774" s="175"/>
      <c r="Z774" s="175"/>
      <c r="AA774" s="175"/>
      <c r="AB774" s="175"/>
      <c r="AC774" s="175"/>
    </row>
    <row r="775" spans="1:29" ht="12.75">
      <c r="A775" s="175"/>
      <c r="B775" s="175"/>
      <c r="C775" s="175"/>
      <c r="D775" s="175"/>
      <c r="E775" s="175"/>
      <c r="F775" s="175"/>
      <c r="G775" s="175"/>
      <c r="H775" s="175"/>
      <c r="I775" s="175"/>
      <c r="J775" s="175"/>
      <c r="K775" s="175"/>
      <c r="L775" s="175"/>
      <c r="M775" s="175"/>
      <c r="N775" s="175"/>
      <c r="O775" s="175"/>
      <c r="P775" s="175"/>
      <c r="Q775" s="175"/>
      <c r="R775" s="175"/>
      <c r="S775" s="175"/>
      <c r="T775" s="175"/>
      <c r="U775" s="175"/>
      <c r="V775" s="175"/>
      <c r="W775" s="175"/>
      <c r="X775" s="175"/>
      <c r="Y775" s="175"/>
      <c r="Z775" s="175"/>
      <c r="AA775" s="175"/>
      <c r="AB775" s="175"/>
      <c r="AC775" s="175"/>
    </row>
    <row r="776" spans="1:29" ht="12.75">
      <c r="A776" s="175"/>
      <c r="B776" s="175"/>
      <c r="C776" s="175"/>
      <c r="D776" s="175"/>
      <c r="E776" s="175"/>
      <c r="F776" s="175"/>
      <c r="G776" s="175"/>
      <c r="H776" s="175"/>
      <c r="I776" s="175"/>
      <c r="J776" s="175"/>
      <c r="K776" s="175"/>
      <c r="L776" s="175"/>
      <c r="M776" s="175"/>
      <c r="N776" s="175"/>
      <c r="O776" s="175"/>
      <c r="P776" s="175"/>
      <c r="Q776" s="175"/>
      <c r="R776" s="175"/>
      <c r="S776" s="175"/>
      <c r="T776" s="175"/>
      <c r="U776" s="175"/>
      <c r="V776" s="175"/>
      <c r="W776" s="175"/>
      <c r="X776" s="175"/>
      <c r="Y776" s="175"/>
      <c r="Z776" s="175"/>
      <c r="AA776" s="175"/>
      <c r="AB776" s="175"/>
      <c r="AC776" s="175"/>
    </row>
    <row r="777" spans="1:29" ht="12.75">
      <c r="A777" s="175"/>
      <c r="B777" s="175"/>
      <c r="C777" s="175"/>
      <c r="D777" s="175"/>
      <c r="E777" s="175"/>
      <c r="F777" s="175"/>
      <c r="G777" s="175"/>
      <c r="H777" s="175"/>
      <c r="I777" s="175"/>
      <c r="J777" s="175"/>
      <c r="K777" s="175"/>
      <c r="L777" s="175"/>
      <c r="M777" s="175"/>
      <c r="N777" s="175"/>
      <c r="O777" s="175"/>
      <c r="P777" s="175"/>
      <c r="Q777" s="175"/>
      <c r="R777" s="175"/>
      <c r="S777" s="175"/>
      <c r="T777" s="175"/>
      <c r="U777" s="175"/>
      <c r="V777" s="175"/>
      <c r="W777" s="175"/>
      <c r="X777" s="175"/>
      <c r="Y777" s="175"/>
      <c r="Z777" s="175"/>
      <c r="AA777" s="175"/>
      <c r="AB777" s="175"/>
      <c r="AC777" s="175"/>
    </row>
    <row r="778" spans="1:29" ht="12.75">
      <c r="A778" s="175"/>
      <c r="B778" s="175"/>
      <c r="C778" s="175"/>
      <c r="D778" s="175"/>
      <c r="E778" s="175"/>
      <c r="F778" s="175"/>
      <c r="G778" s="175"/>
      <c r="H778" s="175"/>
      <c r="I778" s="175"/>
      <c r="J778" s="175"/>
      <c r="K778" s="175"/>
      <c r="L778" s="175"/>
      <c r="M778" s="175"/>
      <c r="N778" s="175"/>
      <c r="O778" s="175"/>
      <c r="P778" s="175"/>
      <c r="Q778" s="175"/>
      <c r="R778" s="175"/>
      <c r="S778" s="175"/>
      <c r="T778" s="175"/>
      <c r="U778" s="175"/>
      <c r="V778" s="175"/>
      <c r="W778" s="175"/>
      <c r="X778" s="175"/>
      <c r="Y778" s="175"/>
      <c r="Z778" s="175"/>
      <c r="AA778" s="175"/>
      <c r="AB778" s="175"/>
      <c r="AC778" s="175"/>
    </row>
    <row r="779" spans="1:29" ht="12.75">
      <c r="A779" s="175"/>
      <c r="B779" s="175"/>
      <c r="C779" s="175"/>
      <c r="D779" s="175"/>
      <c r="E779" s="175"/>
      <c r="F779" s="175"/>
      <c r="G779" s="175"/>
      <c r="H779" s="175"/>
      <c r="I779" s="175"/>
      <c r="J779" s="175"/>
      <c r="K779" s="175"/>
      <c r="L779" s="175"/>
      <c r="M779" s="175"/>
      <c r="N779" s="175"/>
      <c r="O779" s="175"/>
      <c r="P779" s="175"/>
      <c r="Q779" s="175"/>
      <c r="R779" s="175"/>
      <c r="S779" s="175"/>
      <c r="T779" s="175"/>
      <c r="U779" s="175"/>
      <c r="V779" s="175"/>
      <c r="W779" s="175"/>
      <c r="X779" s="175"/>
      <c r="Y779" s="175"/>
      <c r="Z779" s="175"/>
      <c r="AA779" s="175"/>
      <c r="AB779" s="175"/>
      <c r="AC779" s="175"/>
    </row>
    <row r="780" spans="1:29" ht="12.75">
      <c r="A780" s="175"/>
      <c r="B780" s="175"/>
      <c r="C780" s="175"/>
      <c r="D780" s="175"/>
      <c r="E780" s="175"/>
      <c r="F780" s="175"/>
      <c r="G780" s="175"/>
      <c r="H780" s="175"/>
      <c r="I780" s="175"/>
      <c r="J780" s="175"/>
      <c r="K780" s="175"/>
      <c r="L780" s="175"/>
      <c r="M780" s="175"/>
      <c r="N780" s="175"/>
      <c r="O780" s="175"/>
      <c r="P780" s="175"/>
      <c r="Q780" s="175"/>
      <c r="R780" s="175"/>
      <c r="S780" s="175"/>
      <c r="T780" s="175"/>
      <c r="U780" s="175"/>
      <c r="V780" s="175"/>
      <c r="W780" s="175"/>
      <c r="X780" s="175"/>
      <c r="Y780" s="175"/>
      <c r="Z780" s="175"/>
      <c r="AA780" s="175"/>
      <c r="AB780" s="175"/>
      <c r="AC780" s="175"/>
    </row>
    <row r="781" spans="1:29" ht="12.75">
      <c r="A781" s="175"/>
      <c r="B781" s="175"/>
      <c r="C781" s="175"/>
      <c r="D781" s="175"/>
      <c r="E781" s="175"/>
      <c r="F781" s="175"/>
      <c r="G781" s="175"/>
      <c r="H781" s="175"/>
      <c r="I781" s="175"/>
      <c r="J781" s="175"/>
      <c r="K781" s="175"/>
      <c r="L781" s="175"/>
      <c r="M781" s="175"/>
      <c r="N781" s="175"/>
      <c r="O781" s="175"/>
      <c r="P781" s="175"/>
      <c r="Q781" s="175"/>
      <c r="R781" s="175"/>
      <c r="S781" s="175"/>
      <c r="T781" s="175"/>
      <c r="U781" s="175"/>
      <c r="V781" s="175"/>
      <c r="W781" s="175"/>
      <c r="X781" s="175"/>
      <c r="Y781" s="175"/>
      <c r="Z781" s="175"/>
      <c r="AA781" s="175"/>
      <c r="AB781" s="175"/>
      <c r="AC781" s="175"/>
    </row>
    <row r="782" spans="1:29" ht="12.75">
      <c r="A782" s="175"/>
      <c r="B782" s="175"/>
      <c r="C782" s="175"/>
      <c r="D782" s="175"/>
      <c r="E782" s="175"/>
      <c r="F782" s="175"/>
      <c r="G782" s="175"/>
      <c r="H782" s="175"/>
      <c r="I782" s="175"/>
      <c r="J782" s="175"/>
      <c r="K782" s="175"/>
      <c r="L782" s="175"/>
      <c r="M782" s="175"/>
      <c r="N782" s="175"/>
      <c r="O782" s="175"/>
      <c r="P782" s="175"/>
      <c r="Q782" s="175"/>
      <c r="R782" s="175"/>
      <c r="S782" s="175"/>
      <c r="T782" s="175"/>
      <c r="U782" s="175"/>
      <c r="V782" s="175"/>
      <c r="W782" s="175"/>
      <c r="X782" s="175"/>
      <c r="Y782" s="175"/>
      <c r="Z782" s="175"/>
      <c r="AA782" s="175"/>
      <c r="AB782" s="175"/>
      <c r="AC782" s="175"/>
    </row>
    <row r="783" spans="1:29" ht="12.75">
      <c r="A783" s="175"/>
      <c r="B783" s="175"/>
      <c r="C783" s="175"/>
      <c r="D783" s="175"/>
      <c r="E783" s="175"/>
      <c r="F783" s="175"/>
      <c r="G783" s="175"/>
      <c r="H783" s="175"/>
      <c r="I783" s="175"/>
      <c r="J783" s="175"/>
      <c r="K783" s="175"/>
      <c r="L783" s="175"/>
      <c r="M783" s="175"/>
      <c r="N783" s="175"/>
      <c r="O783" s="175"/>
      <c r="P783" s="175"/>
      <c r="Q783" s="175"/>
      <c r="R783" s="175"/>
      <c r="S783" s="175"/>
      <c r="T783" s="175"/>
      <c r="U783" s="175"/>
      <c r="V783" s="175"/>
      <c r="W783" s="175"/>
      <c r="X783" s="175"/>
      <c r="Y783" s="175"/>
      <c r="Z783" s="175"/>
      <c r="AA783" s="175"/>
      <c r="AB783" s="175"/>
      <c r="AC783" s="175"/>
    </row>
    <row r="784" spans="1:29" ht="12.75">
      <c r="A784" s="175"/>
      <c r="B784" s="175"/>
      <c r="C784" s="175"/>
      <c r="D784" s="175"/>
      <c r="E784" s="175"/>
      <c r="F784" s="175"/>
      <c r="G784" s="175"/>
      <c r="H784" s="175"/>
      <c r="I784" s="175"/>
      <c r="J784" s="175"/>
      <c r="K784" s="175"/>
      <c r="L784" s="175"/>
      <c r="M784" s="175"/>
      <c r="N784" s="175"/>
      <c r="O784" s="175"/>
      <c r="P784" s="175"/>
      <c r="Q784" s="175"/>
      <c r="R784" s="175"/>
      <c r="S784" s="175"/>
      <c r="T784" s="175"/>
      <c r="U784" s="175"/>
      <c r="V784" s="175"/>
      <c r="W784" s="175"/>
      <c r="X784" s="175"/>
      <c r="Y784" s="175"/>
      <c r="Z784" s="175"/>
      <c r="AA784" s="175"/>
      <c r="AB784" s="175"/>
      <c r="AC784" s="175"/>
    </row>
    <row r="785" spans="1:29" ht="12.75">
      <c r="A785" s="175"/>
      <c r="B785" s="175"/>
      <c r="C785" s="175"/>
      <c r="D785" s="175"/>
      <c r="E785" s="175"/>
      <c r="F785" s="175"/>
      <c r="G785" s="175"/>
      <c r="H785" s="175"/>
      <c r="I785" s="175"/>
      <c r="J785" s="175"/>
      <c r="K785" s="175"/>
      <c r="L785" s="175"/>
      <c r="M785" s="175"/>
      <c r="N785" s="175"/>
      <c r="O785" s="175"/>
      <c r="P785" s="175"/>
      <c r="Q785" s="175"/>
      <c r="R785" s="175"/>
      <c r="S785" s="175"/>
      <c r="T785" s="175"/>
      <c r="U785" s="175"/>
      <c r="V785" s="175"/>
      <c r="W785" s="175"/>
      <c r="X785" s="175"/>
      <c r="Y785" s="175"/>
      <c r="Z785" s="175"/>
      <c r="AA785" s="175"/>
      <c r="AB785" s="175"/>
      <c r="AC785" s="175"/>
    </row>
    <row r="786" spans="1:29" ht="12.75">
      <c r="A786" s="175"/>
      <c r="B786" s="175"/>
      <c r="C786" s="175"/>
      <c r="D786" s="175"/>
      <c r="E786" s="175"/>
      <c r="F786" s="175"/>
      <c r="G786" s="175"/>
      <c r="H786" s="175"/>
      <c r="I786" s="175"/>
      <c r="J786" s="175"/>
      <c r="K786" s="175"/>
      <c r="L786" s="175"/>
      <c r="M786" s="175"/>
      <c r="N786" s="175"/>
      <c r="O786" s="175"/>
      <c r="P786" s="175"/>
      <c r="Q786" s="175"/>
      <c r="R786" s="175"/>
      <c r="S786" s="175"/>
      <c r="T786" s="175"/>
      <c r="U786" s="175"/>
      <c r="V786" s="175"/>
      <c r="W786" s="175"/>
      <c r="X786" s="175"/>
      <c r="Y786" s="175"/>
      <c r="Z786" s="175"/>
      <c r="AA786" s="175"/>
      <c r="AB786" s="175"/>
      <c r="AC786" s="175"/>
    </row>
    <row r="787" spans="1:29" ht="12.75">
      <c r="A787" s="175"/>
      <c r="B787" s="175"/>
      <c r="C787" s="175"/>
      <c r="D787" s="175"/>
      <c r="E787" s="175"/>
      <c r="F787" s="175"/>
      <c r="G787" s="175"/>
      <c r="H787" s="175"/>
      <c r="I787" s="175"/>
      <c r="J787" s="175"/>
      <c r="K787" s="175"/>
      <c r="L787" s="175"/>
      <c r="M787" s="175"/>
      <c r="N787" s="175"/>
      <c r="O787" s="175"/>
      <c r="P787" s="175"/>
      <c r="Q787" s="175"/>
      <c r="R787" s="175"/>
      <c r="S787" s="175"/>
      <c r="T787" s="175"/>
      <c r="U787" s="175"/>
      <c r="V787" s="175"/>
      <c r="W787" s="175"/>
      <c r="X787" s="175"/>
      <c r="Y787" s="175"/>
      <c r="Z787" s="175"/>
      <c r="AA787" s="175"/>
      <c r="AB787" s="175"/>
      <c r="AC787" s="175"/>
    </row>
    <row r="788" spans="1:29" ht="12.75">
      <c r="A788" s="175"/>
      <c r="B788" s="175"/>
      <c r="C788" s="175"/>
      <c r="D788" s="175"/>
      <c r="E788" s="175"/>
      <c r="F788" s="175"/>
      <c r="G788" s="175"/>
      <c r="H788" s="175"/>
      <c r="I788" s="175"/>
      <c r="J788" s="175"/>
      <c r="K788" s="175"/>
      <c r="L788" s="175"/>
      <c r="M788" s="175"/>
      <c r="N788" s="175"/>
      <c r="O788" s="175"/>
      <c r="P788" s="175"/>
      <c r="Q788" s="175"/>
      <c r="R788" s="175"/>
      <c r="S788" s="175"/>
      <c r="T788" s="175"/>
      <c r="U788" s="175"/>
      <c r="V788" s="175"/>
      <c r="W788" s="175"/>
      <c r="X788" s="175"/>
      <c r="Y788" s="175"/>
      <c r="Z788" s="175"/>
      <c r="AA788" s="175"/>
      <c r="AB788" s="175"/>
      <c r="AC788" s="175"/>
    </row>
    <row r="789" spans="1:29" ht="12.75">
      <c r="A789" s="175"/>
      <c r="B789" s="175"/>
      <c r="C789" s="175"/>
      <c r="D789" s="175"/>
      <c r="E789" s="175"/>
      <c r="F789" s="175"/>
      <c r="G789" s="175"/>
      <c r="H789" s="175"/>
      <c r="I789" s="175"/>
      <c r="J789" s="175"/>
      <c r="K789" s="175"/>
      <c r="L789" s="175"/>
      <c r="M789" s="175"/>
      <c r="N789" s="175"/>
      <c r="O789" s="175"/>
      <c r="P789" s="175"/>
      <c r="Q789" s="175"/>
      <c r="R789" s="175"/>
      <c r="S789" s="175"/>
      <c r="T789" s="175"/>
      <c r="U789" s="175"/>
      <c r="V789" s="175"/>
      <c r="W789" s="175"/>
      <c r="X789" s="175"/>
      <c r="Y789" s="175"/>
      <c r="Z789" s="175"/>
      <c r="AA789" s="175"/>
      <c r="AB789" s="175"/>
      <c r="AC789" s="175"/>
    </row>
    <row r="790" spans="1:29" ht="12.75">
      <c r="A790" s="175"/>
      <c r="B790" s="175"/>
      <c r="C790" s="175"/>
      <c r="D790" s="175"/>
      <c r="E790" s="175"/>
      <c r="F790" s="175"/>
      <c r="G790" s="175"/>
      <c r="H790" s="175"/>
      <c r="I790" s="175"/>
      <c r="J790" s="175"/>
      <c r="K790" s="175"/>
      <c r="L790" s="175"/>
      <c r="M790" s="175"/>
      <c r="N790" s="175"/>
      <c r="O790" s="175"/>
      <c r="P790" s="175"/>
      <c r="Q790" s="175"/>
      <c r="R790" s="175"/>
      <c r="S790" s="175"/>
      <c r="T790" s="175"/>
      <c r="U790" s="175"/>
      <c r="V790" s="175"/>
      <c r="W790" s="175"/>
      <c r="X790" s="175"/>
      <c r="Y790" s="175"/>
      <c r="Z790" s="175"/>
      <c r="AA790" s="175"/>
      <c r="AB790" s="175"/>
      <c r="AC790" s="175"/>
    </row>
    <row r="791" spans="1:29" ht="12.75">
      <c r="A791" s="175"/>
      <c r="B791" s="175"/>
      <c r="C791" s="175"/>
      <c r="D791" s="175"/>
      <c r="E791" s="175"/>
      <c r="F791" s="175"/>
      <c r="G791" s="175"/>
      <c r="H791" s="175"/>
      <c r="I791" s="175"/>
      <c r="J791" s="175"/>
      <c r="K791" s="175"/>
      <c r="L791" s="175"/>
      <c r="M791" s="175"/>
      <c r="N791" s="175"/>
      <c r="O791" s="175"/>
      <c r="P791" s="175"/>
      <c r="Q791" s="175"/>
      <c r="R791" s="175"/>
      <c r="S791" s="175"/>
      <c r="T791" s="175"/>
      <c r="U791" s="175"/>
      <c r="V791" s="175"/>
      <c r="W791" s="175"/>
      <c r="X791" s="175"/>
      <c r="Y791" s="175"/>
      <c r="Z791" s="175"/>
      <c r="AA791" s="175"/>
      <c r="AB791" s="175"/>
      <c r="AC791" s="175"/>
    </row>
    <row r="792" spans="1:29" ht="12.75">
      <c r="A792" s="175"/>
      <c r="B792" s="175"/>
      <c r="C792" s="175"/>
      <c r="D792" s="175"/>
      <c r="E792" s="175"/>
      <c r="F792" s="175"/>
      <c r="G792" s="175"/>
      <c r="H792" s="175"/>
      <c r="I792" s="175"/>
      <c r="J792" s="175"/>
      <c r="K792" s="175"/>
      <c r="L792" s="175"/>
      <c r="M792" s="175"/>
      <c r="N792" s="175"/>
      <c r="O792" s="175"/>
      <c r="P792" s="175"/>
      <c r="Q792" s="175"/>
      <c r="R792" s="175"/>
      <c r="S792" s="175"/>
      <c r="T792" s="175"/>
      <c r="U792" s="175"/>
      <c r="V792" s="175"/>
      <c r="W792" s="175"/>
      <c r="X792" s="175"/>
      <c r="Y792" s="175"/>
      <c r="Z792" s="175"/>
      <c r="AA792" s="175"/>
      <c r="AB792" s="175"/>
      <c r="AC792" s="175"/>
    </row>
    <row r="793" spans="1:29" ht="12.75">
      <c r="A793" s="175"/>
      <c r="B793" s="175"/>
      <c r="C793" s="175"/>
      <c r="D793" s="175"/>
      <c r="E793" s="175"/>
      <c r="F793" s="175"/>
      <c r="G793" s="175"/>
      <c r="H793" s="175"/>
      <c r="I793" s="175"/>
      <c r="J793" s="175"/>
      <c r="K793" s="175"/>
      <c r="L793" s="175"/>
      <c r="M793" s="175"/>
      <c r="N793" s="175"/>
      <c r="O793" s="175"/>
      <c r="P793" s="175"/>
      <c r="Q793" s="175"/>
      <c r="R793" s="175"/>
      <c r="S793" s="175"/>
      <c r="T793" s="175"/>
      <c r="U793" s="175"/>
      <c r="V793" s="175"/>
      <c r="W793" s="175"/>
      <c r="X793" s="175"/>
      <c r="Y793" s="175"/>
      <c r="Z793" s="175"/>
      <c r="AA793" s="175"/>
      <c r="AB793" s="175"/>
      <c r="AC793" s="175"/>
    </row>
    <row r="794" spans="1:29" ht="12.75">
      <c r="A794" s="175"/>
      <c r="B794" s="175"/>
      <c r="C794" s="175"/>
      <c r="D794" s="175"/>
      <c r="E794" s="175"/>
      <c r="F794" s="175"/>
      <c r="G794" s="175"/>
      <c r="H794" s="175"/>
      <c r="I794" s="175"/>
      <c r="J794" s="175"/>
      <c r="K794" s="175"/>
      <c r="L794" s="175"/>
      <c r="M794" s="175"/>
      <c r="N794" s="175"/>
      <c r="O794" s="175"/>
      <c r="P794" s="175"/>
      <c r="Q794" s="175"/>
      <c r="R794" s="175"/>
      <c r="S794" s="175"/>
      <c r="T794" s="175"/>
      <c r="U794" s="175"/>
      <c r="V794" s="175"/>
      <c r="W794" s="175"/>
      <c r="X794" s="175"/>
      <c r="Y794" s="175"/>
      <c r="Z794" s="175"/>
      <c r="AA794" s="175"/>
      <c r="AB794" s="175"/>
      <c r="AC794" s="175"/>
    </row>
    <row r="795" spans="1:29" ht="12.75">
      <c r="A795" s="175"/>
      <c r="B795" s="175"/>
      <c r="C795" s="175"/>
      <c r="D795" s="175"/>
      <c r="E795" s="175"/>
      <c r="F795" s="175"/>
      <c r="G795" s="175"/>
      <c r="H795" s="175"/>
      <c r="I795" s="175"/>
      <c r="J795" s="175"/>
      <c r="K795" s="175"/>
      <c r="L795" s="175"/>
      <c r="M795" s="175"/>
      <c r="N795" s="175"/>
      <c r="O795" s="175"/>
      <c r="P795" s="175"/>
      <c r="Q795" s="175"/>
      <c r="R795" s="175"/>
      <c r="S795" s="175"/>
      <c r="T795" s="175"/>
      <c r="U795" s="175"/>
      <c r="V795" s="175"/>
      <c r="W795" s="175"/>
      <c r="X795" s="175"/>
      <c r="Y795" s="175"/>
      <c r="Z795" s="175"/>
      <c r="AA795" s="175"/>
      <c r="AB795" s="175"/>
      <c r="AC795" s="175"/>
    </row>
    <row r="796" spans="1:29" ht="12.75">
      <c r="A796" s="175"/>
      <c r="B796" s="175"/>
      <c r="C796" s="175"/>
      <c r="D796" s="175"/>
      <c r="E796" s="175"/>
      <c r="F796" s="175"/>
      <c r="G796" s="175"/>
      <c r="H796" s="175"/>
      <c r="I796" s="175"/>
      <c r="J796" s="175"/>
      <c r="K796" s="175"/>
      <c r="L796" s="175"/>
      <c r="M796" s="175"/>
      <c r="N796" s="175"/>
      <c r="O796" s="175"/>
      <c r="P796" s="175"/>
      <c r="Q796" s="175"/>
      <c r="R796" s="175"/>
      <c r="S796" s="175"/>
      <c r="T796" s="175"/>
      <c r="U796" s="175"/>
      <c r="V796" s="175"/>
      <c r="W796" s="175"/>
      <c r="X796" s="175"/>
      <c r="Y796" s="175"/>
      <c r="Z796" s="175"/>
      <c r="AA796" s="175"/>
      <c r="AB796" s="175"/>
      <c r="AC796" s="175"/>
    </row>
    <row r="797" spans="1:29" ht="12.75">
      <c r="A797" s="175"/>
      <c r="B797" s="175"/>
      <c r="C797" s="175"/>
      <c r="D797" s="175"/>
      <c r="E797" s="175"/>
      <c r="F797" s="175"/>
      <c r="G797" s="175"/>
      <c r="H797" s="175"/>
      <c r="I797" s="175"/>
      <c r="J797" s="175"/>
      <c r="K797" s="175"/>
      <c r="L797" s="175"/>
      <c r="M797" s="175"/>
      <c r="N797" s="175"/>
      <c r="O797" s="175"/>
      <c r="P797" s="175"/>
      <c r="Q797" s="175"/>
      <c r="R797" s="175"/>
      <c r="S797" s="175"/>
      <c r="T797" s="175"/>
      <c r="U797" s="175"/>
      <c r="V797" s="175"/>
      <c r="W797" s="175"/>
      <c r="X797" s="175"/>
      <c r="Y797" s="175"/>
      <c r="Z797" s="175"/>
      <c r="AA797" s="175"/>
      <c r="AB797" s="175"/>
      <c r="AC797" s="175"/>
    </row>
    <row r="798" spans="1:29" ht="12.75">
      <c r="A798" s="175"/>
      <c r="B798" s="175"/>
      <c r="C798" s="175"/>
      <c r="D798" s="175"/>
      <c r="E798" s="175"/>
      <c r="F798" s="175"/>
      <c r="G798" s="175"/>
      <c r="H798" s="175"/>
      <c r="I798" s="175"/>
      <c r="J798" s="175"/>
      <c r="K798" s="175"/>
      <c r="L798" s="175"/>
      <c r="M798" s="175"/>
      <c r="N798" s="175"/>
      <c r="O798" s="175"/>
      <c r="P798" s="175"/>
      <c r="Q798" s="175"/>
      <c r="R798" s="175"/>
      <c r="S798" s="175"/>
      <c r="T798" s="175"/>
      <c r="U798" s="175"/>
      <c r="V798" s="175"/>
      <c r="W798" s="175"/>
      <c r="X798" s="175"/>
      <c r="Y798" s="175"/>
      <c r="Z798" s="175"/>
      <c r="AA798" s="175"/>
      <c r="AB798" s="175"/>
      <c r="AC798" s="175"/>
    </row>
    <row r="799" spans="1:29" ht="12.75">
      <c r="A799" s="175"/>
      <c r="B799" s="175"/>
      <c r="C799" s="175"/>
      <c r="D799" s="175"/>
      <c r="E799" s="175"/>
      <c r="F799" s="175"/>
      <c r="G799" s="175"/>
      <c r="H799" s="175"/>
      <c r="I799" s="175"/>
      <c r="J799" s="175"/>
      <c r="K799" s="175"/>
      <c r="L799" s="175"/>
      <c r="M799" s="175"/>
      <c r="N799" s="175"/>
      <c r="O799" s="175"/>
      <c r="P799" s="175"/>
      <c r="Q799" s="175"/>
      <c r="R799" s="175"/>
      <c r="S799" s="175"/>
      <c r="T799" s="175"/>
      <c r="U799" s="175"/>
      <c r="V799" s="175"/>
      <c r="W799" s="175"/>
      <c r="X799" s="175"/>
      <c r="Y799" s="175"/>
      <c r="Z799" s="175"/>
      <c r="AA799" s="175"/>
      <c r="AB799" s="175"/>
      <c r="AC799" s="175"/>
    </row>
    <row r="800" spans="1:29" ht="12.75">
      <c r="A800" s="175"/>
      <c r="B800" s="175"/>
      <c r="C800" s="175"/>
      <c r="D800" s="175"/>
      <c r="E800" s="175"/>
      <c r="F800" s="175"/>
      <c r="G800" s="175"/>
      <c r="H800" s="175"/>
      <c r="I800" s="175"/>
      <c r="J800" s="175"/>
      <c r="K800" s="175"/>
      <c r="L800" s="175"/>
      <c r="M800" s="175"/>
      <c r="N800" s="175"/>
      <c r="O800" s="175"/>
      <c r="P800" s="175"/>
      <c r="Q800" s="175"/>
      <c r="R800" s="175"/>
      <c r="S800" s="175"/>
      <c r="T800" s="175"/>
      <c r="U800" s="175"/>
      <c r="V800" s="175"/>
      <c r="W800" s="175"/>
      <c r="X800" s="175"/>
      <c r="Y800" s="175"/>
      <c r="Z800" s="175"/>
      <c r="AA800" s="175"/>
      <c r="AB800" s="175"/>
      <c r="AC800" s="175"/>
    </row>
    <row r="801" spans="1:29" ht="12.75">
      <c r="A801" s="175"/>
      <c r="B801" s="175"/>
      <c r="C801" s="175"/>
      <c r="D801" s="175"/>
      <c r="E801" s="175"/>
      <c r="F801" s="175"/>
      <c r="G801" s="175"/>
      <c r="H801" s="175"/>
      <c r="I801" s="175"/>
      <c r="J801" s="175"/>
      <c r="K801" s="175"/>
      <c r="L801" s="175"/>
      <c r="M801" s="175"/>
      <c r="N801" s="175"/>
      <c r="O801" s="175"/>
      <c r="P801" s="175"/>
      <c r="Q801" s="175"/>
      <c r="R801" s="175"/>
      <c r="S801" s="175"/>
      <c r="T801" s="175"/>
      <c r="U801" s="175"/>
      <c r="V801" s="175"/>
      <c r="W801" s="175"/>
      <c r="X801" s="175"/>
      <c r="Y801" s="175"/>
      <c r="Z801" s="175"/>
      <c r="AA801" s="175"/>
      <c r="AB801" s="175"/>
      <c r="AC801" s="175"/>
    </row>
    <row r="802" spans="1:29" ht="12.75">
      <c r="A802" s="175"/>
      <c r="B802" s="175"/>
      <c r="C802" s="175"/>
      <c r="D802" s="175"/>
      <c r="E802" s="175"/>
      <c r="F802" s="175"/>
      <c r="G802" s="175"/>
      <c r="H802" s="175"/>
      <c r="I802" s="175"/>
      <c r="J802" s="175"/>
      <c r="K802" s="175"/>
      <c r="L802" s="175"/>
      <c r="M802" s="175"/>
      <c r="N802" s="175"/>
      <c r="O802" s="175"/>
      <c r="P802" s="175"/>
      <c r="Q802" s="175"/>
      <c r="R802" s="175"/>
      <c r="S802" s="175"/>
      <c r="T802" s="175"/>
      <c r="U802" s="175"/>
      <c r="V802" s="175"/>
      <c r="W802" s="175"/>
      <c r="X802" s="175"/>
      <c r="Y802" s="175"/>
      <c r="Z802" s="175"/>
      <c r="AA802" s="175"/>
      <c r="AB802" s="175"/>
      <c r="AC802" s="175"/>
    </row>
    <row r="803" spans="1:29" ht="12.75">
      <c r="A803" s="175"/>
      <c r="B803" s="175"/>
      <c r="C803" s="175"/>
      <c r="D803" s="175"/>
      <c r="E803" s="175"/>
      <c r="F803" s="175"/>
      <c r="G803" s="175"/>
      <c r="H803" s="175"/>
      <c r="I803" s="175"/>
      <c r="J803" s="175"/>
      <c r="K803" s="175"/>
      <c r="L803" s="175"/>
      <c r="M803" s="175"/>
      <c r="N803" s="175"/>
      <c r="O803" s="175"/>
      <c r="P803" s="175"/>
      <c r="Q803" s="175"/>
      <c r="R803" s="175"/>
      <c r="S803" s="175"/>
      <c r="T803" s="175"/>
      <c r="U803" s="175"/>
      <c r="V803" s="175"/>
      <c r="W803" s="175"/>
      <c r="X803" s="175"/>
      <c r="Y803" s="175"/>
      <c r="Z803" s="175"/>
      <c r="AA803" s="175"/>
      <c r="AB803" s="175"/>
      <c r="AC803" s="175"/>
    </row>
    <row r="804" spans="1:29" ht="12.75">
      <c r="A804" s="175"/>
      <c r="B804" s="175"/>
      <c r="C804" s="175"/>
      <c r="D804" s="175"/>
      <c r="E804" s="175"/>
      <c r="F804" s="175"/>
      <c r="G804" s="175"/>
      <c r="H804" s="175"/>
      <c r="I804" s="175"/>
      <c r="J804" s="175"/>
      <c r="K804" s="175"/>
      <c r="L804" s="175"/>
      <c r="M804" s="175"/>
      <c r="N804" s="175"/>
      <c r="O804" s="175"/>
      <c r="P804" s="175"/>
      <c r="Q804" s="175"/>
      <c r="R804" s="175"/>
      <c r="S804" s="175"/>
      <c r="T804" s="175"/>
      <c r="U804" s="175"/>
      <c r="V804" s="175"/>
      <c r="W804" s="175"/>
      <c r="X804" s="175"/>
      <c r="Y804" s="175"/>
      <c r="Z804" s="175"/>
      <c r="AA804" s="175"/>
      <c r="AB804" s="175"/>
      <c r="AC804" s="175"/>
    </row>
    <row r="805" spans="1:29" ht="12.75">
      <c r="A805" s="175"/>
      <c r="B805" s="175"/>
      <c r="C805" s="175"/>
      <c r="D805" s="175"/>
      <c r="E805" s="175"/>
      <c r="F805" s="175"/>
      <c r="G805" s="175"/>
      <c r="H805" s="175"/>
      <c r="I805" s="175"/>
      <c r="J805" s="175"/>
      <c r="K805" s="175"/>
      <c r="L805" s="175"/>
      <c r="M805" s="175"/>
      <c r="N805" s="175"/>
      <c r="O805" s="175"/>
      <c r="P805" s="175"/>
      <c r="Q805" s="175"/>
      <c r="R805" s="175"/>
      <c r="S805" s="175"/>
      <c r="T805" s="175"/>
      <c r="U805" s="175"/>
      <c r="V805" s="175"/>
      <c r="W805" s="175"/>
      <c r="X805" s="175"/>
      <c r="Y805" s="175"/>
      <c r="Z805" s="175"/>
      <c r="AA805" s="175"/>
      <c r="AB805" s="175"/>
      <c r="AC805" s="175"/>
    </row>
    <row r="806" spans="1:29" ht="12.75">
      <c r="A806" s="175"/>
      <c r="B806" s="175"/>
      <c r="C806" s="175"/>
      <c r="D806" s="175"/>
      <c r="E806" s="175"/>
      <c r="F806" s="175"/>
      <c r="G806" s="175"/>
      <c r="H806" s="175"/>
      <c r="I806" s="175"/>
      <c r="J806" s="175"/>
      <c r="K806" s="175"/>
      <c r="L806" s="175"/>
      <c r="M806" s="175"/>
      <c r="N806" s="175"/>
      <c r="O806" s="175"/>
      <c r="P806" s="175"/>
      <c r="Q806" s="175"/>
      <c r="R806" s="175"/>
      <c r="S806" s="175"/>
      <c r="T806" s="175"/>
      <c r="U806" s="175"/>
      <c r="V806" s="175"/>
      <c r="W806" s="175"/>
      <c r="X806" s="175"/>
      <c r="Y806" s="175"/>
      <c r="Z806" s="175"/>
      <c r="AA806" s="175"/>
      <c r="AB806" s="175"/>
      <c r="AC806" s="175"/>
    </row>
    <row r="807" spans="1:29" ht="12.75">
      <c r="A807" s="175"/>
      <c r="B807" s="175"/>
      <c r="C807" s="175"/>
      <c r="D807" s="175"/>
      <c r="E807" s="175"/>
      <c r="F807" s="175"/>
      <c r="G807" s="175"/>
      <c r="H807" s="175"/>
      <c r="I807" s="175"/>
      <c r="J807" s="175"/>
      <c r="K807" s="175"/>
      <c r="L807" s="175"/>
      <c r="M807" s="175"/>
      <c r="N807" s="175"/>
      <c r="O807" s="175"/>
      <c r="P807" s="175"/>
      <c r="Q807" s="175"/>
      <c r="R807" s="175"/>
      <c r="S807" s="175"/>
      <c r="T807" s="175"/>
      <c r="U807" s="175"/>
      <c r="V807" s="175"/>
      <c r="W807" s="175"/>
      <c r="X807" s="175"/>
      <c r="Y807" s="175"/>
      <c r="Z807" s="175"/>
      <c r="AA807" s="175"/>
      <c r="AB807" s="175"/>
      <c r="AC807" s="175"/>
    </row>
    <row r="808" spans="1:29" ht="12.75">
      <c r="A808" s="175"/>
      <c r="B808" s="175"/>
      <c r="C808" s="175"/>
      <c r="D808" s="175"/>
      <c r="E808" s="175"/>
      <c r="F808" s="175"/>
      <c r="G808" s="175"/>
      <c r="H808" s="175"/>
      <c r="I808" s="175"/>
      <c r="J808" s="175"/>
      <c r="K808" s="175"/>
      <c r="L808" s="175"/>
      <c r="M808" s="175"/>
      <c r="N808" s="175"/>
      <c r="O808" s="175"/>
      <c r="P808" s="175"/>
      <c r="Q808" s="175"/>
      <c r="R808" s="175"/>
      <c r="S808" s="175"/>
      <c r="T808" s="175"/>
      <c r="U808" s="175"/>
      <c r="V808" s="175"/>
      <c r="W808" s="175"/>
      <c r="X808" s="175"/>
      <c r="Y808" s="175"/>
      <c r="Z808" s="175"/>
      <c r="AA808" s="175"/>
      <c r="AB808" s="175"/>
      <c r="AC808" s="175"/>
    </row>
    <row r="809" spans="1:29" ht="12.75">
      <c r="A809" s="175"/>
      <c r="B809" s="175"/>
      <c r="C809" s="175"/>
      <c r="D809" s="175"/>
      <c r="E809" s="175"/>
      <c r="F809" s="175"/>
      <c r="G809" s="175"/>
      <c r="H809" s="175"/>
      <c r="I809" s="175"/>
      <c r="J809" s="175"/>
      <c r="K809" s="175"/>
      <c r="L809" s="175"/>
      <c r="M809" s="175"/>
      <c r="N809" s="175"/>
      <c r="O809" s="175"/>
      <c r="P809" s="175"/>
      <c r="Q809" s="175"/>
      <c r="R809" s="175"/>
      <c r="S809" s="175"/>
      <c r="T809" s="175"/>
      <c r="U809" s="175"/>
      <c r="V809" s="175"/>
      <c r="W809" s="175"/>
      <c r="X809" s="175"/>
      <c r="Y809" s="175"/>
      <c r="Z809" s="175"/>
      <c r="AA809" s="175"/>
      <c r="AB809" s="175"/>
      <c r="AC809" s="175"/>
    </row>
    <row r="810" spans="1:29" ht="12.75">
      <c r="A810" s="175"/>
      <c r="B810" s="175"/>
      <c r="C810" s="175"/>
      <c r="D810" s="175"/>
      <c r="E810" s="175"/>
      <c r="F810" s="175"/>
      <c r="G810" s="175"/>
      <c r="H810" s="175"/>
      <c r="I810" s="175"/>
      <c r="J810" s="175"/>
      <c r="K810" s="175"/>
      <c r="L810" s="175"/>
      <c r="M810" s="175"/>
      <c r="N810" s="175"/>
      <c r="O810" s="175"/>
      <c r="P810" s="175"/>
      <c r="Q810" s="175"/>
      <c r="R810" s="175"/>
      <c r="S810" s="175"/>
      <c r="T810" s="175"/>
      <c r="U810" s="175"/>
      <c r="V810" s="175"/>
      <c r="W810" s="175"/>
      <c r="X810" s="175"/>
      <c r="Y810" s="175"/>
      <c r="Z810" s="175"/>
      <c r="AA810" s="175"/>
      <c r="AB810" s="175"/>
      <c r="AC810" s="175"/>
    </row>
    <row r="811" spans="1:29" ht="12.75">
      <c r="A811" s="175"/>
      <c r="B811" s="175"/>
      <c r="C811" s="175"/>
      <c r="D811" s="175"/>
      <c r="E811" s="175"/>
      <c r="F811" s="175"/>
      <c r="G811" s="175"/>
      <c r="H811" s="175"/>
      <c r="I811" s="175"/>
      <c r="J811" s="175"/>
      <c r="K811" s="175"/>
      <c r="L811" s="175"/>
      <c r="M811" s="175"/>
      <c r="N811" s="175"/>
      <c r="O811" s="175"/>
      <c r="P811" s="175"/>
      <c r="Q811" s="175"/>
      <c r="R811" s="175"/>
      <c r="S811" s="175"/>
      <c r="T811" s="175"/>
      <c r="U811" s="175"/>
      <c r="V811" s="175"/>
      <c r="W811" s="175"/>
      <c r="X811" s="175"/>
      <c r="Y811" s="175"/>
      <c r="Z811" s="175"/>
      <c r="AA811" s="175"/>
      <c r="AB811" s="175"/>
      <c r="AC811" s="175"/>
    </row>
    <row r="812" spans="1:29" ht="12.75">
      <c r="A812" s="175"/>
      <c r="B812" s="175"/>
      <c r="C812" s="175"/>
      <c r="D812" s="175"/>
      <c r="E812" s="175"/>
      <c r="F812" s="175"/>
      <c r="G812" s="175"/>
      <c r="H812" s="175"/>
      <c r="I812" s="175"/>
      <c r="J812" s="175"/>
      <c r="K812" s="175"/>
      <c r="L812" s="175"/>
      <c r="M812" s="175"/>
      <c r="N812" s="175"/>
      <c r="O812" s="175"/>
      <c r="P812" s="175"/>
      <c r="Q812" s="175"/>
      <c r="R812" s="175"/>
      <c r="S812" s="175"/>
      <c r="T812" s="175"/>
      <c r="U812" s="175"/>
      <c r="V812" s="175"/>
      <c r="W812" s="175"/>
      <c r="X812" s="175"/>
      <c r="Y812" s="175"/>
      <c r="Z812" s="175"/>
      <c r="AA812" s="175"/>
      <c r="AB812" s="175"/>
      <c r="AC812" s="175"/>
    </row>
    <row r="813" spans="1:29" ht="12.75">
      <c r="A813" s="175"/>
      <c r="B813" s="175"/>
      <c r="C813" s="175"/>
      <c r="D813" s="175"/>
      <c r="E813" s="175"/>
      <c r="F813" s="175"/>
      <c r="G813" s="175"/>
      <c r="H813" s="175"/>
      <c r="I813" s="175"/>
      <c r="J813" s="175"/>
      <c r="K813" s="175"/>
      <c r="L813" s="175"/>
      <c r="M813" s="175"/>
      <c r="N813" s="175"/>
      <c r="O813" s="175"/>
      <c r="P813" s="175"/>
      <c r="Q813" s="175"/>
      <c r="R813" s="175"/>
      <c r="S813" s="175"/>
      <c r="T813" s="175"/>
      <c r="U813" s="175"/>
      <c r="V813" s="175"/>
      <c r="W813" s="175"/>
      <c r="X813" s="175"/>
      <c r="Y813" s="175"/>
      <c r="Z813" s="175"/>
      <c r="AA813" s="175"/>
      <c r="AB813" s="175"/>
      <c r="AC813" s="175"/>
    </row>
    <row r="814" spans="1:29" ht="12.75">
      <c r="A814" s="175"/>
      <c r="B814" s="175"/>
      <c r="C814" s="175"/>
      <c r="D814" s="175"/>
      <c r="E814" s="175"/>
      <c r="F814" s="175"/>
      <c r="G814" s="175"/>
      <c r="H814" s="175"/>
      <c r="I814" s="175"/>
      <c r="J814" s="175"/>
      <c r="K814" s="175"/>
      <c r="L814" s="175"/>
      <c r="M814" s="175"/>
      <c r="N814" s="175"/>
      <c r="O814" s="175"/>
      <c r="P814" s="175"/>
      <c r="Q814" s="175"/>
      <c r="R814" s="175"/>
      <c r="S814" s="175"/>
      <c r="T814" s="175"/>
      <c r="U814" s="175"/>
      <c r="V814" s="175"/>
      <c r="W814" s="175"/>
      <c r="X814" s="175"/>
      <c r="Y814" s="175"/>
      <c r="Z814" s="175"/>
      <c r="AA814" s="175"/>
      <c r="AB814" s="175"/>
      <c r="AC814" s="175"/>
    </row>
    <row r="815" spans="1:29" ht="12.75">
      <c r="A815" s="175"/>
      <c r="B815" s="175"/>
      <c r="C815" s="175"/>
      <c r="D815" s="175"/>
      <c r="E815" s="175"/>
      <c r="F815" s="175"/>
      <c r="G815" s="175"/>
      <c r="H815" s="175"/>
      <c r="I815" s="175"/>
      <c r="J815" s="175"/>
      <c r="K815" s="175"/>
      <c r="L815" s="175"/>
      <c r="M815" s="175"/>
      <c r="N815" s="175"/>
      <c r="O815" s="175"/>
      <c r="P815" s="175"/>
      <c r="Q815" s="175"/>
      <c r="R815" s="175"/>
      <c r="S815" s="175"/>
      <c r="T815" s="175"/>
      <c r="U815" s="175"/>
      <c r="V815" s="175"/>
      <c r="W815" s="175"/>
      <c r="X815" s="175"/>
      <c r="Y815" s="175"/>
      <c r="Z815" s="175"/>
      <c r="AA815" s="175"/>
      <c r="AB815" s="175"/>
      <c r="AC815" s="175"/>
    </row>
    <row r="816" spans="1:29" ht="12.75">
      <c r="A816" s="175"/>
      <c r="B816" s="175"/>
      <c r="C816" s="175"/>
      <c r="D816" s="175"/>
      <c r="E816" s="175"/>
      <c r="F816" s="175"/>
      <c r="G816" s="175"/>
      <c r="H816" s="175"/>
      <c r="I816" s="175"/>
      <c r="J816" s="175"/>
      <c r="K816" s="175"/>
      <c r="L816" s="175"/>
      <c r="M816" s="175"/>
      <c r="N816" s="175"/>
      <c r="O816" s="175"/>
      <c r="P816" s="175"/>
      <c r="Q816" s="175"/>
      <c r="R816" s="175"/>
      <c r="S816" s="175"/>
      <c r="T816" s="175"/>
      <c r="U816" s="175"/>
      <c r="V816" s="175"/>
      <c r="W816" s="175"/>
      <c r="X816" s="175"/>
      <c r="Y816" s="175"/>
      <c r="Z816" s="175"/>
      <c r="AA816" s="175"/>
      <c r="AB816" s="175"/>
      <c r="AC816" s="175"/>
    </row>
    <row r="817" spans="1:29" ht="12.75">
      <c r="A817" s="175"/>
      <c r="B817" s="175"/>
      <c r="C817" s="175"/>
      <c r="D817" s="175"/>
      <c r="E817" s="175"/>
      <c r="F817" s="175"/>
      <c r="G817" s="175"/>
      <c r="H817" s="175"/>
      <c r="I817" s="175"/>
      <c r="J817" s="175"/>
      <c r="K817" s="175"/>
      <c r="L817" s="175"/>
      <c r="M817" s="175"/>
      <c r="N817" s="175"/>
      <c r="O817" s="175"/>
      <c r="P817" s="175"/>
      <c r="Q817" s="175"/>
      <c r="R817" s="175"/>
      <c r="S817" s="175"/>
      <c r="T817" s="175"/>
      <c r="U817" s="175"/>
      <c r="V817" s="175"/>
      <c r="W817" s="175"/>
      <c r="X817" s="175"/>
      <c r="Y817" s="175"/>
      <c r="Z817" s="175"/>
      <c r="AA817" s="175"/>
      <c r="AB817" s="175"/>
      <c r="AC817" s="175"/>
    </row>
    <row r="818" spans="1:29" ht="12.75">
      <c r="A818" s="175"/>
      <c r="B818" s="175"/>
      <c r="C818" s="175"/>
      <c r="D818" s="175"/>
      <c r="E818" s="175"/>
      <c r="F818" s="175"/>
      <c r="G818" s="175"/>
      <c r="H818" s="175"/>
      <c r="I818" s="175"/>
      <c r="J818" s="175"/>
      <c r="K818" s="175"/>
      <c r="L818" s="175"/>
      <c r="M818" s="175"/>
      <c r="N818" s="175"/>
      <c r="O818" s="175"/>
      <c r="P818" s="175"/>
      <c r="Q818" s="175"/>
      <c r="R818" s="175"/>
      <c r="S818" s="175"/>
      <c r="T818" s="175"/>
      <c r="U818" s="175"/>
      <c r="V818" s="175"/>
      <c r="W818" s="175"/>
      <c r="X818" s="175"/>
      <c r="Y818" s="175"/>
      <c r="Z818" s="175"/>
      <c r="AA818" s="175"/>
      <c r="AB818" s="175"/>
      <c r="AC818" s="175"/>
    </row>
    <row r="819" spans="1:29" ht="12.75">
      <c r="A819" s="175"/>
      <c r="B819" s="175"/>
      <c r="C819" s="175"/>
      <c r="D819" s="175"/>
      <c r="E819" s="175"/>
      <c r="F819" s="175"/>
      <c r="G819" s="175"/>
      <c r="H819" s="175"/>
      <c r="I819" s="175"/>
      <c r="J819" s="175"/>
      <c r="K819" s="175"/>
      <c r="L819" s="175"/>
      <c r="M819" s="175"/>
      <c r="N819" s="175"/>
      <c r="O819" s="175"/>
      <c r="P819" s="175"/>
      <c r="Q819" s="175"/>
      <c r="R819" s="175"/>
      <c r="S819" s="175"/>
      <c r="T819" s="175"/>
      <c r="U819" s="175"/>
      <c r="V819" s="175"/>
      <c r="W819" s="175"/>
      <c r="X819" s="175"/>
      <c r="Y819" s="175"/>
      <c r="Z819" s="175"/>
      <c r="AA819" s="175"/>
      <c r="AB819" s="175"/>
      <c r="AC819" s="175"/>
    </row>
    <row r="820" spans="1:29" ht="12.75">
      <c r="A820" s="175"/>
      <c r="B820" s="175"/>
      <c r="C820" s="175"/>
      <c r="D820" s="175"/>
      <c r="E820" s="175"/>
      <c r="F820" s="175"/>
      <c r="G820" s="175"/>
      <c r="H820" s="175"/>
      <c r="I820" s="175"/>
      <c r="J820" s="175"/>
      <c r="K820" s="175"/>
      <c r="L820" s="175"/>
      <c r="M820" s="175"/>
      <c r="N820" s="175"/>
      <c r="O820" s="175"/>
      <c r="P820" s="175"/>
      <c r="Q820" s="175"/>
      <c r="R820" s="175"/>
      <c r="S820" s="175"/>
      <c r="T820" s="175"/>
      <c r="U820" s="175"/>
      <c r="V820" s="175"/>
      <c r="W820" s="175"/>
      <c r="X820" s="175"/>
      <c r="Y820" s="175"/>
      <c r="Z820" s="175"/>
      <c r="AA820" s="175"/>
      <c r="AB820" s="175"/>
      <c r="AC820" s="175"/>
    </row>
    <row r="821" spans="1:29" ht="12.75">
      <c r="A821" s="175"/>
      <c r="B821" s="175"/>
      <c r="C821" s="175"/>
      <c r="D821" s="175"/>
      <c r="E821" s="175"/>
      <c r="F821" s="175"/>
      <c r="G821" s="175"/>
      <c r="H821" s="175"/>
      <c r="I821" s="175"/>
      <c r="J821" s="175"/>
      <c r="K821" s="175"/>
      <c r="L821" s="175"/>
      <c r="M821" s="175"/>
      <c r="N821" s="175"/>
      <c r="O821" s="175"/>
      <c r="P821" s="175"/>
      <c r="Q821" s="175"/>
      <c r="R821" s="175"/>
      <c r="S821" s="175"/>
      <c r="T821" s="175"/>
      <c r="U821" s="175"/>
      <c r="V821" s="175"/>
      <c r="W821" s="175"/>
      <c r="X821" s="175"/>
      <c r="Y821" s="175"/>
      <c r="Z821" s="175"/>
      <c r="AA821" s="175"/>
      <c r="AB821" s="175"/>
      <c r="AC821" s="175"/>
    </row>
    <row r="822" spans="1:29" ht="12.75">
      <c r="A822" s="175"/>
      <c r="B822" s="175"/>
      <c r="C822" s="175"/>
      <c r="D822" s="175"/>
      <c r="E822" s="175"/>
      <c r="F822" s="175"/>
      <c r="G822" s="175"/>
      <c r="H822" s="175"/>
      <c r="I822" s="175"/>
      <c r="J822" s="175"/>
      <c r="K822" s="175"/>
      <c r="L822" s="175"/>
      <c r="M822" s="175"/>
      <c r="N822" s="175"/>
      <c r="O822" s="175"/>
      <c r="P822" s="175"/>
      <c r="Q822" s="175"/>
      <c r="R822" s="175"/>
      <c r="S822" s="175"/>
      <c r="T822" s="175"/>
      <c r="U822" s="175"/>
      <c r="V822" s="175"/>
      <c r="W822" s="175"/>
      <c r="X822" s="175"/>
      <c r="Y822" s="175"/>
      <c r="Z822" s="175"/>
      <c r="AA822" s="175"/>
      <c r="AB822" s="175"/>
      <c r="AC822" s="175"/>
    </row>
    <row r="823" spans="1:29" ht="12.75">
      <c r="A823" s="175"/>
      <c r="B823" s="175"/>
      <c r="C823" s="175"/>
      <c r="D823" s="175"/>
      <c r="E823" s="175"/>
      <c r="F823" s="175"/>
      <c r="G823" s="175"/>
      <c r="H823" s="175"/>
      <c r="I823" s="175"/>
      <c r="J823" s="175"/>
      <c r="K823" s="175"/>
      <c r="L823" s="175"/>
      <c r="M823" s="175"/>
      <c r="N823" s="175"/>
      <c r="O823" s="175"/>
      <c r="P823" s="175"/>
      <c r="Q823" s="175"/>
      <c r="R823" s="175"/>
      <c r="S823" s="175"/>
      <c r="T823" s="175"/>
      <c r="U823" s="175"/>
      <c r="V823" s="175"/>
      <c r="W823" s="175"/>
      <c r="X823" s="175"/>
      <c r="Y823" s="175"/>
      <c r="Z823" s="175"/>
      <c r="AA823" s="175"/>
      <c r="AB823" s="175"/>
      <c r="AC823" s="175"/>
    </row>
    <row r="824" spans="1:29" ht="12.75">
      <c r="A824" s="175"/>
      <c r="B824" s="175"/>
      <c r="C824" s="175"/>
      <c r="D824" s="175"/>
      <c r="E824" s="175"/>
      <c r="F824" s="175"/>
      <c r="G824" s="175"/>
      <c r="H824" s="175"/>
      <c r="I824" s="175"/>
      <c r="J824" s="175"/>
      <c r="K824" s="175"/>
      <c r="L824" s="175"/>
      <c r="M824" s="175"/>
      <c r="N824" s="175"/>
      <c r="O824" s="175"/>
      <c r="P824" s="175"/>
      <c r="Q824" s="175"/>
      <c r="R824" s="175"/>
      <c r="S824" s="175"/>
      <c r="T824" s="175"/>
      <c r="U824" s="175"/>
      <c r="V824" s="175"/>
      <c r="W824" s="175"/>
      <c r="X824" s="175"/>
      <c r="Y824" s="175"/>
      <c r="Z824" s="175"/>
      <c r="AA824" s="175"/>
      <c r="AB824" s="175"/>
      <c r="AC824" s="175"/>
    </row>
    <row r="825" spans="1:29" ht="12.75">
      <c r="A825" s="175"/>
      <c r="B825" s="175"/>
      <c r="C825" s="175"/>
      <c r="D825" s="175"/>
      <c r="E825" s="175"/>
      <c r="F825" s="175"/>
      <c r="G825" s="175"/>
      <c r="H825" s="175"/>
      <c r="I825" s="175"/>
      <c r="J825" s="175"/>
      <c r="K825" s="175"/>
      <c r="L825" s="175"/>
      <c r="M825" s="175"/>
      <c r="N825" s="175"/>
      <c r="O825" s="175"/>
      <c r="P825" s="175"/>
      <c r="Q825" s="175"/>
      <c r="R825" s="175"/>
      <c r="S825" s="175"/>
      <c r="T825" s="175"/>
      <c r="U825" s="175"/>
      <c r="V825" s="175"/>
      <c r="W825" s="175"/>
      <c r="X825" s="175"/>
      <c r="Y825" s="175"/>
      <c r="Z825" s="175"/>
      <c r="AA825" s="175"/>
      <c r="AB825" s="175"/>
      <c r="AC825" s="175"/>
    </row>
    <row r="826" spans="1:29" ht="12.75">
      <c r="A826" s="175"/>
      <c r="B826" s="175"/>
      <c r="C826" s="175"/>
      <c r="D826" s="175"/>
      <c r="E826" s="175"/>
      <c r="F826" s="175"/>
      <c r="G826" s="175"/>
      <c r="H826" s="175"/>
      <c r="I826" s="175"/>
      <c r="J826" s="175"/>
      <c r="K826" s="175"/>
      <c r="L826" s="175"/>
      <c r="M826" s="175"/>
      <c r="N826" s="175"/>
      <c r="O826" s="175"/>
      <c r="P826" s="175"/>
      <c r="Q826" s="175"/>
      <c r="R826" s="175"/>
      <c r="S826" s="175"/>
      <c r="T826" s="175"/>
      <c r="U826" s="175"/>
      <c r="V826" s="175"/>
      <c r="W826" s="175"/>
      <c r="X826" s="175"/>
      <c r="Y826" s="175"/>
      <c r="Z826" s="175"/>
      <c r="AA826" s="175"/>
      <c r="AB826" s="175"/>
      <c r="AC826" s="175"/>
    </row>
    <row r="827" spans="1:29" ht="12.75">
      <c r="A827" s="175"/>
      <c r="B827" s="175"/>
      <c r="C827" s="175"/>
      <c r="D827" s="175"/>
      <c r="E827" s="175"/>
      <c r="F827" s="175"/>
      <c r="G827" s="175"/>
      <c r="H827" s="175"/>
      <c r="I827" s="175"/>
      <c r="J827" s="175"/>
      <c r="K827" s="175"/>
      <c r="L827" s="175"/>
      <c r="M827" s="175"/>
      <c r="N827" s="175"/>
      <c r="O827" s="175"/>
      <c r="P827" s="175"/>
      <c r="Q827" s="175"/>
      <c r="R827" s="175"/>
      <c r="S827" s="175"/>
      <c r="T827" s="175"/>
      <c r="U827" s="175"/>
      <c r="V827" s="175"/>
      <c r="W827" s="175"/>
      <c r="X827" s="175"/>
      <c r="Y827" s="175"/>
      <c r="Z827" s="175"/>
      <c r="AA827" s="175"/>
      <c r="AB827" s="175"/>
      <c r="AC827" s="175"/>
    </row>
    <row r="828" spans="1:29" ht="12.75">
      <c r="A828" s="175"/>
      <c r="B828" s="175"/>
      <c r="C828" s="175"/>
      <c r="D828" s="175"/>
      <c r="E828" s="175"/>
      <c r="F828" s="175"/>
      <c r="G828" s="175"/>
      <c r="H828" s="175"/>
      <c r="I828" s="175"/>
      <c r="J828" s="175"/>
      <c r="K828" s="175"/>
      <c r="L828" s="175"/>
      <c r="M828" s="175"/>
      <c r="N828" s="175"/>
      <c r="O828" s="175"/>
      <c r="P828" s="175"/>
      <c r="Q828" s="175"/>
      <c r="R828" s="175"/>
      <c r="S828" s="175"/>
      <c r="T828" s="175"/>
      <c r="U828" s="175"/>
      <c r="V828" s="175"/>
      <c r="W828" s="175"/>
      <c r="X828" s="175"/>
      <c r="Y828" s="175"/>
      <c r="Z828" s="175"/>
      <c r="AA828" s="175"/>
      <c r="AB828" s="175"/>
      <c r="AC828" s="175"/>
    </row>
    <row r="829" spans="1:29" ht="12.75">
      <c r="A829" s="175"/>
      <c r="B829" s="175"/>
      <c r="C829" s="175"/>
      <c r="D829" s="175"/>
      <c r="E829" s="175"/>
      <c r="F829" s="175"/>
      <c r="G829" s="175"/>
      <c r="H829" s="175"/>
      <c r="I829" s="175"/>
      <c r="J829" s="175"/>
      <c r="K829" s="175"/>
      <c r="L829" s="175"/>
      <c r="M829" s="175"/>
      <c r="N829" s="175"/>
      <c r="O829" s="175"/>
      <c r="P829" s="175"/>
      <c r="Q829" s="175"/>
      <c r="R829" s="175"/>
      <c r="S829" s="175"/>
      <c r="T829" s="175"/>
      <c r="U829" s="175"/>
      <c r="V829" s="175"/>
      <c r="W829" s="175"/>
      <c r="X829" s="175"/>
      <c r="Y829" s="175"/>
      <c r="Z829" s="175"/>
      <c r="AA829" s="175"/>
      <c r="AB829" s="175"/>
      <c r="AC829" s="175"/>
    </row>
    <row r="830" spans="1:29" ht="12.75">
      <c r="A830" s="175"/>
      <c r="B830" s="175"/>
      <c r="C830" s="175"/>
      <c r="D830" s="175"/>
      <c r="E830" s="175"/>
      <c r="F830" s="175"/>
      <c r="G830" s="175"/>
      <c r="H830" s="175"/>
      <c r="I830" s="175"/>
      <c r="J830" s="175"/>
      <c r="K830" s="175"/>
      <c r="L830" s="175"/>
      <c r="M830" s="175"/>
      <c r="N830" s="175"/>
      <c r="O830" s="175"/>
      <c r="P830" s="175"/>
      <c r="Q830" s="175"/>
      <c r="R830" s="175"/>
      <c r="S830" s="175"/>
      <c r="T830" s="175"/>
      <c r="U830" s="175"/>
      <c r="V830" s="175"/>
      <c r="W830" s="175"/>
      <c r="X830" s="175"/>
      <c r="Y830" s="175"/>
      <c r="Z830" s="175"/>
      <c r="AA830" s="175"/>
      <c r="AB830" s="175"/>
      <c r="AC830" s="175"/>
    </row>
    <row r="831" spans="1:29" ht="12.75">
      <c r="A831" s="175"/>
      <c r="B831" s="175"/>
      <c r="C831" s="175"/>
      <c r="D831" s="175"/>
      <c r="E831" s="175"/>
      <c r="F831" s="175"/>
      <c r="G831" s="175"/>
      <c r="H831" s="175"/>
      <c r="I831" s="175"/>
      <c r="J831" s="175"/>
      <c r="K831" s="175"/>
      <c r="L831" s="175"/>
      <c r="M831" s="175"/>
      <c r="N831" s="175"/>
      <c r="O831" s="175"/>
      <c r="P831" s="175"/>
      <c r="Q831" s="175"/>
      <c r="R831" s="175"/>
      <c r="S831" s="175"/>
      <c r="T831" s="175"/>
      <c r="U831" s="175"/>
      <c r="V831" s="175"/>
      <c r="W831" s="175"/>
      <c r="X831" s="175"/>
      <c r="Y831" s="175"/>
      <c r="Z831" s="175"/>
      <c r="AA831" s="175"/>
      <c r="AB831" s="175"/>
      <c r="AC831" s="175"/>
    </row>
    <row r="832" spans="1:29" ht="12.75">
      <c r="A832" s="175"/>
      <c r="B832" s="175"/>
      <c r="C832" s="175"/>
      <c r="D832" s="175"/>
      <c r="E832" s="175"/>
      <c r="F832" s="175"/>
      <c r="G832" s="175"/>
      <c r="H832" s="175"/>
      <c r="I832" s="175"/>
      <c r="J832" s="175"/>
      <c r="K832" s="175"/>
      <c r="L832" s="175"/>
      <c r="M832" s="175"/>
      <c r="N832" s="175"/>
      <c r="O832" s="175"/>
      <c r="P832" s="175"/>
      <c r="Q832" s="175"/>
      <c r="R832" s="175"/>
      <c r="S832" s="175"/>
      <c r="T832" s="175"/>
      <c r="U832" s="175"/>
      <c r="V832" s="175"/>
      <c r="W832" s="175"/>
      <c r="X832" s="175"/>
      <c r="Y832" s="175"/>
      <c r="Z832" s="175"/>
      <c r="AA832" s="175"/>
      <c r="AB832" s="175"/>
      <c r="AC832" s="175"/>
    </row>
    <row r="833" spans="1:29" ht="12.75">
      <c r="A833" s="175"/>
      <c r="B833" s="175"/>
      <c r="C833" s="175"/>
      <c r="D833" s="175"/>
      <c r="E833" s="175"/>
      <c r="F833" s="175"/>
      <c r="G833" s="175"/>
      <c r="H833" s="175"/>
      <c r="I833" s="175"/>
      <c r="J833" s="175"/>
      <c r="K833" s="175"/>
      <c r="L833" s="175"/>
      <c r="M833" s="175"/>
      <c r="N833" s="175"/>
      <c r="O833" s="175"/>
      <c r="P833" s="175"/>
      <c r="Q833" s="175"/>
      <c r="R833" s="175"/>
      <c r="S833" s="175"/>
      <c r="T833" s="175"/>
      <c r="U833" s="175"/>
      <c r="V833" s="175"/>
      <c r="W833" s="175"/>
      <c r="X833" s="175"/>
      <c r="Y833" s="175"/>
      <c r="Z833" s="175"/>
      <c r="AA833" s="175"/>
      <c r="AB833" s="175"/>
      <c r="AC833" s="175"/>
    </row>
    <row r="834" spans="1:29" ht="12.75">
      <c r="A834" s="175"/>
      <c r="B834" s="175"/>
      <c r="C834" s="175"/>
      <c r="D834" s="175"/>
      <c r="E834" s="175"/>
      <c r="F834" s="175"/>
      <c r="G834" s="175"/>
      <c r="H834" s="175"/>
      <c r="I834" s="175"/>
      <c r="J834" s="175"/>
      <c r="K834" s="175"/>
      <c r="L834" s="175"/>
      <c r="M834" s="175"/>
      <c r="N834" s="175"/>
      <c r="O834" s="175"/>
      <c r="P834" s="175"/>
      <c r="Q834" s="175"/>
      <c r="R834" s="175"/>
      <c r="S834" s="175"/>
      <c r="T834" s="175"/>
      <c r="U834" s="175"/>
      <c r="V834" s="175"/>
      <c r="W834" s="175"/>
      <c r="X834" s="175"/>
      <c r="Y834" s="175"/>
      <c r="Z834" s="175"/>
      <c r="AA834" s="175"/>
      <c r="AB834" s="175"/>
      <c r="AC834" s="175"/>
    </row>
    <row r="835" spans="1:29" ht="12.75">
      <c r="A835" s="175"/>
      <c r="B835" s="175"/>
      <c r="C835" s="175"/>
      <c r="D835" s="175"/>
      <c r="E835" s="175"/>
      <c r="F835" s="175"/>
      <c r="G835" s="175"/>
      <c r="H835" s="175"/>
      <c r="I835" s="175"/>
      <c r="J835" s="175"/>
      <c r="K835" s="175"/>
      <c r="L835" s="175"/>
      <c r="M835" s="175"/>
      <c r="N835" s="175"/>
      <c r="O835" s="175"/>
      <c r="P835" s="175"/>
      <c r="Q835" s="175"/>
      <c r="R835" s="175"/>
      <c r="S835" s="175"/>
      <c r="T835" s="175"/>
      <c r="U835" s="175"/>
      <c r="V835" s="175"/>
      <c r="W835" s="175"/>
      <c r="X835" s="175"/>
      <c r="Y835" s="175"/>
      <c r="Z835" s="175"/>
      <c r="AA835" s="175"/>
      <c r="AB835" s="175"/>
      <c r="AC835" s="175"/>
    </row>
    <row r="836" spans="1:29" ht="12.75">
      <c r="A836" s="175"/>
      <c r="B836" s="175"/>
      <c r="C836" s="175"/>
      <c r="D836" s="175"/>
      <c r="E836" s="175"/>
      <c r="F836" s="175"/>
      <c r="G836" s="175"/>
      <c r="H836" s="175"/>
      <c r="I836" s="175"/>
      <c r="J836" s="175"/>
      <c r="K836" s="175"/>
      <c r="L836" s="175"/>
      <c r="M836" s="175"/>
      <c r="N836" s="175"/>
      <c r="O836" s="175"/>
      <c r="P836" s="175"/>
      <c r="Q836" s="175"/>
      <c r="R836" s="175"/>
      <c r="S836" s="175"/>
      <c r="T836" s="175"/>
      <c r="U836" s="175"/>
      <c r="V836" s="175"/>
      <c r="W836" s="175"/>
      <c r="X836" s="175"/>
      <c r="Y836" s="175"/>
      <c r="Z836" s="175"/>
      <c r="AA836" s="175"/>
      <c r="AB836" s="175"/>
      <c r="AC836" s="175"/>
    </row>
    <row r="837" spans="1:29" ht="12.75">
      <c r="A837" s="175"/>
      <c r="B837" s="175"/>
      <c r="C837" s="175"/>
      <c r="D837" s="175"/>
      <c r="E837" s="175"/>
      <c r="F837" s="175"/>
      <c r="G837" s="175"/>
      <c r="H837" s="175"/>
      <c r="I837" s="175"/>
      <c r="J837" s="175"/>
      <c r="K837" s="175"/>
      <c r="L837" s="175"/>
      <c r="M837" s="175"/>
      <c r="N837" s="175"/>
      <c r="O837" s="175"/>
      <c r="P837" s="175"/>
      <c r="Q837" s="175"/>
      <c r="R837" s="175"/>
      <c r="S837" s="175"/>
      <c r="T837" s="175"/>
      <c r="U837" s="175"/>
      <c r="V837" s="175"/>
      <c r="W837" s="175"/>
      <c r="X837" s="175"/>
      <c r="Y837" s="175"/>
      <c r="Z837" s="175"/>
      <c r="AA837" s="175"/>
      <c r="AB837" s="175"/>
      <c r="AC837" s="175"/>
    </row>
    <row r="838" spans="1:29" ht="12.75">
      <c r="A838" s="175"/>
      <c r="B838" s="175"/>
      <c r="C838" s="175"/>
      <c r="D838" s="175"/>
      <c r="E838" s="175"/>
      <c r="F838" s="175"/>
      <c r="G838" s="175"/>
      <c r="H838" s="175"/>
      <c r="I838" s="175"/>
      <c r="J838" s="175"/>
      <c r="K838" s="175"/>
      <c r="L838" s="175"/>
      <c r="M838" s="175"/>
      <c r="N838" s="175"/>
      <c r="O838" s="175"/>
      <c r="P838" s="175"/>
      <c r="Q838" s="175"/>
      <c r="R838" s="175"/>
      <c r="S838" s="175"/>
      <c r="T838" s="175"/>
      <c r="U838" s="175"/>
      <c r="V838" s="175"/>
      <c r="W838" s="175"/>
      <c r="X838" s="175"/>
      <c r="Y838" s="175"/>
      <c r="Z838" s="175"/>
      <c r="AA838" s="175"/>
      <c r="AB838" s="175"/>
      <c r="AC838" s="175"/>
    </row>
    <row r="839" spans="1:29" ht="12.75">
      <c r="A839" s="175"/>
      <c r="B839" s="175"/>
      <c r="C839" s="175"/>
      <c r="D839" s="175"/>
      <c r="E839" s="175"/>
      <c r="F839" s="175"/>
      <c r="G839" s="175"/>
      <c r="H839" s="175"/>
      <c r="I839" s="175"/>
      <c r="J839" s="175"/>
      <c r="K839" s="175"/>
      <c r="L839" s="175"/>
      <c r="M839" s="175"/>
      <c r="N839" s="175"/>
      <c r="O839" s="175"/>
      <c r="P839" s="175"/>
      <c r="Q839" s="175"/>
      <c r="R839" s="175"/>
      <c r="S839" s="175"/>
      <c r="T839" s="175"/>
      <c r="U839" s="175"/>
      <c r="V839" s="175"/>
      <c r="W839" s="175"/>
      <c r="X839" s="175"/>
      <c r="Y839" s="175"/>
      <c r="Z839" s="175"/>
      <c r="AA839" s="175"/>
      <c r="AB839" s="175"/>
      <c r="AC839" s="175"/>
    </row>
    <row r="840" spans="1:29" ht="12.75">
      <c r="A840" s="175"/>
      <c r="B840" s="175"/>
      <c r="C840" s="175"/>
      <c r="D840" s="175"/>
      <c r="E840" s="175"/>
      <c r="F840" s="175"/>
      <c r="G840" s="175"/>
      <c r="H840" s="175"/>
      <c r="I840" s="175"/>
      <c r="J840" s="175"/>
      <c r="K840" s="175"/>
      <c r="L840" s="175"/>
      <c r="M840" s="175"/>
      <c r="N840" s="175"/>
      <c r="O840" s="175"/>
      <c r="P840" s="175"/>
      <c r="Q840" s="175"/>
      <c r="R840" s="175"/>
      <c r="S840" s="175"/>
      <c r="T840" s="175"/>
      <c r="U840" s="175"/>
      <c r="V840" s="175"/>
      <c r="W840" s="175"/>
      <c r="X840" s="175"/>
      <c r="Y840" s="175"/>
      <c r="Z840" s="175"/>
      <c r="AA840" s="175"/>
      <c r="AB840" s="175"/>
      <c r="AC840" s="175"/>
    </row>
    <row r="841" spans="1:29" ht="12.75">
      <c r="A841" s="175"/>
      <c r="B841" s="175"/>
      <c r="C841" s="175"/>
      <c r="D841" s="175"/>
      <c r="E841" s="175"/>
      <c r="F841" s="175"/>
      <c r="G841" s="175"/>
      <c r="H841" s="175"/>
      <c r="I841" s="175"/>
      <c r="J841" s="175"/>
      <c r="K841" s="175"/>
      <c r="L841" s="175"/>
      <c r="M841" s="175"/>
      <c r="N841" s="175"/>
      <c r="O841" s="175"/>
      <c r="P841" s="175"/>
      <c r="Q841" s="175"/>
      <c r="R841" s="175"/>
      <c r="S841" s="175"/>
      <c r="T841" s="175"/>
      <c r="U841" s="175"/>
      <c r="V841" s="175"/>
      <c r="W841" s="175"/>
      <c r="X841" s="175"/>
      <c r="Y841" s="175"/>
      <c r="Z841" s="175"/>
      <c r="AA841" s="175"/>
      <c r="AB841" s="175"/>
      <c r="AC841" s="175"/>
    </row>
    <row r="842" spans="1:29" ht="12.75">
      <c r="A842" s="175"/>
      <c r="B842" s="175"/>
      <c r="C842" s="175"/>
      <c r="D842" s="175"/>
      <c r="E842" s="175"/>
      <c r="F842" s="175"/>
      <c r="G842" s="175"/>
      <c r="H842" s="175"/>
      <c r="I842" s="175"/>
      <c r="J842" s="175"/>
      <c r="K842" s="175"/>
      <c r="L842" s="175"/>
      <c r="M842" s="175"/>
      <c r="N842" s="175"/>
      <c r="O842" s="175"/>
      <c r="P842" s="175"/>
      <c r="Q842" s="175"/>
      <c r="R842" s="175"/>
      <c r="S842" s="175"/>
      <c r="T842" s="175"/>
      <c r="U842" s="175"/>
      <c r="V842" s="175"/>
      <c r="W842" s="175"/>
      <c r="X842" s="175"/>
      <c r="Y842" s="175"/>
      <c r="Z842" s="175"/>
      <c r="AA842" s="175"/>
      <c r="AB842" s="175"/>
      <c r="AC842" s="175"/>
    </row>
    <row r="843" spans="1:29" ht="12.75">
      <c r="A843" s="175"/>
      <c r="B843" s="175"/>
      <c r="C843" s="175"/>
      <c r="D843" s="175"/>
      <c r="E843" s="175"/>
      <c r="F843" s="175"/>
      <c r="G843" s="175"/>
      <c r="H843" s="175"/>
      <c r="I843" s="175"/>
      <c r="J843" s="175"/>
      <c r="K843" s="175"/>
      <c r="L843" s="175"/>
      <c r="M843" s="175"/>
      <c r="N843" s="175"/>
      <c r="O843" s="175"/>
      <c r="P843" s="175"/>
      <c r="Q843" s="175"/>
      <c r="R843" s="175"/>
      <c r="S843" s="175"/>
      <c r="T843" s="175"/>
      <c r="U843" s="175"/>
      <c r="V843" s="175"/>
      <c r="W843" s="175"/>
      <c r="X843" s="175"/>
      <c r="Y843" s="175"/>
      <c r="Z843" s="175"/>
      <c r="AA843" s="175"/>
      <c r="AB843" s="175"/>
      <c r="AC843" s="175"/>
    </row>
    <row r="844" spans="1:29" ht="12.75">
      <c r="A844" s="175"/>
      <c r="B844" s="175"/>
      <c r="C844" s="175"/>
      <c r="D844" s="175"/>
      <c r="E844" s="175"/>
      <c r="F844" s="175"/>
      <c r="G844" s="175"/>
      <c r="H844" s="175"/>
      <c r="I844" s="175"/>
      <c r="J844" s="175"/>
      <c r="K844" s="175"/>
      <c r="L844" s="175"/>
      <c r="M844" s="175"/>
      <c r="N844" s="175"/>
      <c r="O844" s="175"/>
      <c r="P844" s="175"/>
      <c r="Q844" s="175"/>
      <c r="R844" s="175"/>
      <c r="S844" s="175"/>
      <c r="T844" s="175"/>
      <c r="U844" s="175"/>
      <c r="V844" s="175"/>
      <c r="W844" s="175"/>
      <c r="X844" s="175"/>
      <c r="Y844" s="175"/>
      <c r="Z844" s="175"/>
      <c r="AA844" s="175"/>
      <c r="AB844" s="175"/>
      <c r="AC844" s="175"/>
    </row>
    <row r="845" spans="1:29" ht="12.75">
      <c r="A845" s="175"/>
      <c r="B845" s="175"/>
      <c r="C845" s="175"/>
      <c r="D845" s="175"/>
      <c r="E845" s="175"/>
      <c r="F845" s="175"/>
      <c r="G845" s="175"/>
      <c r="H845" s="175"/>
      <c r="I845" s="175"/>
      <c r="J845" s="175"/>
      <c r="K845" s="175"/>
      <c r="L845" s="175"/>
      <c r="M845" s="175"/>
      <c r="N845" s="175"/>
      <c r="O845" s="175"/>
      <c r="P845" s="175"/>
      <c r="Q845" s="175"/>
      <c r="R845" s="175"/>
      <c r="S845" s="175"/>
      <c r="T845" s="175"/>
      <c r="U845" s="175"/>
      <c r="V845" s="175"/>
      <c r="W845" s="175"/>
      <c r="X845" s="175"/>
      <c r="Y845" s="175"/>
      <c r="Z845" s="175"/>
      <c r="AA845" s="175"/>
      <c r="AB845" s="175"/>
      <c r="AC845" s="175"/>
    </row>
    <row r="846" spans="1:29" ht="12.75">
      <c r="A846" s="175"/>
      <c r="B846" s="175"/>
      <c r="C846" s="175"/>
      <c r="D846" s="175"/>
      <c r="E846" s="175"/>
      <c r="F846" s="175"/>
      <c r="G846" s="175"/>
      <c r="H846" s="175"/>
      <c r="I846" s="175"/>
      <c r="J846" s="175"/>
      <c r="K846" s="175"/>
      <c r="L846" s="175"/>
      <c r="M846" s="175"/>
      <c r="N846" s="175"/>
      <c r="O846" s="175"/>
      <c r="P846" s="175"/>
      <c r="Q846" s="175"/>
      <c r="R846" s="175"/>
      <c r="S846" s="175"/>
      <c r="T846" s="175"/>
      <c r="U846" s="175"/>
      <c r="V846" s="175"/>
      <c r="W846" s="175"/>
      <c r="X846" s="175"/>
      <c r="Y846" s="175"/>
      <c r="Z846" s="175"/>
      <c r="AA846" s="175"/>
      <c r="AB846" s="175"/>
      <c r="AC846" s="175"/>
    </row>
    <row r="847" spans="1:29" ht="12.75">
      <c r="A847" s="175"/>
      <c r="B847" s="175"/>
      <c r="C847" s="175"/>
      <c r="D847" s="175"/>
      <c r="E847" s="175"/>
      <c r="F847" s="175"/>
      <c r="G847" s="175"/>
      <c r="H847" s="175"/>
      <c r="I847" s="175"/>
      <c r="J847" s="175"/>
      <c r="K847" s="175"/>
      <c r="L847" s="175"/>
      <c r="M847" s="175"/>
      <c r="N847" s="175"/>
      <c r="O847" s="175"/>
      <c r="P847" s="175"/>
      <c r="Q847" s="175"/>
      <c r="R847" s="175"/>
      <c r="S847" s="175"/>
      <c r="T847" s="175"/>
      <c r="U847" s="175"/>
      <c r="V847" s="175"/>
      <c r="W847" s="175"/>
      <c r="X847" s="175"/>
      <c r="Y847" s="175"/>
      <c r="Z847" s="175"/>
      <c r="AA847" s="175"/>
      <c r="AB847" s="175"/>
      <c r="AC847" s="175"/>
    </row>
    <row r="848" spans="1:29" ht="12.75">
      <c r="A848" s="175"/>
      <c r="B848" s="175"/>
      <c r="C848" s="175"/>
      <c r="D848" s="175"/>
      <c r="E848" s="175"/>
      <c r="F848" s="175"/>
      <c r="G848" s="175"/>
      <c r="H848" s="175"/>
      <c r="I848" s="175"/>
      <c r="J848" s="175"/>
      <c r="K848" s="175"/>
      <c r="L848" s="175"/>
      <c r="M848" s="175"/>
      <c r="N848" s="175"/>
      <c r="O848" s="175"/>
      <c r="P848" s="175"/>
      <c r="Q848" s="175"/>
      <c r="R848" s="175"/>
      <c r="S848" s="175"/>
      <c r="T848" s="175"/>
      <c r="U848" s="175"/>
      <c r="V848" s="175"/>
      <c r="W848" s="175"/>
      <c r="X848" s="175"/>
      <c r="Y848" s="175"/>
      <c r="Z848" s="175"/>
      <c r="AA848" s="175"/>
      <c r="AB848" s="175"/>
      <c r="AC848" s="175"/>
    </row>
    <row r="849" spans="1:29" ht="12.75">
      <c r="A849" s="175"/>
      <c r="B849" s="175"/>
      <c r="C849" s="175"/>
      <c r="D849" s="175"/>
      <c r="E849" s="175"/>
      <c r="F849" s="175"/>
      <c r="G849" s="175"/>
      <c r="H849" s="175"/>
      <c r="I849" s="175"/>
      <c r="J849" s="175"/>
      <c r="K849" s="175"/>
      <c r="L849" s="175"/>
      <c r="M849" s="175"/>
      <c r="N849" s="175"/>
      <c r="O849" s="175"/>
      <c r="P849" s="175"/>
      <c r="Q849" s="175"/>
      <c r="R849" s="175"/>
      <c r="S849" s="175"/>
      <c r="T849" s="175"/>
      <c r="U849" s="175"/>
      <c r="V849" s="175"/>
      <c r="W849" s="175"/>
      <c r="X849" s="175"/>
      <c r="Y849" s="175"/>
      <c r="Z849" s="175"/>
      <c r="AA849" s="175"/>
      <c r="AB849" s="175"/>
      <c r="AC849" s="175"/>
    </row>
    <row r="850" spans="1:29" ht="12.75">
      <c r="A850" s="175"/>
      <c r="B850" s="175"/>
      <c r="C850" s="175"/>
      <c r="D850" s="175"/>
      <c r="E850" s="175"/>
      <c r="F850" s="175"/>
      <c r="G850" s="175"/>
      <c r="H850" s="175"/>
      <c r="I850" s="175"/>
      <c r="J850" s="175"/>
      <c r="K850" s="175"/>
      <c r="L850" s="175"/>
      <c r="M850" s="175"/>
      <c r="N850" s="175"/>
      <c r="O850" s="175"/>
      <c r="P850" s="175"/>
      <c r="Q850" s="175"/>
      <c r="R850" s="175"/>
      <c r="S850" s="175"/>
      <c r="T850" s="175"/>
      <c r="U850" s="175"/>
      <c r="V850" s="175"/>
      <c r="W850" s="175"/>
      <c r="X850" s="175"/>
      <c r="Y850" s="175"/>
      <c r="Z850" s="175"/>
      <c r="AA850" s="175"/>
      <c r="AB850" s="175"/>
      <c r="AC850" s="175"/>
    </row>
    <row r="851" spans="1:29" ht="12.75">
      <c r="A851" s="175"/>
      <c r="B851" s="175"/>
      <c r="C851" s="175"/>
      <c r="D851" s="175"/>
      <c r="E851" s="175"/>
      <c r="F851" s="175"/>
      <c r="G851" s="175"/>
      <c r="H851" s="175"/>
      <c r="I851" s="175"/>
      <c r="J851" s="175"/>
      <c r="K851" s="175"/>
      <c r="L851" s="175"/>
      <c r="M851" s="175"/>
      <c r="N851" s="175"/>
      <c r="O851" s="175"/>
      <c r="P851" s="175"/>
      <c r="Q851" s="175"/>
      <c r="R851" s="175"/>
      <c r="S851" s="175"/>
      <c r="T851" s="175"/>
      <c r="U851" s="175"/>
      <c r="V851" s="175"/>
      <c r="W851" s="175"/>
      <c r="X851" s="175"/>
      <c r="Y851" s="175"/>
      <c r="Z851" s="175"/>
      <c r="AA851" s="175"/>
      <c r="AB851" s="175"/>
      <c r="AC851" s="175"/>
    </row>
    <row r="852" spans="1:29" ht="12.75">
      <c r="A852" s="175"/>
      <c r="B852" s="175"/>
      <c r="C852" s="175"/>
      <c r="D852" s="175"/>
      <c r="E852" s="175"/>
      <c r="F852" s="175"/>
      <c r="G852" s="175"/>
      <c r="H852" s="175"/>
      <c r="I852" s="175"/>
      <c r="J852" s="175"/>
      <c r="K852" s="175"/>
      <c r="L852" s="175"/>
      <c r="M852" s="175"/>
      <c r="N852" s="175"/>
      <c r="O852" s="175"/>
      <c r="P852" s="175"/>
      <c r="Q852" s="175"/>
      <c r="R852" s="175"/>
      <c r="S852" s="175"/>
      <c r="T852" s="175"/>
      <c r="U852" s="175"/>
      <c r="V852" s="175"/>
      <c r="W852" s="175"/>
      <c r="X852" s="175"/>
      <c r="Y852" s="175"/>
      <c r="Z852" s="175"/>
      <c r="AA852" s="175"/>
      <c r="AB852" s="175"/>
      <c r="AC852" s="175"/>
    </row>
    <row r="853" spans="1:29" ht="12.75">
      <c r="A853" s="175"/>
      <c r="B853" s="175"/>
      <c r="C853" s="175"/>
      <c r="D853" s="175"/>
      <c r="E853" s="175"/>
      <c r="F853" s="175"/>
      <c r="G853" s="175"/>
      <c r="H853" s="175"/>
      <c r="I853" s="175"/>
      <c r="J853" s="175"/>
      <c r="K853" s="175"/>
      <c r="L853" s="175"/>
      <c r="M853" s="175"/>
      <c r="N853" s="175"/>
      <c r="O853" s="175"/>
      <c r="P853" s="175"/>
      <c r="Q853" s="175"/>
      <c r="R853" s="175"/>
      <c r="S853" s="175"/>
      <c r="T853" s="175"/>
      <c r="U853" s="175"/>
      <c r="V853" s="175"/>
      <c r="W853" s="175"/>
      <c r="X853" s="175"/>
      <c r="Y853" s="175"/>
      <c r="Z853" s="175"/>
      <c r="AA853" s="175"/>
      <c r="AB853" s="175"/>
      <c r="AC853" s="175"/>
    </row>
    <row r="854" spans="1:29" ht="12.75">
      <c r="A854" s="175"/>
      <c r="B854" s="175"/>
      <c r="C854" s="175"/>
      <c r="D854" s="175"/>
      <c r="E854" s="175"/>
      <c r="F854" s="175"/>
      <c r="G854" s="175"/>
      <c r="H854" s="175"/>
      <c r="I854" s="175"/>
      <c r="J854" s="175"/>
      <c r="K854" s="175"/>
      <c r="L854" s="175"/>
      <c r="M854" s="175"/>
      <c r="N854" s="175"/>
      <c r="O854" s="175"/>
      <c r="P854" s="175"/>
      <c r="Q854" s="175"/>
      <c r="R854" s="175"/>
      <c r="S854" s="175"/>
      <c r="T854" s="175"/>
      <c r="U854" s="175"/>
      <c r="V854" s="175"/>
      <c r="W854" s="175"/>
      <c r="X854" s="175"/>
      <c r="Y854" s="175"/>
      <c r="Z854" s="175"/>
      <c r="AA854" s="175"/>
      <c r="AB854" s="175"/>
      <c r="AC854" s="175"/>
    </row>
    <row r="855" spans="1:29" ht="12.75">
      <c r="A855" s="175"/>
      <c r="B855" s="175"/>
      <c r="C855" s="175"/>
      <c r="D855" s="175"/>
      <c r="E855" s="175"/>
      <c r="F855" s="175"/>
      <c r="G855" s="175"/>
      <c r="H855" s="175"/>
      <c r="I855" s="175"/>
      <c r="J855" s="175"/>
      <c r="K855" s="175"/>
      <c r="L855" s="175"/>
      <c r="M855" s="175"/>
      <c r="N855" s="175"/>
      <c r="O855" s="175"/>
      <c r="P855" s="175"/>
      <c r="Q855" s="175"/>
      <c r="R855" s="175"/>
      <c r="S855" s="175"/>
      <c r="T855" s="175"/>
      <c r="U855" s="175"/>
      <c r="V855" s="175"/>
      <c r="W855" s="175"/>
      <c r="X855" s="175"/>
      <c r="Y855" s="175"/>
      <c r="Z855" s="175"/>
      <c r="AA855" s="175"/>
      <c r="AB855" s="175"/>
      <c r="AC855" s="175"/>
    </row>
    <row r="856" spans="1:29" ht="12.75">
      <c r="A856" s="175"/>
      <c r="B856" s="175"/>
      <c r="C856" s="175"/>
      <c r="D856" s="175"/>
      <c r="E856" s="175"/>
      <c r="F856" s="175"/>
      <c r="G856" s="175"/>
      <c r="H856" s="175"/>
      <c r="I856" s="175"/>
      <c r="J856" s="175"/>
      <c r="K856" s="175"/>
      <c r="L856" s="175"/>
      <c r="M856" s="175"/>
      <c r="N856" s="175"/>
      <c r="O856" s="175"/>
      <c r="P856" s="175"/>
      <c r="Q856" s="175"/>
      <c r="R856" s="175"/>
      <c r="S856" s="175"/>
      <c r="T856" s="175"/>
      <c r="U856" s="175"/>
      <c r="V856" s="175"/>
      <c r="W856" s="175"/>
      <c r="X856" s="175"/>
      <c r="Y856" s="175"/>
      <c r="Z856" s="175"/>
      <c r="AA856" s="175"/>
      <c r="AB856" s="175"/>
      <c r="AC856" s="175"/>
    </row>
    <row r="857" spans="1:29" ht="12.75">
      <c r="A857" s="175"/>
      <c r="B857" s="175"/>
      <c r="C857" s="175"/>
      <c r="D857" s="175"/>
      <c r="E857" s="175"/>
      <c r="F857" s="175"/>
      <c r="G857" s="175"/>
      <c r="H857" s="175"/>
      <c r="I857" s="175"/>
      <c r="J857" s="175"/>
      <c r="K857" s="175"/>
      <c r="L857" s="175"/>
      <c r="M857" s="175"/>
      <c r="N857" s="175"/>
      <c r="O857" s="175"/>
      <c r="P857" s="175"/>
      <c r="Q857" s="175"/>
      <c r="R857" s="175"/>
      <c r="S857" s="175"/>
      <c r="T857" s="175"/>
      <c r="U857" s="175"/>
      <c r="V857" s="175"/>
      <c r="W857" s="175"/>
      <c r="X857" s="175"/>
      <c r="Y857" s="175"/>
      <c r="Z857" s="175"/>
      <c r="AA857" s="175"/>
      <c r="AB857" s="175"/>
      <c r="AC857" s="175"/>
    </row>
    <row r="858" spans="1:29" ht="12.75">
      <c r="A858" s="175"/>
      <c r="B858" s="175"/>
      <c r="C858" s="175"/>
      <c r="D858" s="175"/>
      <c r="E858" s="175"/>
      <c r="F858" s="175"/>
      <c r="G858" s="175"/>
      <c r="H858" s="175"/>
      <c r="I858" s="175"/>
      <c r="J858" s="175"/>
      <c r="K858" s="175"/>
      <c r="L858" s="175"/>
      <c r="M858" s="175"/>
      <c r="N858" s="175"/>
      <c r="O858" s="175"/>
      <c r="P858" s="175"/>
      <c r="Q858" s="175"/>
      <c r="R858" s="175"/>
      <c r="S858" s="175"/>
      <c r="T858" s="175"/>
      <c r="U858" s="175"/>
      <c r="V858" s="175"/>
      <c r="W858" s="175"/>
      <c r="X858" s="175"/>
      <c r="Y858" s="175"/>
      <c r="Z858" s="175"/>
      <c r="AA858" s="175"/>
      <c r="AB858" s="175"/>
      <c r="AC858" s="175"/>
    </row>
    <row r="859" spans="1:29" ht="12.75">
      <c r="A859" s="175"/>
      <c r="B859" s="175"/>
      <c r="C859" s="175"/>
      <c r="D859" s="175"/>
      <c r="E859" s="175"/>
      <c r="F859" s="175"/>
      <c r="G859" s="175"/>
      <c r="H859" s="175"/>
      <c r="I859" s="175"/>
      <c r="J859" s="175"/>
      <c r="K859" s="175"/>
      <c r="L859" s="175"/>
      <c r="M859" s="175"/>
      <c r="N859" s="175"/>
      <c r="O859" s="175"/>
      <c r="P859" s="175"/>
      <c r="Q859" s="175"/>
      <c r="R859" s="175"/>
      <c r="S859" s="175"/>
      <c r="T859" s="175"/>
      <c r="U859" s="175"/>
      <c r="V859" s="175"/>
      <c r="W859" s="175"/>
      <c r="X859" s="175"/>
      <c r="Y859" s="175"/>
      <c r="Z859" s="175"/>
      <c r="AA859" s="175"/>
      <c r="AB859" s="175"/>
      <c r="AC859" s="175"/>
    </row>
    <row r="860" spans="1:29" ht="12.75">
      <c r="A860" s="175"/>
      <c r="B860" s="175"/>
      <c r="C860" s="175"/>
      <c r="D860" s="175"/>
      <c r="E860" s="175"/>
      <c r="F860" s="175"/>
      <c r="G860" s="175"/>
      <c r="H860" s="175"/>
      <c r="I860" s="175"/>
      <c r="J860" s="175"/>
      <c r="K860" s="175"/>
      <c r="L860" s="175"/>
      <c r="M860" s="175"/>
      <c r="N860" s="175"/>
      <c r="O860" s="175"/>
      <c r="P860" s="175"/>
      <c r="Q860" s="175"/>
      <c r="R860" s="175"/>
      <c r="S860" s="175"/>
      <c r="T860" s="175"/>
      <c r="U860" s="175"/>
      <c r="V860" s="175"/>
      <c r="W860" s="175"/>
      <c r="X860" s="175"/>
      <c r="Y860" s="175"/>
      <c r="Z860" s="175"/>
      <c r="AA860" s="175"/>
      <c r="AB860" s="175"/>
      <c r="AC860" s="175"/>
    </row>
    <row r="861" spans="1:29" ht="12.75">
      <c r="A861" s="175"/>
      <c r="B861" s="175"/>
      <c r="C861" s="175"/>
      <c r="D861" s="175"/>
      <c r="E861" s="175"/>
      <c r="F861" s="175"/>
      <c r="G861" s="175"/>
      <c r="H861" s="175"/>
      <c r="I861" s="175"/>
      <c r="J861" s="175"/>
      <c r="K861" s="175"/>
      <c r="L861" s="175"/>
      <c r="M861" s="175"/>
      <c r="N861" s="175"/>
      <c r="O861" s="175"/>
      <c r="P861" s="175"/>
      <c r="Q861" s="175"/>
      <c r="R861" s="175"/>
      <c r="S861" s="175"/>
      <c r="T861" s="175"/>
      <c r="U861" s="175"/>
      <c r="V861" s="175"/>
      <c r="W861" s="175"/>
      <c r="X861" s="175"/>
      <c r="Y861" s="175"/>
      <c r="Z861" s="175"/>
      <c r="AA861" s="175"/>
      <c r="AB861" s="175"/>
      <c r="AC861" s="175"/>
    </row>
    <row r="862" spans="1:29" ht="12.75">
      <c r="A862" s="175"/>
      <c r="B862" s="175"/>
      <c r="C862" s="175"/>
      <c r="D862" s="175"/>
      <c r="E862" s="175"/>
      <c r="F862" s="175"/>
      <c r="G862" s="175"/>
      <c r="H862" s="175"/>
      <c r="I862" s="175"/>
      <c r="J862" s="175"/>
      <c r="K862" s="175"/>
      <c r="L862" s="175"/>
      <c r="M862" s="175"/>
      <c r="N862" s="175"/>
      <c r="O862" s="175"/>
      <c r="P862" s="175"/>
      <c r="Q862" s="175"/>
      <c r="R862" s="175"/>
      <c r="S862" s="175"/>
      <c r="T862" s="175"/>
      <c r="U862" s="175"/>
      <c r="V862" s="175"/>
      <c r="W862" s="175"/>
      <c r="X862" s="175"/>
      <c r="Y862" s="175"/>
      <c r="Z862" s="175"/>
      <c r="AA862" s="175"/>
      <c r="AB862" s="175"/>
      <c r="AC862" s="175"/>
    </row>
    <row r="863" spans="1:29" ht="12.75">
      <c r="A863" s="175"/>
      <c r="B863" s="175"/>
      <c r="C863" s="175"/>
      <c r="D863" s="175"/>
      <c r="E863" s="175"/>
      <c r="F863" s="175"/>
      <c r="G863" s="175"/>
      <c r="H863" s="175"/>
      <c r="I863" s="175"/>
      <c r="J863" s="175"/>
      <c r="K863" s="175"/>
      <c r="L863" s="175"/>
      <c r="M863" s="175"/>
      <c r="N863" s="175"/>
      <c r="O863" s="175"/>
      <c r="P863" s="175"/>
      <c r="Q863" s="175"/>
      <c r="R863" s="175"/>
      <c r="S863" s="175"/>
      <c r="T863" s="175"/>
      <c r="U863" s="175"/>
      <c r="V863" s="175"/>
      <c r="W863" s="175"/>
      <c r="X863" s="175"/>
      <c r="Y863" s="175"/>
      <c r="Z863" s="175"/>
      <c r="AA863" s="175"/>
      <c r="AB863" s="175"/>
      <c r="AC863" s="175"/>
    </row>
    <row r="864" spans="1:29" ht="12.75">
      <c r="A864" s="175"/>
      <c r="B864" s="175"/>
      <c r="C864" s="175"/>
      <c r="D864" s="175"/>
      <c r="E864" s="175"/>
      <c r="F864" s="175"/>
      <c r="G864" s="175"/>
      <c r="H864" s="175"/>
      <c r="I864" s="175"/>
      <c r="J864" s="175"/>
      <c r="K864" s="175"/>
      <c r="L864" s="175"/>
      <c r="M864" s="175"/>
      <c r="N864" s="175"/>
      <c r="O864" s="175"/>
      <c r="P864" s="175"/>
      <c r="Q864" s="175"/>
      <c r="R864" s="175"/>
      <c r="S864" s="175"/>
      <c r="T864" s="175"/>
      <c r="U864" s="175"/>
      <c r="V864" s="175"/>
      <c r="W864" s="175"/>
      <c r="X864" s="175"/>
      <c r="Y864" s="175"/>
      <c r="Z864" s="175"/>
      <c r="AA864" s="175"/>
      <c r="AB864" s="175"/>
      <c r="AC864" s="175"/>
    </row>
    <row r="865" spans="1:29" ht="12.75">
      <c r="A865" s="175"/>
      <c r="B865" s="175"/>
      <c r="C865" s="175"/>
      <c r="D865" s="175"/>
      <c r="E865" s="175"/>
      <c r="F865" s="175"/>
      <c r="G865" s="175"/>
      <c r="H865" s="175"/>
      <c r="I865" s="175"/>
      <c r="J865" s="175"/>
      <c r="K865" s="175"/>
      <c r="L865" s="175"/>
      <c r="M865" s="175"/>
      <c r="N865" s="175"/>
      <c r="O865" s="175"/>
      <c r="P865" s="175"/>
      <c r="Q865" s="175"/>
      <c r="R865" s="175"/>
      <c r="S865" s="175"/>
      <c r="T865" s="175"/>
      <c r="U865" s="175"/>
      <c r="V865" s="175"/>
      <c r="W865" s="175"/>
      <c r="X865" s="175"/>
      <c r="Y865" s="175"/>
      <c r="Z865" s="175"/>
      <c r="AA865" s="175"/>
      <c r="AB865" s="175"/>
      <c r="AC865" s="175"/>
    </row>
    <row r="866" spans="1:29" ht="12.75">
      <c r="A866" s="175"/>
      <c r="B866" s="175"/>
      <c r="C866" s="175"/>
      <c r="D866" s="175"/>
      <c r="E866" s="175"/>
      <c r="F866" s="175"/>
      <c r="G866" s="175"/>
      <c r="H866" s="175"/>
      <c r="I866" s="175"/>
      <c r="J866" s="175"/>
      <c r="K866" s="175"/>
      <c r="L866" s="175"/>
      <c r="M866" s="175"/>
      <c r="N866" s="175"/>
      <c r="O866" s="175"/>
      <c r="P866" s="175"/>
      <c r="Q866" s="175"/>
      <c r="R866" s="175"/>
      <c r="S866" s="175"/>
      <c r="T866" s="175"/>
      <c r="U866" s="175"/>
      <c r="V866" s="175"/>
      <c r="W866" s="175"/>
      <c r="X866" s="175"/>
      <c r="Y866" s="175"/>
      <c r="Z866" s="175"/>
      <c r="AA866" s="175"/>
      <c r="AB866" s="175"/>
      <c r="AC866" s="175"/>
    </row>
    <row r="867" spans="1:29" ht="12.75">
      <c r="A867" s="175"/>
      <c r="B867" s="175"/>
      <c r="C867" s="175"/>
      <c r="D867" s="175"/>
      <c r="E867" s="175"/>
      <c r="F867" s="175"/>
      <c r="G867" s="175"/>
      <c r="H867" s="175"/>
      <c r="I867" s="175"/>
      <c r="J867" s="175"/>
      <c r="K867" s="175"/>
      <c r="L867" s="175"/>
      <c r="M867" s="175"/>
      <c r="N867" s="175"/>
      <c r="O867" s="175"/>
      <c r="P867" s="175"/>
      <c r="Q867" s="175"/>
      <c r="R867" s="175"/>
      <c r="S867" s="175"/>
      <c r="T867" s="175"/>
      <c r="U867" s="175"/>
      <c r="V867" s="175"/>
      <c r="W867" s="175"/>
      <c r="X867" s="175"/>
      <c r="Y867" s="175"/>
      <c r="Z867" s="175"/>
      <c r="AA867" s="175"/>
      <c r="AB867" s="175"/>
      <c r="AC867" s="175"/>
    </row>
    <row r="868" spans="1:29" ht="12.75">
      <c r="A868" s="175"/>
      <c r="B868" s="175"/>
      <c r="C868" s="175"/>
      <c r="D868" s="175"/>
      <c r="E868" s="175"/>
      <c r="F868" s="175"/>
      <c r="G868" s="175"/>
      <c r="H868" s="175"/>
      <c r="I868" s="175"/>
      <c r="J868" s="175"/>
      <c r="K868" s="175"/>
      <c r="L868" s="175"/>
      <c r="M868" s="175"/>
      <c r="N868" s="175"/>
      <c r="O868" s="175"/>
      <c r="P868" s="175"/>
      <c r="Q868" s="175"/>
      <c r="R868" s="175"/>
      <c r="S868" s="175"/>
      <c r="T868" s="175"/>
      <c r="U868" s="175"/>
      <c r="V868" s="175"/>
      <c r="W868" s="175"/>
      <c r="X868" s="175"/>
      <c r="Y868" s="175"/>
      <c r="Z868" s="175"/>
      <c r="AA868" s="175"/>
      <c r="AB868" s="175"/>
      <c r="AC868" s="175"/>
    </row>
    <row r="869" spans="1:29" ht="12.75">
      <c r="A869" s="175"/>
      <c r="B869" s="175"/>
      <c r="C869" s="175"/>
      <c r="D869" s="175"/>
      <c r="E869" s="175"/>
      <c r="F869" s="175"/>
      <c r="G869" s="175"/>
      <c r="H869" s="175"/>
      <c r="I869" s="175"/>
      <c r="J869" s="175"/>
      <c r="K869" s="175"/>
      <c r="L869" s="175"/>
      <c r="M869" s="175"/>
      <c r="N869" s="175"/>
      <c r="O869" s="175"/>
      <c r="P869" s="175"/>
      <c r="Q869" s="175"/>
      <c r="R869" s="175"/>
      <c r="S869" s="175"/>
      <c r="T869" s="175"/>
      <c r="U869" s="175"/>
      <c r="V869" s="175"/>
      <c r="W869" s="175"/>
      <c r="X869" s="175"/>
      <c r="Y869" s="175"/>
      <c r="Z869" s="175"/>
      <c r="AA869" s="175"/>
      <c r="AB869" s="175"/>
      <c r="AC869" s="175"/>
    </row>
    <row r="870" spans="1:29" ht="12.75">
      <c r="A870" s="175"/>
      <c r="B870" s="175"/>
      <c r="C870" s="175"/>
      <c r="D870" s="175"/>
      <c r="E870" s="175"/>
      <c r="F870" s="175"/>
      <c r="G870" s="175"/>
      <c r="H870" s="175"/>
      <c r="I870" s="175"/>
      <c r="J870" s="175"/>
      <c r="K870" s="175"/>
      <c r="L870" s="175"/>
      <c r="M870" s="175"/>
      <c r="N870" s="175"/>
      <c r="O870" s="175"/>
      <c r="P870" s="175"/>
      <c r="Q870" s="175"/>
      <c r="R870" s="175"/>
      <c r="S870" s="175"/>
      <c r="T870" s="175"/>
      <c r="U870" s="175"/>
      <c r="V870" s="175"/>
      <c r="W870" s="175"/>
      <c r="X870" s="175"/>
      <c r="Y870" s="175"/>
      <c r="Z870" s="175"/>
      <c r="AA870" s="175"/>
      <c r="AB870" s="175"/>
      <c r="AC870" s="175"/>
    </row>
    <row r="871" spans="1:29" ht="12.75">
      <c r="A871" s="175"/>
      <c r="B871" s="175"/>
      <c r="C871" s="175"/>
      <c r="D871" s="175"/>
      <c r="E871" s="175"/>
      <c r="F871" s="175"/>
      <c r="G871" s="175"/>
      <c r="H871" s="175"/>
      <c r="I871" s="175"/>
      <c r="J871" s="175"/>
      <c r="K871" s="175"/>
      <c r="L871" s="175"/>
      <c r="M871" s="175"/>
      <c r="N871" s="175"/>
      <c r="O871" s="175"/>
      <c r="P871" s="175"/>
      <c r="Q871" s="175"/>
      <c r="R871" s="175"/>
      <c r="S871" s="175"/>
      <c r="T871" s="175"/>
      <c r="U871" s="175"/>
      <c r="V871" s="175"/>
      <c r="W871" s="175"/>
      <c r="X871" s="175"/>
      <c r="Y871" s="175"/>
      <c r="Z871" s="175"/>
      <c r="AA871" s="175"/>
      <c r="AB871" s="175"/>
      <c r="AC871" s="175"/>
    </row>
    <row r="872" spans="1:29" ht="12.75">
      <c r="A872" s="175"/>
      <c r="B872" s="175"/>
      <c r="C872" s="175"/>
      <c r="D872" s="175"/>
      <c r="E872" s="175"/>
      <c r="F872" s="175"/>
      <c r="G872" s="175"/>
      <c r="H872" s="175"/>
      <c r="I872" s="175"/>
      <c r="J872" s="175"/>
      <c r="K872" s="175"/>
      <c r="L872" s="175"/>
      <c r="M872" s="175"/>
      <c r="N872" s="175"/>
      <c r="O872" s="175"/>
      <c r="P872" s="175"/>
      <c r="Q872" s="175"/>
      <c r="R872" s="175"/>
      <c r="S872" s="175"/>
      <c r="T872" s="175"/>
      <c r="U872" s="175"/>
      <c r="V872" s="175"/>
      <c r="W872" s="175"/>
      <c r="X872" s="175"/>
      <c r="Y872" s="175"/>
      <c r="Z872" s="175"/>
      <c r="AA872" s="175"/>
      <c r="AB872" s="175"/>
      <c r="AC872" s="175"/>
    </row>
    <row r="873" spans="1:29" ht="12.75">
      <c r="A873" s="175"/>
      <c r="B873" s="175"/>
      <c r="C873" s="175"/>
      <c r="D873" s="175"/>
      <c r="E873" s="175"/>
      <c r="F873" s="175"/>
      <c r="G873" s="175"/>
      <c r="H873" s="175"/>
      <c r="I873" s="175"/>
      <c r="J873" s="175"/>
      <c r="K873" s="175"/>
      <c r="L873" s="175"/>
      <c r="M873" s="175"/>
      <c r="N873" s="175"/>
      <c r="O873" s="175"/>
      <c r="P873" s="175"/>
      <c r="Q873" s="175"/>
      <c r="R873" s="175"/>
      <c r="S873" s="175"/>
      <c r="T873" s="175"/>
      <c r="U873" s="175"/>
      <c r="V873" s="175"/>
      <c r="W873" s="175"/>
      <c r="X873" s="175"/>
      <c r="Y873" s="175"/>
      <c r="Z873" s="175"/>
      <c r="AA873" s="175"/>
      <c r="AB873" s="175"/>
      <c r="AC873" s="175"/>
    </row>
    <row r="874" spans="1:29" ht="12.75">
      <c r="A874" s="175"/>
      <c r="B874" s="175"/>
      <c r="C874" s="175"/>
      <c r="D874" s="175"/>
      <c r="E874" s="175"/>
      <c r="F874" s="175"/>
      <c r="G874" s="175"/>
      <c r="H874" s="175"/>
      <c r="I874" s="175"/>
      <c r="J874" s="175"/>
      <c r="K874" s="175"/>
      <c r="L874" s="175"/>
      <c r="M874" s="175"/>
      <c r="N874" s="175"/>
      <c r="O874" s="175"/>
      <c r="P874" s="175"/>
      <c r="Q874" s="175"/>
      <c r="R874" s="175"/>
      <c r="S874" s="175"/>
      <c r="T874" s="175"/>
      <c r="U874" s="175"/>
      <c r="V874" s="175"/>
      <c r="W874" s="175"/>
      <c r="X874" s="175"/>
      <c r="Y874" s="175"/>
      <c r="Z874" s="175"/>
      <c r="AA874" s="175"/>
      <c r="AB874" s="175"/>
      <c r="AC874" s="175"/>
    </row>
    <row r="875" spans="1:29" ht="12.75">
      <c r="A875" s="175"/>
      <c r="B875" s="175"/>
      <c r="C875" s="175"/>
      <c r="D875" s="175"/>
      <c r="E875" s="175"/>
      <c r="F875" s="175"/>
      <c r="G875" s="175"/>
      <c r="H875" s="175"/>
      <c r="I875" s="175"/>
      <c r="J875" s="175"/>
      <c r="K875" s="175"/>
      <c r="L875" s="175"/>
      <c r="M875" s="175"/>
      <c r="N875" s="175"/>
      <c r="O875" s="175"/>
      <c r="P875" s="175"/>
      <c r="Q875" s="175"/>
      <c r="R875" s="175"/>
      <c r="S875" s="175"/>
      <c r="T875" s="175"/>
      <c r="U875" s="175"/>
      <c r="V875" s="175"/>
      <c r="W875" s="175"/>
      <c r="X875" s="175"/>
      <c r="Y875" s="175"/>
      <c r="Z875" s="175"/>
      <c r="AA875" s="175"/>
      <c r="AB875" s="175"/>
      <c r="AC875" s="175"/>
    </row>
    <row r="876" spans="1:29" ht="12.75">
      <c r="A876" s="175"/>
      <c r="B876" s="175"/>
      <c r="C876" s="175"/>
      <c r="D876" s="175"/>
      <c r="E876" s="175"/>
      <c r="F876" s="175"/>
      <c r="G876" s="175"/>
      <c r="H876" s="175"/>
      <c r="I876" s="175"/>
      <c r="J876" s="175"/>
      <c r="K876" s="175"/>
      <c r="L876" s="175"/>
      <c r="M876" s="175"/>
      <c r="N876" s="175"/>
      <c r="O876" s="175"/>
      <c r="P876" s="175"/>
      <c r="Q876" s="175"/>
      <c r="R876" s="175"/>
      <c r="S876" s="175"/>
      <c r="T876" s="175"/>
      <c r="U876" s="175"/>
      <c r="V876" s="175"/>
      <c r="W876" s="175"/>
      <c r="X876" s="175"/>
      <c r="Y876" s="175"/>
      <c r="Z876" s="175"/>
      <c r="AA876" s="175"/>
      <c r="AB876" s="175"/>
      <c r="AC876" s="175"/>
    </row>
    <row r="877" spans="1:29" ht="12.75">
      <c r="A877" s="175"/>
      <c r="B877" s="175"/>
      <c r="C877" s="175"/>
      <c r="D877" s="175"/>
      <c r="E877" s="175"/>
      <c r="F877" s="175"/>
      <c r="G877" s="175"/>
      <c r="H877" s="175"/>
      <c r="I877" s="175"/>
      <c r="J877" s="175"/>
      <c r="K877" s="175"/>
      <c r="L877" s="175"/>
      <c r="M877" s="175"/>
      <c r="N877" s="175"/>
      <c r="O877" s="175"/>
      <c r="P877" s="175"/>
      <c r="Q877" s="175"/>
      <c r="R877" s="175"/>
      <c r="S877" s="175"/>
      <c r="T877" s="175"/>
      <c r="U877" s="175"/>
      <c r="V877" s="175"/>
      <c r="W877" s="175"/>
      <c r="X877" s="175"/>
      <c r="Y877" s="175"/>
      <c r="Z877" s="175"/>
      <c r="AA877" s="175"/>
      <c r="AB877" s="175"/>
      <c r="AC877" s="175"/>
    </row>
    <row r="878" spans="1:29" ht="12.75">
      <c r="A878" s="175"/>
      <c r="B878" s="175"/>
      <c r="C878" s="175"/>
      <c r="D878" s="175"/>
      <c r="E878" s="175"/>
      <c r="F878" s="175"/>
      <c r="G878" s="175"/>
      <c r="H878" s="175"/>
      <c r="I878" s="175"/>
      <c r="J878" s="175"/>
      <c r="K878" s="175"/>
      <c r="L878" s="175"/>
      <c r="M878" s="175"/>
      <c r="N878" s="175"/>
      <c r="O878" s="175"/>
      <c r="P878" s="175"/>
      <c r="Q878" s="175"/>
      <c r="R878" s="175"/>
      <c r="S878" s="175"/>
      <c r="T878" s="175"/>
      <c r="U878" s="175"/>
      <c r="V878" s="175"/>
      <c r="W878" s="175"/>
      <c r="X878" s="175"/>
      <c r="Y878" s="175"/>
      <c r="Z878" s="175"/>
      <c r="AA878" s="175"/>
      <c r="AB878" s="175"/>
      <c r="AC878" s="175"/>
    </row>
    <row r="879" spans="1:29" ht="12.75">
      <c r="A879" s="175"/>
      <c r="B879" s="175"/>
      <c r="C879" s="175"/>
      <c r="D879" s="175"/>
      <c r="E879" s="175"/>
      <c r="F879" s="175"/>
      <c r="G879" s="175"/>
      <c r="H879" s="175"/>
      <c r="I879" s="175"/>
      <c r="J879" s="175"/>
      <c r="K879" s="175"/>
      <c r="L879" s="175"/>
      <c r="M879" s="175"/>
      <c r="N879" s="175"/>
      <c r="O879" s="175"/>
      <c r="P879" s="175"/>
      <c r="Q879" s="175"/>
      <c r="R879" s="175"/>
      <c r="S879" s="175"/>
      <c r="T879" s="175"/>
      <c r="U879" s="175"/>
      <c r="V879" s="175"/>
      <c r="W879" s="175"/>
      <c r="X879" s="175"/>
      <c r="Y879" s="175"/>
      <c r="Z879" s="175"/>
      <c r="AA879" s="175"/>
      <c r="AB879" s="175"/>
      <c r="AC879" s="175"/>
    </row>
    <row r="880" spans="1:29" ht="12.75">
      <c r="A880" s="175"/>
      <c r="B880" s="175"/>
      <c r="C880" s="175"/>
      <c r="D880" s="175"/>
      <c r="E880" s="175"/>
      <c r="F880" s="175"/>
      <c r="G880" s="175"/>
      <c r="H880" s="175"/>
      <c r="I880" s="175"/>
      <c r="J880" s="175"/>
      <c r="K880" s="175"/>
      <c r="L880" s="175"/>
      <c r="M880" s="175"/>
      <c r="N880" s="175"/>
      <c r="O880" s="175"/>
      <c r="P880" s="175"/>
      <c r="Q880" s="175"/>
      <c r="R880" s="175"/>
      <c r="S880" s="175"/>
      <c r="T880" s="175"/>
      <c r="U880" s="175"/>
      <c r="V880" s="175"/>
      <c r="W880" s="175"/>
      <c r="X880" s="175"/>
      <c r="Y880" s="175"/>
      <c r="Z880" s="175"/>
      <c r="AA880" s="175"/>
      <c r="AB880" s="175"/>
      <c r="AC880" s="175"/>
    </row>
    <row r="881" spans="1:29" ht="12.75">
      <c r="A881" s="175"/>
      <c r="B881" s="175"/>
      <c r="C881" s="175"/>
      <c r="D881" s="175"/>
      <c r="E881" s="175"/>
      <c r="F881" s="175"/>
      <c r="G881" s="175"/>
      <c r="H881" s="175"/>
      <c r="I881" s="175"/>
      <c r="J881" s="175"/>
      <c r="K881" s="175"/>
      <c r="L881" s="175"/>
      <c r="M881" s="175"/>
      <c r="N881" s="175"/>
      <c r="O881" s="175"/>
      <c r="P881" s="175"/>
      <c r="Q881" s="175"/>
      <c r="R881" s="175"/>
      <c r="S881" s="175"/>
      <c r="T881" s="175"/>
      <c r="U881" s="175"/>
      <c r="V881" s="175"/>
      <c r="W881" s="175"/>
      <c r="X881" s="175"/>
      <c r="Y881" s="175"/>
      <c r="Z881" s="175"/>
      <c r="AA881" s="175"/>
      <c r="AB881" s="175"/>
      <c r="AC881" s="175"/>
    </row>
    <row r="882" spans="1:29" ht="12.75">
      <c r="A882" s="175"/>
      <c r="B882" s="175"/>
      <c r="C882" s="175"/>
      <c r="D882" s="175"/>
      <c r="E882" s="175"/>
      <c r="F882" s="175"/>
      <c r="G882" s="175"/>
      <c r="H882" s="175"/>
      <c r="I882" s="175"/>
      <c r="J882" s="175"/>
      <c r="K882" s="175"/>
      <c r="L882" s="175"/>
      <c r="M882" s="175"/>
      <c r="N882" s="175"/>
      <c r="O882" s="175"/>
      <c r="P882" s="175"/>
      <c r="Q882" s="175"/>
      <c r="R882" s="175"/>
      <c r="S882" s="175"/>
      <c r="T882" s="175"/>
      <c r="U882" s="175"/>
      <c r="V882" s="175"/>
      <c r="W882" s="175"/>
      <c r="X882" s="175"/>
      <c r="Y882" s="175"/>
      <c r="Z882" s="175"/>
      <c r="AA882" s="175"/>
      <c r="AB882" s="175"/>
      <c r="AC882" s="175"/>
    </row>
    <row r="883" spans="1:29" ht="12.75">
      <c r="A883" s="175"/>
      <c r="B883" s="175"/>
      <c r="C883" s="175"/>
      <c r="D883" s="175"/>
      <c r="E883" s="175"/>
      <c r="F883" s="175"/>
      <c r="G883" s="175"/>
      <c r="H883" s="175"/>
      <c r="I883" s="175"/>
      <c r="J883" s="175"/>
      <c r="K883" s="175"/>
      <c r="L883" s="175"/>
      <c r="M883" s="175"/>
      <c r="N883" s="175"/>
      <c r="O883" s="175"/>
      <c r="P883" s="175"/>
      <c r="Q883" s="175"/>
      <c r="R883" s="175"/>
      <c r="S883" s="175"/>
      <c r="T883" s="175"/>
      <c r="U883" s="175"/>
      <c r="V883" s="175"/>
      <c r="W883" s="175"/>
      <c r="X883" s="175"/>
      <c r="Y883" s="175"/>
      <c r="Z883" s="175"/>
      <c r="AA883" s="175"/>
      <c r="AB883" s="175"/>
      <c r="AC883" s="175"/>
    </row>
    <row r="884" spans="1:29" ht="12.75">
      <c r="A884" s="175"/>
      <c r="B884" s="175"/>
      <c r="C884" s="175"/>
      <c r="D884" s="175"/>
      <c r="E884" s="175"/>
      <c r="F884" s="175"/>
      <c r="G884" s="175"/>
      <c r="H884" s="175"/>
      <c r="I884" s="175"/>
      <c r="J884" s="175"/>
      <c r="K884" s="175"/>
      <c r="L884" s="175"/>
      <c r="M884" s="175"/>
      <c r="N884" s="175"/>
      <c r="O884" s="175"/>
      <c r="P884" s="175"/>
      <c r="Q884" s="175"/>
      <c r="R884" s="175"/>
      <c r="S884" s="175"/>
      <c r="T884" s="175"/>
      <c r="U884" s="175"/>
      <c r="V884" s="175"/>
      <c r="W884" s="175"/>
      <c r="X884" s="175"/>
      <c r="Y884" s="175"/>
      <c r="Z884" s="175"/>
      <c r="AA884" s="175"/>
      <c r="AB884" s="175"/>
      <c r="AC884" s="175"/>
    </row>
    <row r="885" spans="1:29" ht="12.75">
      <c r="A885" s="175"/>
      <c r="B885" s="175"/>
      <c r="C885" s="175"/>
      <c r="D885" s="175"/>
      <c r="E885" s="175"/>
      <c r="F885" s="175"/>
      <c r="G885" s="175"/>
      <c r="H885" s="175"/>
      <c r="I885" s="175"/>
      <c r="J885" s="175"/>
      <c r="K885" s="175"/>
      <c r="L885" s="175"/>
      <c r="M885" s="175"/>
      <c r="N885" s="175"/>
      <c r="O885" s="175"/>
      <c r="P885" s="175"/>
      <c r="Q885" s="175"/>
      <c r="R885" s="175"/>
      <c r="S885" s="175"/>
      <c r="T885" s="175"/>
      <c r="U885" s="175"/>
      <c r="V885" s="175"/>
      <c r="W885" s="175"/>
      <c r="X885" s="175"/>
      <c r="Y885" s="175"/>
      <c r="Z885" s="175"/>
      <c r="AA885" s="175"/>
      <c r="AB885" s="175"/>
      <c r="AC885" s="175"/>
    </row>
    <row r="886" spans="1:29" ht="12.75">
      <c r="A886" s="175"/>
      <c r="B886" s="175"/>
      <c r="C886" s="175"/>
      <c r="D886" s="175"/>
      <c r="E886" s="175"/>
      <c r="F886" s="175"/>
      <c r="G886" s="175"/>
      <c r="H886" s="175"/>
      <c r="I886" s="175"/>
      <c r="J886" s="175"/>
      <c r="K886" s="175"/>
      <c r="L886" s="175"/>
      <c r="M886" s="175"/>
      <c r="N886" s="175"/>
      <c r="O886" s="175"/>
      <c r="P886" s="175"/>
      <c r="Q886" s="175"/>
      <c r="R886" s="175"/>
      <c r="S886" s="175"/>
      <c r="T886" s="175"/>
      <c r="U886" s="175"/>
      <c r="V886" s="175"/>
      <c r="W886" s="175"/>
      <c r="X886" s="175"/>
      <c r="Y886" s="175"/>
      <c r="Z886" s="175"/>
      <c r="AA886" s="175"/>
      <c r="AB886" s="175"/>
      <c r="AC886" s="175"/>
    </row>
    <row r="887" spans="1:29" ht="12.75">
      <c r="A887" s="175"/>
      <c r="B887" s="175"/>
      <c r="C887" s="175"/>
      <c r="D887" s="175"/>
      <c r="E887" s="175"/>
      <c r="F887" s="175"/>
      <c r="G887" s="175"/>
      <c r="H887" s="175"/>
      <c r="I887" s="175"/>
      <c r="J887" s="175"/>
      <c r="K887" s="175"/>
      <c r="L887" s="175"/>
      <c r="M887" s="175"/>
      <c r="N887" s="175"/>
      <c r="O887" s="175"/>
      <c r="P887" s="175"/>
      <c r="Q887" s="175"/>
      <c r="R887" s="175"/>
      <c r="S887" s="175"/>
      <c r="T887" s="175"/>
      <c r="U887" s="175"/>
      <c r="V887" s="175"/>
      <c r="W887" s="175"/>
      <c r="X887" s="175"/>
      <c r="Y887" s="175"/>
      <c r="Z887" s="175"/>
      <c r="AA887" s="175"/>
      <c r="AB887" s="175"/>
      <c r="AC887" s="175"/>
    </row>
    <row r="888" spans="1:29" ht="12.75">
      <c r="A888" s="175"/>
      <c r="B888" s="175"/>
      <c r="C888" s="175"/>
      <c r="D888" s="175"/>
      <c r="E888" s="175"/>
      <c r="F888" s="175"/>
      <c r="G888" s="175"/>
      <c r="H888" s="175"/>
      <c r="I888" s="175"/>
      <c r="J888" s="175"/>
      <c r="K888" s="175"/>
      <c r="L888" s="175"/>
      <c r="M888" s="175"/>
      <c r="N888" s="175"/>
      <c r="O888" s="175"/>
      <c r="P888" s="175"/>
      <c r="Q888" s="175"/>
      <c r="R888" s="175"/>
      <c r="S888" s="175"/>
      <c r="T888" s="175"/>
      <c r="U888" s="175"/>
      <c r="V888" s="175"/>
      <c r="W888" s="175"/>
      <c r="X888" s="175"/>
      <c r="Y888" s="175"/>
      <c r="Z888" s="175"/>
      <c r="AA888" s="175"/>
      <c r="AB888" s="175"/>
      <c r="AC888" s="175"/>
    </row>
    <row r="889" spans="1:29" ht="12.75">
      <c r="A889" s="175"/>
      <c r="B889" s="175"/>
      <c r="C889" s="175"/>
      <c r="D889" s="175"/>
      <c r="E889" s="175"/>
      <c r="F889" s="175"/>
      <c r="G889" s="175"/>
      <c r="H889" s="175"/>
      <c r="I889" s="175"/>
      <c r="J889" s="175"/>
      <c r="K889" s="175"/>
      <c r="L889" s="175"/>
      <c r="M889" s="175"/>
      <c r="N889" s="175"/>
      <c r="O889" s="175"/>
      <c r="P889" s="175"/>
      <c r="Q889" s="175"/>
      <c r="R889" s="175"/>
      <c r="S889" s="175"/>
      <c r="T889" s="175"/>
      <c r="U889" s="175"/>
      <c r="V889" s="175"/>
      <c r="W889" s="175"/>
      <c r="X889" s="175"/>
      <c r="Y889" s="175"/>
      <c r="Z889" s="175"/>
      <c r="AA889" s="175"/>
      <c r="AB889" s="175"/>
      <c r="AC889" s="175"/>
    </row>
    <row r="890" spans="1:29" ht="12.75">
      <c r="A890" s="175"/>
      <c r="B890" s="175"/>
      <c r="C890" s="175"/>
      <c r="D890" s="175"/>
      <c r="E890" s="175"/>
      <c r="F890" s="175"/>
      <c r="G890" s="175"/>
      <c r="H890" s="175"/>
      <c r="I890" s="175"/>
      <c r="J890" s="175"/>
      <c r="K890" s="175"/>
      <c r="L890" s="175"/>
      <c r="M890" s="175"/>
      <c r="N890" s="175"/>
      <c r="O890" s="175"/>
      <c r="P890" s="175"/>
      <c r="Q890" s="175"/>
      <c r="R890" s="175"/>
      <c r="S890" s="175"/>
      <c r="T890" s="175"/>
      <c r="U890" s="175"/>
      <c r="V890" s="175"/>
      <c r="W890" s="175"/>
      <c r="X890" s="175"/>
      <c r="Y890" s="175"/>
      <c r="Z890" s="175"/>
      <c r="AA890" s="175"/>
      <c r="AB890" s="175"/>
      <c r="AC890" s="175"/>
    </row>
    <row r="891" spans="1:29" ht="12.75">
      <c r="A891" s="175"/>
      <c r="B891" s="175"/>
      <c r="C891" s="175"/>
      <c r="D891" s="175"/>
      <c r="E891" s="175"/>
      <c r="F891" s="175"/>
      <c r="G891" s="175"/>
      <c r="H891" s="175"/>
      <c r="I891" s="175"/>
      <c r="J891" s="175"/>
      <c r="K891" s="175"/>
      <c r="L891" s="175"/>
      <c r="M891" s="175"/>
      <c r="N891" s="175"/>
      <c r="O891" s="175"/>
      <c r="P891" s="175"/>
      <c r="Q891" s="175"/>
      <c r="R891" s="175"/>
      <c r="S891" s="175"/>
      <c r="T891" s="175"/>
      <c r="U891" s="175"/>
      <c r="V891" s="175"/>
      <c r="W891" s="175"/>
      <c r="X891" s="175"/>
      <c r="Y891" s="175"/>
      <c r="Z891" s="175"/>
      <c r="AA891" s="175"/>
      <c r="AB891" s="175"/>
      <c r="AC891" s="175"/>
    </row>
    <row r="892" spans="1:29" ht="12.75">
      <c r="A892" s="175"/>
      <c r="B892" s="175"/>
      <c r="C892" s="175"/>
      <c r="D892" s="175"/>
      <c r="E892" s="175"/>
      <c r="F892" s="175"/>
      <c r="G892" s="175"/>
      <c r="H892" s="175"/>
      <c r="I892" s="175"/>
      <c r="J892" s="175"/>
      <c r="K892" s="175"/>
      <c r="L892" s="175"/>
      <c r="M892" s="175"/>
      <c r="N892" s="175"/>
      <c r="O892" s="175"/>
      <c r="P892" s="175"/>
      <c r="Q892" s="175"/>
      <c r="R892" s="175"/>
      <c r="S892" s="175"/>
      <c r="T892" s="175"/>
      <c r="U892" s="175"/>
      <c r="V892" s="175"/>
      <c r="W892" s="175"/>
      <c r="X892" s="175"/>
      <c r="Y892" s="175"/>
      <c r="Z892" s="175"/>
      <c r="AA892" s="175"/>
      <c r="AB892" s="175"/>
      <c r="AC892" s="175"/>
    </row>
    <row r="893" spans="1:29" ht="12.75">
      <c r="A893" s="175"/>
      <c r="B893" s="175"/>
      <c r="C893" s="175"/>
      <c r="D893" s="175"/>
      <c r="E893" s="175"/>
      <c r="F893" s="175"/>
      <c r="G893" s="175"/>
      <c r="H893" s="175"/>
      <c r="I893" s="175"/>
      <c r="J893" s="175"/>
      <c r="K893" s="175"/>
      <c r="L893" s="175"/>
      <c r="M893" s="175"/>
      <c r="N893" s="175"/>
      <c r="O893" s="175"/>
      <c r="P893" s="175"/>
      <c r="Q893" s="175"/>
      <c r="R893" s="175"/>
      <c r="S893" s="175"/>
      <c r="T893" s="175"/>
      <c r="U893" s="175"/>
      <c r="V893" s="175"/>
      <c r="W893" s="175"/>
      <c r="X893" s="175"/>
      <c r="Y893" s="175"/>
      <c r="Z893" s="175"/>
      <c r="AA893" s="175"/>
      <c r="AB893" s="175"/>
      <c r="AC893" s="175"/>
    </row>
    <row r="894" spans="1:29" ht="12.75">
      <c r="A894" s="175"/>
      <c r="B894" s="175"/>
      <c r="C894" s="175"/>
      <c r="D894" s="175"/>
      <c r="E894" s="175"/>
      <c r="F894" s="175"/>
      <c r="G894" s="175"/>
      <c r="H894" s="175"/>
      <c r="I894" s="175"/>
      <c r="J894" s="175"/>
      <c r="K894" s="175"/>
      <c r="L894" s="175"/>
      <c r="M894" s="175"/>
      <c r="N894" s="175"/>
      <c r="O894" s="175"/>
      <c r="P894" s="175"/>
      <c r="Q894" s="175"/>
      <c r="R894" s="175"/>
      <c r="S894" s="175"/>
      <c r="T894" s="175"/>
      <c r="U894" s="175"/>
      <c r="V894" s="175"/>
      <c r="W894" s="175"/>
      <c r="X894" s="175"/>
      <c r="Y894" s="175"/>
      <c r="Z894" s="175"/>
      <c r="AA894" s="175"/>
      <c r="AB894" s="175"/>
      <c r="AC894" s="175"/>
    </row>
    <row r="895" spans="1:29" ht="12.75">
      <c r="A895" s="175"/>
      <c r="B895" s="175"/>
      <c r="C895" s="175"/>
      <c r="D895" s="175"/>
      <c r="E895" s="175"/>
      <c r="F895" s="175"/>
      <c r="G895" s="175"/>
      <c r="H895" s="175"/>
      <c r="I895" s="175"/>
      <c r="J895" s="175"/>
      <c r="K895" s="175"/>
      <c r="L895" s="175"/>
      <c r="M895" s="175"/>
      <c r="N895" s="175"/>
      <c r="O895" s="175"/>
      <c r="P895" s="175"/>
      <c r="Q895" s="175"/>
      <c r="R895" s="175"/>
      <c r="S895" s="175"/>
      <c r="T895" s="175"/>
      <c r="U895" s="175"/>
      <c r="V895" s="175"/>
      <c r="W895" s="175"/>
      <c r="X895" s="175"/>
      <c r="Y895" s="175"/>
      <c r="Z895" s="175"/>
      <c r="AA895" s="175"/>
      <c r="AB895" s="175"/>
      <c r="AC895" s="175"/>
    </row>
    <row r="896" spans="1:29" ht="12.75">
      <c r="A896" s="175"/>
      <c r="B896" s="175"/>
      <c r="C896" s="175"/>
      <c r="D896" s="175"/>
      <c r="E896" s="175"/>
      <c r="F896" s="175"/>
      <c r="G896" s="175"/>
      <c r="H896" s="175"/>
      <c r="I896" s="175"/>
      <c r="J896" s="175"/>
      <c r="K896" s="175"/>
      <c r="L896" s="175"/>
      <c r="M896" s="175"/>
      <c r="N896" s="175"/>
      <c r="O896" s="175"/>
      <c r="P896" s="175"/>
      <c r="Q896" s="175"/>
      <c r="R896" s="175"/>
      <c r="S896" s="175"/>
      <c r="T896" s="175"/>
      <c r="U896" s="175"/>
      <c r="V896" s="175"/>
      <c r="W896" s="175"/>
      <c r="X896" s="175"/>
      <c r="Y896" s="175"/>
      <c r="Z896" s="175"/>
      <c r="AA896" s="175"/>
      <c r="AB896" s="175"/>
      <c r="AC896" s="175"/>
    </row>
    <row r="897" spans="1:29" ht="12.75">
      <c r="A897" s="175"/>
      <c r="B897" s="175"/>
      <c r="C897" s="175"/>
      <c r="D897" s="175"/>
      <c r="E897" s="175"/>
      <c r="F897" s="175"/>
      <c r="G897" s="175"/>
      <c r="H897" s="175"/>
      <c r="I897" s="175"/>
      <c r="J897" s="175"/>
      <c r="K897" s="175"/>
      <c r="L897" s="175"/>
      <c r="M897" s="175"/>
      <c r="N897" s="175"/>
      <c r="O897" s="175"/>
      <c r="P897" s="175"/>
      <c r="Q897" s="175"/>
      <c r="R897" s="175"/>
      <c r="S897" s="175"/>
      <c r="T897" s="175"/>
      <c r="U897" s="175"/>
      <c r="V897" s="175"/>
      <c r="W897" s="175"/>
      <c r="X897" s="175"/>
      <c r="Y897" s="175"/>
      <c r="Z897" s="175"/>
      <c r="AA897" s="175"/>
      <c r="AB897" s="175"/>
      <c r="AC897" s="175"/>
    </row>
    <row r="898" spans="1:29" ht="12.75">
      <c r="A898" s="175"/>
      <c r="B898" s="175"/>
      <c r="C898" s="175"/>
      <c r="D898" s="175"/>
      <c r="E898" s="175"/>
      <c r="F898" s="175"/>
      <c r="G898" s="175"/>
      <c r="H898" s="175"/>
      <c r="I898" s="175"/>
      <c r="J898" s="175"/>
      <c r="K898" s="175"/>
      <c r="L898" s="175"/>
      <c r="M898" s="175"/>
      <c r="N898" s="175"/>
      <c r="O898" s="175"/>
      <c r="P898" s="175"/>
      <c r="Q898" s="175"/>
      <c r="R898" s="175"/>
      <c r="S898" s="175"/>
      <c r="T898" s="175"/>
      <c r="U898" s="175"/>
      <c r="V898" s="175"/>
      <c r="W898" s="175"/>
      <c r="X898" s="175"/>
      <c r="Y898" s="175"/>
      <c r="Z898" s="175"/>
      <c r="AA898" s="175"/>
      <c r="AB898" s="175"/>
      <c r="AC898" s="175"/>
    </row>
    <row r="899" spans="1:29" ht="12.75">
      <c r="A899" s="175"/>
      <c r="B899" s="175"/>
      <c r="C899" s="175"/>
      <c r="D899" s="175"/>
      <c r="E899" s="175"/>
      <c r="F899" s="175"/>
      <c r="G899" s="175"/>
      <c r="H899" s="175"/>
      <c r="I899" s="175"/>
      <c r="J899" s="175"/>
      <c r="K899" s="175"/>
      <c r="L899" s="175"/>
      <c r="M899" s="175"/>
      <c r="N899" s="175"/>
      <c r="O899" s="175"/>
      <c r="P899" s="175"/>
      <c r="Q899" s="175"/>
      <c r="R899" s="175"/>
      <c r="S899" s="175"/>
      <c r="T899" s="175"/>
      <c r="U899" s="175"/>
      <c r="V899" s="175"/>
      <c r="W899" s="175"/>
      <c r="X899" s="175"/>
      <c r="Y899" s="175"/>
      <c r="Z899" s="175"/>
      <c r="AA899" s="175"/>
      <c r="AB899" s="175"/>
      <c r="AC899" s="175"/>
    </row>
    <row r="900" spans="1:29" ht="12.75">
      <c r="A900" s="175"/>
      <c r="B900" s="175"/>
      <c r="C900" s="175"/>
      <c r="D900" s="175"/>
      <c r="E900" s="175"/>
      <c r="F900" s="175"/>
      <c r="G900" s="175"/>
      <c r="H900" s="175"/>
      <c r="I900" s="175"/>
      <c r="J900" s="175"/>
      <c r="K900" s="175"/>
      <c r="L900" s="175"/>
      <c r="M900" s="175"/>
      <c r="N900" s="175"/>
      <c r="O900" s="175"/>
      <c r="P900" s="175"/>
      <c r="Q900" s="175"/>
      <c r="R900" s="175"/>
      <c r="S900" s="175"/>
      <c r="T900" s="175"/>
      <c r="U900" s="175"/>
      <c r="V900" s="175"/>
      <c r="W900" s="175"/>
      <c r="X900" s="175"/>
      <c r="Y900" s="175"/>
      <c r="Z900" s="175"/>
      <c r="AA900" s="175"/>
      <c r="AB900" s="175"/>
      <c r="AC900" s="175"/>
    </row>
    <row r="901" spans="1:29" ht="12.75">
      <c r="A901" s="175"/>
      <c r="B901" s="175"/>
      <c r="C901" s="175"/>
      <c r="D901" s="175"/>
      <c r="E901" s="175"/>
      <c r="F901" s="175"/>
      <c r="G901" s="175"/>
      <c r="H901" s="175"/>
      <c r="I901" s="175"/>
      <c r="J901" s="175"/>
      <c r="K901" s="175"/>
      <c r="L901" s="175"/>
      <c r="M901" s="175"/>
      <c r="N901" s="175"/>
      <c r="O901" s="175"/>
      <c r="P901" s="175"/>
      <c r="Q901" s="175"/>
      <c r="R901" s="175"/>
      <c r="S901" s="175"/>
      <c r="T901" s="175"/>
      <c r="U901" s="175"/>
      <c r="V901" s="175"/>
      <c r="W901" s="175"/>
      <c r="X901" s="175"/>
      <c r="Y901" s="175"/>
      <c r="Z901" s="175"/>
      <c r="AA901" s="175"/>
      <c r="AB901" s="175"/>
      <c r="AC901" s="175"/>
    </row>
    <row r="902" spans="1:29" ht="12.75">
      <c r="A902" s="175"/>
      <c r="B902" s="175"/>
      <c r="C902" s="175"/>
      <c r="D902" s="175"/>
      <c r="E902" s="175"/>
      <c r="F902" s="175"/>
      <c r="G902" s="175"/>
      <c r="H902" s="175"/>
      <c r="I902" s="175"/>
      <c r="J902" s="175"/>
      <c r="K902" s="175"/>
      <c r="L902" s="175"/>
      <c r="M902" s="175"/>
      <c r="N902" s="175"/>
      <c r="O902" s="175"/>
      <c r="P902" s="175"/>
      <c r="Q902" s="175"/>
      <c r="R902" s="175"/>
      <c r="S902" s="175"/>
      <c r="T902" s="175"/>
      <c r="U902" s="175"/>
      <c r="V902" s="175"/>
      <c r="W902" s="175"/>
      <c r="X902" s="175"/>
      <c r="Y902" s="175"/>
      <c r="Z902" s="175"/>
      <c r="AA902" s="175"/>
      <c r="AB902" s="175"/>
      <c r="AC902" s="175"/>
    </row>
    <row r="903" spans="1:29" ht="12.75">
      <c r="A903" s="175"/>
      <c r="B903" s="175"/>
      <c r="C903" s="175"/>
      <c r="D903" s="175"/>
      <c r="E903" s="175"/>
      <c r="F903" s="175"/>
      <c r="G903" s="175"/>
      <c r="H903" s="175"/>
      <c r="I903" s="175"/>
      <c r="J903" s="175"/>
      <c r="K903" s="175"/>
      <c r="L903" s="175"/>
      <c r="M903" s="175"/>
      <c r="N903" s="175"/>
      <c r="O903" s="175"/>
      <c r="P903" s="175"/>
      <c r="Q903" s="175"/>
      <c r="R903" s="175"/>
      <c r="S903" s="175"/>
      <c r="T903" s="175"/>
      <c r="U903" s="175"/>
      <c r="V903" s="175"/>
      <c r="W903" s="175"/>
      <c r="X903" s="175"/>
      <c r="Y903" s="175"/>
      <c r="Z903" s="175"/>
      <c r="AA903" s="175"/>
      <c r="AB903" s="175"/>
      <c r="AC903" s="175"/>
    </row>
    <row r="904" spans="1:29" ht="12.75">
      <c r="A904" s="175"/>
      <c r="B904" s="175"/>
      <c r="C904" s="175"/>
      <c r="D904" s="175"/>
      <c r="E904" s="175"/>
      <c r="F904" s="175"/>
      <c r="G904" s="175"/>
      <c r="H904" s="175"/>
      <c r="I904" s="175"/>
      <c r="J904" s="175"/>
      <c r="K904" s="175"/>
      <c r="L904" s="175"/>
      <c r="M904" s="175"/>
      <c r="N904" s="175"/>
      <c r="O904" s="175"/>
      <c r="P904" s="175"/>
      <c r="Q904" s="175"/>
      <c r="R904" s="175"/>
      <c r="S904" s="175"/>
      <c r="T904" s="175"/>
      <c r="U904" s="175"/>
      <c r="V904" s="175"/>
      <c r="W904" s="175"/>
      <c r="X904" s="175"/>
      <c r="Y904" s="175"/>
      <c r="Z904" s="175"/>
      <c r="AA904" s="175"/>
      <c r="AB904" s="175"/>
      <c r="AC904" s="175"/>
    </row>
    <row r="905" spans="1:29" ht="12.75">
      <c r="A905" s="175"/>
      <c r="B905" s="175"/>
      <c r="C905" s="175"/>
      <c r="D905" s="175"/>
      <c r="E905" s="175"/>
      <c r="F905" s="175"/>
      <c r="G905" s="175"/>
      <c r="H905" s="175"/>
      <c r="I905" s="175"/>
      <c r="J905" s="175"/>
      <c r="K905" s="175"/>
      <c r="L905" s="175"/>
      <c r="M905" s="175"/>
      <c r="N905" s="175"/>
      <c r="O905" s="175"/>
      <c r="P905" s="175"/>
      <c r="Q905" s="175"/>
      <c r="R905" s="175"/>
      <c r="S905" s="175"/>
      <c r="T905" s="175"/>
      <c r="U905" s="175"/>
      <c r="V905" s="175"/>
      <c r="W905" s="175"/>
      <c r="X905" s="175"/>
      <c r="Y905" s="175"/>
      <c r="Z905" s="175"/>
      <c r="AA905" s="175"/>
      <c r="AB905" s="175"/>
      <c r="AC905" s="175"/>
    </row>
    <row r="906" spans="1:29" ht="12.75">
      <c r="A906" s="175"/>
      <c r="B906" s="175"/>
      <c r="C906" s="175"/>
      <c r="D906" s="175"/>
      <c r="E906" s="175"/>
      <c r="F906" s="175"/>
      <c r="G906" s="175"/>
      <c r="H906" s="175"/>
      <c r="I906" s="175"/>
      <c r="J906" s="175"/>
      <c r="K906" s="175"/>
      <c r="L906" s="175"/>
      <c r="M906" s="175"/>
      <c r="N906" s="175"/>
      <c r="O906" s="175"/>
      <c r="P906" s="175"/>
      <c r="Q906" s="175"/>
      <c r="R906" s="175"/>
      <c r="S906" s="175"/>
      <c r="T906" s="175"/>
      <c r="U906" s="175"/>
      <c r="V906" s="175"/>
      <c r="W906" s="175"/>
      <c r="X906" s="175"/>
      <c r="Y906" s="175"/>
      <c r="Z906" s="175"/>
      <c r="AA906" s="175"/>
      <c r="AB906" s="175"/>
      <c r="AC906" s="175"/>
    </row>
    <row r="907" spans="1:29" ht="12.75">
      <c r="A907" s="175"/>
      <c r="B907" s="175"/>
      <c r="C907" s="175"/>
      <c r="D907" s="175"/>
      <c r="E907" s="175"/>
      <c r="F907" s="175"/>
      <c r="G907" s="175"/>
      <c r="H907" s="175"/>
      <c r="I907" s="175"/>
      <c r="J907" s="175"/>
      <c r="K907" s="175"/>
      <c r="L907" s="175"/>
      <c r="M907" s="175"/>
      <c r="N907" s="175"/>
      <c r="O907" s="175"/>
      <c r="P907" s="175"/>
      <c r="Q907" s="175"/>
      <c r="R907" s="175"/>
      <c r="S907" s="175"/>
      <c r="T907" s="175"/>
      <c r="U907" s="175"/>
      <c r="V907" s="175"/>
      <c r="W907" s="175"/>
      <c r="X907" s="175"/>
      <c r="Y907" s="175"/>
      <c r="Z907" s="175"/>
      <c r="AA907" s="175"/>
      <c r="AB907" s="175"/>
      <c r="AC907" s="175"/>
    </row>
    <row r="908" spans="1:29" ht="12.75">
      <c r="A908" s="175"/>
      <c r="B908" s="175"/>
      <c r="C908" s="175"/>
      <c r="D908" s="175"/>
      <c r="E908" s="175"/>
      <c r="F908" s="175"/>
      <c r="G908" s="175"/>
      <c r="H908" s="175"/>
      <c r="I908" s="175"/>
      <c r="J908" s="175"/>
      <c r="K908" s="175"/>
      <c r="L908" s="175"/>
      <c r="M908" s="175"/>
      <c r="N908" s="175"/>
      <c r="O908" s="175"/>
      <c r="P908" s="175"/>
      <c r="Q908" s="175"/>
      <c r="R908" s="175"/>
      <c r="S908" s="175"/>
      <c r="T908" s="175"/>
      <c r="U908" s="175"/>
      <c r="V908" s="175"/>
      <c r="W908" s="175"/>
      <c r="X908" s="175"/>
      <c r="Y908" s="175"/>
      <c r="Z908" s="175"/>
      <c r="AA908" s="175"/>
      <c r="AB908" s="175"/>
      <c r="AC908" s="175"/>
    </row>
    <row r="909" spans="1:29" ht="12.75">
      <c r="A909" s="175"/>
      <c r="B909" s="175"/>
      <c r="C909" s="175"/>
      <c r="D909" s="175"/>
      <c r="E909" s="175"/>
      <c r="F909" s="175"/>
      <c r="G909" s="175"/>
      <c r="H909" s="175"/>
      <c r="I909" s="175"/>
      <c r="J909" s="175"/>
      <c r="K909" s="175"/>
      <c r="L909" s="175"/>
      <c r="M909" s="175"/>
      <c r="N909" s="175"/>
      <c r="O909" s="175"/>
      <c r="P909" s="175"/>
      <c r="Q909" s="175"/>
      <c r="R909" s="175"/>
      <c r="S909" s="175"/>
      <c r="T909" s="175"/>
      <c r="U909" s="175"/>
      <c r="V909" s="175"/>
      <c r="W909" s="175"/>
      <c r="X909" s="175"/>
      <c r="Y909" s="175"/>
      <c r="Z909" s="175"/>
      <c r="AA909" s="175"/>
      <c r="AB909" s="175"/>
      <c r="AC909" s="175"/>
    </row>
    <row r="910" spans="1:29" ht="12.75">
      <c r="A910" s="175"/>
      <c r="B910" s="175"/>
      <c r="C910" s="175"/>
      <c r="D910" s="175"/>
      <c r="E910" s="175"/>
      <c r="F910" s="175"/>
      <c r="G910" s="175"/>
      <c r="H910" s="175"/>
      <c r="I910" s="175"/>
      <c r="J910" s="175"/>
      <c r="K910" s="175"/>
      <c r="L910" s="175"/>
      <c r="M910" s="175"/>
      <c r="N910" s="175"/>
      <c r="O910" s="175"/>
      <c r="P910" s="175"/>
      <c r="Q910" s="175"/>
      <c r="R910" s="175"/>
      <c r="S910" s="175"/>
      <c r="T910" s="175"/>
      <c r="U910" s="175"/>
      <c r="V910" s="175"/>
      <c r="W910" s="175"/>
      <c r="X910" s="175"/>
      <c r="Y910" s="175"/>
      <c r="Z910" s="175"/>
      <c r="AA910" s="175"/>
      <c r="AB910" s="175"/>
      <c r="AC910" s="175"/>
    </row>
    <row r="911" spans="1:29" ht="12.75">
      <c r="A911" s="175"/>
      <c r="B911" s="175"/>
      <c r="C911" s="175"/>
      <c r="D911" s="175"/>
      <c r="E911" s="175"/>
      <c r="F911" s="175"/>
      <c r="G911" s="175"/>
      <c r="H911" s="175"/>
      <c r="I911" s="175"/>
      <c r="J911" s="175"/>
      <c r="K911" s="175"/>
      <c r="L911" s="175"/>
      <c r="M911" s="175"/>
      <c r="N911" s="175"/>
      <c r="O911" s="175"/>
      <c r="P911" s="175"/>
      <c r="Q911" s="175"/>
      <c r="R911" s="175"/>
      <c r="S911" s="175"/>
      <c r="T911" s="175"/>
      <c r="U911" s="175"/>
      <c r="V911" s="175"/>
      <c r="W911" s="175"/>
      <c r="X911" s="175"/>
      <c r="Y911" s="175"/>
      <c r="Z911" s="175"/>
      <c r="AA911" s="175"/>
      <c r="AB911" s="175"/>
      <c r="AC911" s="175"/>
    </row>
    <row r="912" spans="1:29" ht="12.75">
      <c r="A912" s="175"/>
      <c r="B912" s="175"/>
      <c r="C912" s="175"/>
      <c r="D912" s="175"/>
      <c r="E912" s="175"/>
      <c r="F912" s="175"/>
      <c r="G912" s="175"/>
      <c r="H912" s="175"/>
      <c r="I912" s="175"/>
      <c r="J912" s="175"/>
      <c r="K912" s="175"/>
      <c r="L912" s="175"/>
      <c r="M912" s="175"/>
      <c r="N912" s="175"/>
      <c r="O912" s="175"/>
      <c r="P912" s="175"/>
      <c r="Q912" s="175"/>
      <c r="R912" s="175"/>
      <c r="S912" s="175"/>
      <c r="T912" s="175"/>
      <c r="U912" s="175"/>
      <c r="V912" s="175"/>
      <c r="W912" s="175"/>
      <c r="X912" s="175"/>
      <c r="Y912" s="175"/>
      <c r="Z912" s="175"/>
      <c r="AA912" s="175"/>
      <c r="AB912" s="175"/>
      <c r="AC912" s="175"/>
    </row>
    <row r="913" spans="1:29" ht="12.75">
      <c r="A913" s="175"/>
      <c r="B913" s="175"/>
      <c r="C913" s="175"/>
      <c r="D913" s="175"/>
      <c r="E913" s="175"/>
      <c r="F913" s="175"/>
      <c r="G913" s="175"/>
      <c r="H913" s="175"/>
      <c r="I913" s="175"/>
      <c r="J913" s="175"/>
      <c r="K913" s="175"/>
      <c r="L913" s="175"/>
      <c r="M913" s="175"/>
      <c r="N913" s="175"/>
      <c r="O913" s="175"/>
      <c r="P913" s="175"/>
      <c r="Q913" s="175"/>
      <c r="R913" s="175"/>
      <c r="S913" s="175"/>
      <c r="T913" s="175"/>
      <c r="U913" s="175"/>
      <c r="V913" s="175"/>
      <c r="W913" s="175"/>
      <c r="X913" s="175"/>
      <c r="Y913" s="175"/>
      <c r="Z913" s="175"/>
      <c r="AA913" s="175"/>
      <c r="AB913" s="175"/>
      <c r="AC913" s="175"/>
    </row>
    <row r="914" spans="1:29" ht="12.75">
      <c r="A914" s="175"/>
      <c r="B914" s="175"/>
      <c r="C914" s="175"/>
      <c r="D914" s="175"/>
      <c r="E914" s="175"/>
      <c r="F914" s="175"/>
      <c r="G914" s="175"/>
      <c r="H914" s="175"/>
      <c r="I914" s="175"/>
      <c r="J914" s="175"/>
      <c r="K914" s="175"/>
      <c r="L914" s="175"/>
      <c r="M914" s="175"/>
      <c r="N914" s="175"/>
      <c r="O914" s="175"/>
      <c r="P914" s="175"/>
      <c r="Q914" s="175"/>
      <c r="R914" s="175"/>
      <c r="S914" s="175"/>
      <c r="T914" s="175"/>
      <c r="U914" s="175"/>
      <c r="V914" s="175"/>
      <c r="W914" s="175"/>
      <c r="X914" s="175"/>
      <c r="Y914" s="175"/>
      <c r="Z914" s="175"/>
      <c r="AA914" s="175"/>
      <c r="AB914" s="175"/>
      <c r="AC914" s="175"/>
    </row>
    <row r="915" spans="1:29" ht="12.75">
      <c r="A915" s="175"/>
      <c r="B915" s="175"/>
      <c r="C915" s="175"/>
      <c r="D915" s="175"/>
      <c r="E915" s="175"/>
      <c r="F915" s="175"/>
      <c r="G915" s="175"/>
      <c r="H915" s="175"/>
      <c r="I915" s="175"/>
      <c r="J915" s="175"/>
      <c r="K915" s="175"/>
      <c r="L915" s="175"/>
      <c r="M915" s="175"/>
      <c r="N915" s="175"/>
      <c r="O915" s="175"/>
      <c r="P915" s="175"/>
      <c r="Q915" s="175"/>
      <c r="R915" s="175"/>
      <c r="S915" s="175"/>
      <c r="T915" s="175"/>
      <c r="U915" s="175"/>
      <c r="V915" s="175"/>
      <c r="W915" s="175"/>
      <c r="X915" s="175"/>
      <c r="Y915" s="175"/>
      <c r="Z915" s="175"/>
      <c r="AA915" s="175"/>
      <c r="AB915" s="175"/>
      <c r="AC915" s="175"/>
    </row>
    <row r="916" spans="1:29" ht="12.75">
      <c r="A916" s="175"/>
      <c r="B916" s="175"/>
      <c r="C916" s="175"/>
      <c r="D916" s="175"/>
      <c r="E916" s="175"/>
      <c r="F916" s="175"/>
      <c r="G916" s="175"/>
      <c r="H916" s="175"/>
      <c r="I916" s="175"/>
      <c r="J916" s="175"/>
      <c r="K916" s="175"/>
      <c r="L916" s="175"/>
      <c r="M916" s="175"/>
      <c r="N916" s="175"/>
      <c r="O916" s="175"/>
      <c r="P916" s="175"/>
      <c r="Q916" s="175"/>
      <c r="R916" s="175"/>
      <c r="S916" s="175"/>
      <c r="T916" s="175"/>
      <c r="U916" s="175"/>
      <c r="V916" s="175"/>
      <c r="W916" s="175"/>
      <c r="X916" s="175"/>
      <c r="Y916" s="175"/>
      <c r="Z916" s="175"/>
      <c r="AA916" s="175"/>
      <c r="AB916" s="175"/>
      <c r="AC916" s="175"/>
    </row>
    <row r="917" spans="1:29" ht="12.75">
      <c r="A917" s="175"/>
      <c r="B917" s="175"/>
      <c r="C917" s="175"/>
      <c r="D917" s="175"/>
      <c r="E917" s="175"/>
      <c r="F917" s="175"/>
      <c r="G917" s="175"/>
      <c r="H917" s="175"/>
      <c r="I917" s="175"/>
      <c r="J917" s="175"/>
      <c r="K917" s="175"/>
      <c r="L917" s="175"/>
      <c r="M917" s="175"/>
      <c r="N917" s="175"/>
      <c r="O917" s="175"/>
      <c r="P917" s="175"/>
      <c r="Q917" s="175"/>
      <c r="R917" s="175"/>
      <c r="S917" s="175"/>
      <c r="T917" s="175"/>
      <c r="U917" s="175"/>
      <c r="V917" s="175"/>
      <c r="W917" s="175"/>
      <c r="X917" s="175"/>
      <c r="Y917" s="175"/>
      <c r="Z917" s="175"/>
      <c r="AA917" s="175"/>
      <c r="AB917" s="175"/>
      <c r="AC917" s="175"/>
    </row>
    <row r="918" spans="1:29" ht="12.75">
      <c r="A918" s="175"/>
      <c r="B918" s="175"/>
      <c r="C918" s="175"/>
      <c r="D918" s="175"/>
      <c r="E918" s="175"/>
      <c r="F918" s="175"/>
      <c r="G918" s="175"/>
      <c r="H918" s="175"/>
      <c r="I918" s="175"/>
      <c r="J918" s="175"/>
      <c r="K918" s="175"/>
      <c r="L918" s="175"/>
      <c r="M918" s="175"/>
      <c r="N918" s="175"/>
      <c r="O918" s="175"/>
      <c r="P918" s="175"/>
      <c r="Q918" s="175"/>
      <c r="R918" s="175"/>
      <c r="S918" s="175"/>
      <c r="T918" s="175"/>
      <c r="U918" s="175"/>
      <c r="V918" s="175"/>
      <c r="W918" s="175"/>
      <c r="X918" s="175"/>
      <c r="Y918" s="175"/>
      <c r="Z918" s="175"/>
      <c r="AA918" s="175"/>
      <c r="AB918" s="175"/>
      <c r="AC918" s="175"/>
    </row>
    <row r="919" spans="1:29" ht="12.75">
      <c r="A919" s="175"/>
      <c r="B919" s="175"/>
      <c r="C919" s="175"/>
      <c r="D919" s="175"/>
      <c r="E919" s="175"/>
      <c r="F919" s="175"/>
      <c r="G919" s="175"/>
      <c r="H919" s="175"/>
      <c r="I919" s="175"/>
      <c r="J919" s="175"/>
      <c r="K919" s="175"/>
      <c r="L919" s="175"/>
      <c r="M919" s="175"/>
      <c r="N919" s="175"/>
      <c r="O919" s="175"/>
      <c r="P919" s="175"/>
      <c r="Q919" s="175"/>
      <c r="R919" s="175"/>
      <c r="S919" s="175"/>
      <c r="T919" s="175"/>
      <c r="U919" s="175"/>
      <c r="V919" s="175"/>
      <c r="W919" s="175"/>
      <c r="X919" s="175"/>
      <c r="Y919" s="175"/>
      <c r="Z919" s="175"/>
      <c r="AA919" s="175"/>
      <c r="AB919" s="175"/>
      <c r="AC919" s="175"/>
    </row>
    <row r="920" spans="1:29" ht="12.75">
      <c r="A920" s="175"/>
      <c r="B920" s="175"/>
      <c r="C920" s="175"/>
      <c r="D920" s="175"/>
      <c r="E920" s="175"/>
      <c r="F920" s="175"/>
      <c r="G920" s="175"/>
      <c r="H920" s="175"/>
      <c r="I920" s="175"/>
      <c r="J920" s="175"/>
      <c r="K920" s="175"/>
      <c r="L920" s="175"/>
      <c r="M920" s="175"/>
      <c r="N920" s="175"/>
      <c r="O920" s="175"/>
      <c r="P920" s="175"/>
      <c r="Q920" s="175"/>
      <c r="R920" s="175"/>
      <c r="S920" s="175"/>
      <c r="T920" s="175"/>
      <c r="U920" s="175"/>
      <c r="V920" s="175"/>
      <c r="W920" s="175"/>
      <c r="X920" s="175"/>
      <c r="Y920" s="175"/>
      <c r="Z920" s="175"/>
      <c r="AA920" s="175"/>
      <c r="AB920" s="175"/>
      <c r="AC920" s="175"/>
    </row>
    <row r="921" spans="1:29" ht="12.75">
      <c r="A921" s="175"/>
      <c r="B921" s="175"/>
      <c r="C921" s="175"/>
      <c r="D921" s="175"/>
      <c r="E921" s="175"/>
      <c r="F921" s="175"/>
      <c r="G921" s="175"/>
      <c r="H921" s="175"/>
      <c r="I921" s="175"/>
      <c r="J921" s="175"/>
      <c r="K921" s="175"/>
      <c r="L921" s="175"/>
      <c r="M921" s="175"/>
      <c r="N921" s="175"/>
      <c r="O921" s="175"/>
      <c r="P921" s="175"/>
      <c r="Q921" s="175"/>
      <c r="R921" s="175"/>
      <c r="S921" s="175"/>
      <c r="T921" s="175"/>
      <c r="U921" s="175"/>
      <c r="V921" s="175"/>
      <c r="W921" s="175"/>
      <c r="X921" s="175"/>
      <c r="Y921" s="175"/>
      <c r="Z921" s="175"/>
      <c r="AA921" s="175"/>
      <c r="AB921" s="175"/>
      <c r="AC921" s="175"/>
    </row>
    <row r="922" spans="1:29" ht="12.75">
      <c r="A922" s="175"/>
      <c r="B922" s="175"/>
      <c r="C922" s="175"/>
      <c r="D922" s="175"/>
      <c r="E922" s="175"/>
      <c r="F922" s="175"/>
      <c r="G922" s="175"/>
      <c r="H922" s="175"/>
      <c r="I922" s="175"/>
      <c r="J922" s="175"/>
      <c r="K922" s="175"/>
      <c r="L922" s="175"/>
      <c r="M922" s="175"/>
      <c r="N922" s="175"/>
      <c r="O922" s="175"/>
      <c r="P922" s="175"/>
      <c r="Q922" s="175"/>
      <c r="R922" s="175"/>
      <c r="S922" s="175"/>
      <c r="T922" s="175"/>
      <c r="U922" s="175"/>
      <c r="V922" s="175"/>
      <c r="W922" s="175"/>
      <c r="X922" s="175"/>
      <c r="Y922" s="175"/>
      <c r="Z922" s="175"/>
      <c r="AA922" s="175"/>
      <c r="AB922" s="175"/>
      <c r="AC922" s="175"/>
    </row>
    <row r="923" spans="1:29" ht="12.75">
      <c r="A923" s="175"/>
      <c r="B923" s="175"/>
      <c r="C923" s="175"/>
      <c r="D923" s="175"/>
      <c r="E923" s="175"/>
      <c r="F923" s="175"/>
      <c r="G923" s="175"/>
      <c r="H923" s="175"/>
      <c r="I923" s="175"/>
      <c r="J923" s="175"/>
      <c r="K923" s="175"/>
      <c r="L923" s="175"/>
      <c r="M923" s="175"/>
      <c r="N923" s="175"/>
      <c r="O923" s="175"/>
      <c r="P923" s="175"/>
      <c r="Q923" s="175"/>
      <c r="R923" s="175"/>
      <c r="S923" s="175"/>
      <c r="T923" s="175"/>
      <c r="U923" s="175"/>
      <c r="V923" s="175"/>
      <c r="W923" s="175"/>
      <c r="X923" s="175"/>
      <c r="Y923" s="175"/>
      <c r="Z923" s="175"/>
      <c r="AA923" s="175"/>
      <c r="AB923" s="175"/>
      <c r="AC923" s="175"/>
    </row>
    <row r="924" spans="1:29" ht="12.75">
      <c r="A924" s="175"/>
      <c r="B924" s="175"/>
      <c r="C924" s="175"/>
      <c r="D924" s="175"/>
      <c r="E924" s="175"/>
      <c r="F924" s="175"/>
      <c r="G924" s="175"/>
      <c r="H924" s="175"/>
      <c r="I924" s="175"/>
      <c r="J924" s="175"/>
      <c r="K924" s="175"/>
      <c r="L924" s="175"/>
      <c r="M924" s="175"/>
      <c r="N924" s="175"/>
      <c r="O924" s="175"/>
      <c r="P924" s="175"/>
      <c r="Q924" s="175"/>
      <c r="R924" s="175"/>
      <c r="S924" s="175"/>
      <c r="T924" s="175"/>
      <c r="U924" s="175"/>
      <c r="V924" s="175"/>
      <c r="W924" s="175"/>
      <c r="X924" s="175"/>
      <c r="Y924" s="175"/>
      <c r="Z924" s="175"/>
      <c r="AA924" s="175"/>
      <c r="AB924" s="175"/>
      <c r="AC924" s="175"/>
    </row>
    <row r="925" spans="1:29" ht="12.75">
      <c r="A925" s="175"/>
      <c r="B925" s="175"/>
      <c r="C925" s="175"/>
      <c r="D925" s="175"/>
      <c r="E925" s="175"/>
      <c r="F925" s="175"/>
      <c r="G925" s="175"/>
      <c r="H925" s="175"/>
      <c r="I925" s="175"/>
      <c r="J925" s="175"/>
      <c r="K925" s="175"/>
      <c r="L925" s="175"/>
      <c r="M925" s="175"/>
      <c r="N925" s="175"/>
      <c r="O925" s="175"/>
      <c r="P925" s="175"/>
      <c r="Q925" s="175"/>
      <c r="R925" s="175"/>
      <c r="S925" s="175"/>
      <c r="T925" s="175"/>
      <c r="U925" s="175"/>
      <c r="V925" s="175"/>
      <c r="W925" s="175"/>
      <c r="X925" s="175"/>
      <c r="Y925" s="175"/>
      <c r="Z925" s="175"/>
      <c r="AA925" s="175"/>
      <c r="AB925" s="175"/>
      <c r="AC925" s="175"/>
    </row>
    <row r="926" spans="1:29" ht="12.75">
      <c r="A926" s="175"/>
      <c r="B926" s="175"/>
      <c r="C926" s="175"/>
      <c r="D926" s="175"/>
      <c r="E926" s="175"/>
      <c r="F926" s="175"/>
      <c r="G926" s="175"/>
      <c r="H926" s="175"/>
      <c r="I926" s="175"/>
      <c r="J926" s="175"/>
      <c r="K926" s="175"/>
      <c r="L926" s="175"/>
      <c r="M926" s="175"/>
      <c r="N926" s="175"/>
      <c r="O926" s="175"/>
      <c r="P926" s="175"/>
      <c r="Q926" s="175"/>
      <c r="R926" s="175"/>
      <c r="S926" s="175"/>
      <c r="T926" s="175"/>
      <c r="U926" s="175"/>
      <c r="V926" s="175"/>
      <c r="W926" s="175"/>
      <c r="X926" s="175"/>
      <c r="Y926" s="175"/>
      <c r="Z926" s="175"/>
      <c r="AA926" s="175"/>
      <c r="AB926" s="175"/>
      <c r="AC926" s="175"/>
    </row>
    <row r="927" spans="1:29" ht="12.75">
      <c r="A927" s="175"/>
      <c r="B927" s="175"/>
      <c r="C927" s="175"/>
      <c r="D927" s="175"/>
      <c r="E927" s="175"/>
      <c r="F927" s="175"/>
      <c r="G927" s="175"/>
      <c r="H927" s="175"/>
      <c r="I927" s="175"/>
      <c r="J927" s="175"/>
      <c r="K927" s="175"/>
      <c r="L927" s="175"/>
      <c r="M927" s="175"/>
      <c r="N927" s="175"/>
      <c r="O927" s="175"/>
      <c r="P927" s="175"/>
      <c r="Q927" s="175"/>
      <c r="R927" s="175"/>
      <c r="S927" s="175"/>
      <c r="T927" s="175"/>
      <c r="U927" s="175"/>
      <c r="V927" s="175"/>
      <c r="W927" s="175"/>
      <c r="X927" s="175"/>
      <c r="Y927" s="175"/>
      <c r="Z927" s="175"/>
      <c r="AA927" s="175"/>
      <c r="AB927" s="175"/>
      <c r="AC927" s="175"/>
    </row>
    <row r="928" spans="1:29" ht="12.75">
      <c r="A928" s="175"/>
      <c r="B928" s="175"/>
      <c r="C928" s="175"/>
      <c r="D928" s="175"/>
      <c r="E928" s="175"/>
      <c r="F928" s="175"/>
      <c r="G928" s="175"/>
      <c r="H928" s="175"/>
      <c r="I928" s="175"/>
      <c r="J928" s="175"/>
      <c r="K928" s="175"/>
      <c r="L928" s="175"/>
      <c r="M928" s="175"/>
      <c r="N928" s="175"/>
      <c r="O928" s="175"/>
      <c r="P928" s="175"/>
      <c r="Q928" s="175"/>
      <c r="R928" s="175"/>
      <c r="S928" s="175"/>
      <c r="T928" s="175"/>
      <c r="U928" s="175"/>
      <c r="V928" s="175"/>
      <c r="W928" s="175"/>
      <c r="X928" s="175"/>
      <c r="Y928" s="175"/>
      <c r="Z928" s="175"/>
      <c r="AA928" s="175"/>
      <c r="AB928" s="175"/>
      <c r="AC928" s="175"/>
    </row>
    <row r="929" spans="1:29" ht="12.75">
      <c r="A929" s="175"/>
      <c r="B929" s="175"/>
      <c r="C929" s="175"/>
      <c r="D929" s="175"/>
      <c r="E929" s="175"/>
      <c r="F929" s="175"/>
      <c r="G929" s="175"/>
      <c r="H929" s="175"/>
      <c r="I929" s="175"/>
      <c r="J929" s="175"/>
      <c r="K929" s="175"/>
      <c r="L929" s="175"/>
      <c r="M929" s="175"/>
      <c r="N929" s="175"/>
      <c r="O929" s="175"/>
      <c r="P929" s="175"/>
      <c r="Q929" s="175"/>
      <c r="R929" s="175"/>
      <c r="S929" s="175"/>
      <c r="T929" s="175"/>
      <c r="U929" s="175"/>
      <c r="V929" s="175"/>
      <c r="W929" s="175"/>
      <c r="X929" s="175"/>
      <c r="Y929" s="175"/>
      <c r="Z929" s="175"/>
      <c r="AA929" s="175"/>
      <c r="AB929" s="175"/>
      <c r="AC929" s="175"/>
    </row>
    <row r="930" spans="1:29" ht="12.75">
      <c r="A930" s="175"/>
      <c r="B930" s="175"/>
      <c r="C930" s="175"/>
      <c r="D930" s="175"/>
      <c r="E930" s="175"/>
      <c r="F930" s="175"/>
      <c r="G930" s="175"/>
      <c r="H930" s="175"/>
      <c r="I930" s="175"/>
      <c r="J930" s="175"/>
      <c r="K930" s="175"/>
      <c r="L930" s="175"/>
      <c r="M930" s="175"/>
      <c r="N930" s="175"/>
      <c r="O930" s="175"/>
      <c r="P930" s="175"/>
      <c r="Q930" s="175"/>
      <c r="R930" s="175"/>
      <c r="S930" s="175"/>
      <c r="T930" s="175"/>
      <c r="U930" s="175"/>
      <c r="V930" s="175"/>
      <c r="W930" s="175"/>
      <c r="X930" s="175"/>
      <c r="Y930" s="175"/>
      <c r="Z930" s="175"/>
      <c r="AA930" s="175"/>
      <c r="AB930" s="175"/>
      <c r="AC930" s="175"/>
    </row>
    <row r="931" spans="1:29" ht="12.75">
      <c r="A931" s="175"/>
      <c r="B931" s="175"/>
      <c r="C931" s="175"/>
      <c r="D931" s="175"/>
      <c r="E931" s="175"/>
      <c r="F931" s="175"/>
      <c r="G931" s="175"/>
      <c r="H931" s="175"/>
      <c r="I931" s="175"/>
      <c r="J931" s="175"/>
      <c r="K931" s="175"/>
      <c r="L931" s="175"/>
      <c r="M931" s="175"/>
      <c r="N931" s="175"/>
      <c r="O931" s="175"/>
      <c r="P931" s="175"/>
      <c r="Q931" s="175"/>
      <c r="R931" s="175"/>
      <c r="S931" s="175"/>
      <c r="T931" s="175"/>
      <c r="U931" s="175"/>
      <c r="V931" s="175"/>
      <c r="W931" s="175"/>
      <c r="X931" s="175"/>
      <c r="Y931" s="175"/>
      <c r="Z931" s="175"/>
      <c r="AA931" s="175"/>
      <c r="AB931" s="175"/>
      <c r="AC931" s="175"/>
    </row>
    <row r="932" spans="1:29" ht="12.75">
      <c r="A932" s="175"/>
      <c r="B932" s="175"/>
      <c r="C932" s="175"/>
      <c r="D932" s="175"/>
      <c r="E932" s="175"/>
      <c r="F932" s="175"/>
      <c r="G932" s="175"/>
      <c r="H932" s="175"/>
      <c r="I932" s="175"/>
      <c r="J932" s="175"/>
      <c r="K932" s="175"/>
      <c r="L932" s="175"/>
      <c r="M932" s="175"/>
      <c r="N932" s="175"/>
      <c r="O932" s="175"/>
      <c r="P932" s="175"/>
      <c r="Q932" s="175"/>
      <c r="R932" s="175"/>
      <c r="S932" s="175"/>
      <c r="T932" s="175"/>
      <c r="U932" s="175"/>
      <c r="V932" s="175"/>
      <c r="W932" s="175"/>
      <c r="X932" s="175"/>
      <c r="Y932" s="175"/>
      <c r="Z932" s="175"/>
      <c r="AA932" s="175"/>
      <c r="AB932" s="175"/>
      <c r="AC932" s="175"/>
    </row>
    <row r="933" spans="1:29" ht="12.75">
      <c r="A933" s="175"/>
      <c r="B933" s="175"/>
      <c r="C933" s="175"/>
      <c r="D933" s="175"/>
      <c r="E933" s="175"/>
      <c r="F933" s="175"/>
      <c r="G933" s="175"/>
      <c r="H933" s="175"/>
      <c r="I933" s="175"/>
      <c r="J933" s="175"/>
      <c r="K933" s="175"/>
      <c r="L933" s="175"/>
      <c r="M933" s="175"/>
      <c r="N933" s="175"/>
      <c r="O933" s="175"/>
      <c r="P933" s="175"/>
      <c r="Q933" s="175"/>
      <c r="R933" s="175"/>
      <c r="S933" s="175"/>
      <c r="T933" s="175"/>
      <c r="U933" s="175"/>
      <c r="V933" s="175"/>
      <c r="W933" s="175"/>
      <c r="X933" s="175"/>
      <c r="Y933" s="175"/>
      <c r="Z933" s="175"/>
      <c r="AA933" s="175"/>
      <c r="AB933" s="175"/>
      <c r="AC933" s="175"/>
    </row>
    <row r="934" spans="1:29" ht="12.75">
      <c r="A934" s="175"/>
      <c r="B934" s="175"/>
      <c r="C934" s="175"/>
      <c r="D934" s="175"/>
      <c r="E934" s="175"/>
      <c r="F934" s="175"/>
      <c r="G934" s="175"/>
      <c r="H934" s="175"/>
      <c r="I934" s="175"/>
      <c r="J934" s="175"/>
      <c r="K934" s="175"/>
      <c r="L934" s="175"/>
      <c r="M934" s="175"/>
      <c r="N934" s="175"/>
      <c r="O934" s="175"/>
      <c r="P934" s="175"/>
      <c r="Q934" s="175"/>
      <c r="R934" s="175"/>
      <c r="S934" s="175"/>
      <c r="T934" s="175"/>
      <c r="U934" s="175"/>
      <c r="V934" s="175"/>
      <c r="W934" s="175"/>
      <c r="X934" s="175"/>
      <c r="Y934" s="175"/>
      <c r="Z934" s="175"/>
      <c r="AA934" s="175"/>
      <c r="AB934" s="175"/>
      <c r="AC934" s="175"/>
    </row>
    <row r="935" spans="1:29" ht="12.75">
      <c r="A935" s="175"/>
      <c r="B935" s="175"/>
      <c r="C935" s="175"/>
      <c r="D935" s="175"/>
      <c r="E935" s="175"/>
      <c r="F935" s="175"/>
      <c r="G935" s="175"/>
      <c r="H935" s="175"/>
      <c r="I935" s="175"/>
      <c r="J935" s="175"/>
      <c r="K935" s="175"/>
      <c r="L935" s="175"/>
      <c r="M935" s="175"/>
      <c r="N935" s="175"/>
      <c r="O935" s="175"/>
      <c r="P935" s="175"/>
      <c r="Q935" s="175"/>
      <c r="R935" s="175"/>
      <c r="S935" s="175"/>
      <c r="T935" s="175"/>
      <c r="U935" s="175"/>
      <c r="V935" s="175"/>
      <c r="W935" s="175"/>
      <c r="X935" s="175"/>
      <c r="Y935" s="175"/>
      <c r="Z935" s="175"/>
      <c r="AA935" s="175"/>
      <c r="AB935" s="175"/>
      <c r="AC935" s="175"/>
    </row>
    <row r="936" spans="1:29" ht="12.75">
      <c r="A936" s="175"/>
      <c r="B936" s="175"/>
      <c r="C936" s="175"/>
      <c r="D936" s="175"/>
      <c r="E936" s="175"/>
      <c r="F936" s="175"/>
      <c r="G936" s="175"/>
      <c r="H936" s="175"/>
      <c r="I936" s="175"/>
      <c r="J936" s="175"/>
      <c r="K936" s="175"/>
      <c r="L936" s="175"/>
      <c r="M936" s="175"/>
      <c r="N936" s="175"/>
      <c r="O936" s="175"/>
      <c r="P936" s="175"/>
      <c r="Q936" s="175"/>
      <c r="R936" s="175"/>
      <c r="S936" s="175"/>
      <c r="T936" s="175"/>
      <c r="U936" s="175"/>
      <c r="V936" s="175"/>
      <c r="W936" s="175"/>
      <c r="X936" s="175"/>
      <c r="Y936" s="175"/>
      <c r="Z936" s="175"/>
      <c r="AA936" s="175"/>
      <c r="AB936" s="175"/>
      <c r="AC936" s="175"/>
    </row>
    <row r="937" spans="1:29" ht="12.75">
      <c r="A937" s="175"/>
      <c r="B937" s="175"/>
      <c r="C937" s="175"/>
      <c r="D937" s="175"/>
      <c r="E937" s="175"/>
      <c r="F937" s="175"/>
      <c r="G937" s="175"/>
      <c r="H937" s="175"/>
      <c r="I937" s="175"/>
      <c r="J937" s="175"/>
      <c r="K937" s="175"/>
      <c r="L937" s="175"/>
      <c r="M937" s="175"/>
      <c r="N937" s="175"/>
      <c r="O937" s="175"/>
      <c r="P937" s="175"/>
      <c r="Q937" s="175"/>
      <c r="R937" s="175"/>
      <c r="S937" s="175"/>
      <c r="T937" s="175"/>
      <c r="U937" s="175"/>
      <c r="V937" s="175"/>
      <c r="W937" s="175"/>
      <c r="X937" s="175"/>
      <c r="Y937" s="175"/>
      <c r="Z937" s="175"/>
      <c r="AA937" s="175"/>
      <c r="AB937" s="175"/>
      <c r="AC937" s="175"/>
    </row>
    <row r="938" spans="1:29" ht="12.75">
      <c r="A938" s="175"/>
      <c r="B938" s="175"/>
      <c r="C938" s="175"/>
      <c r="D938" s="175"/>
      <c r="E938" s="175"/>
      <c r="F938" s="175"/>
      <c r="G938" s="175"/>
      <c r="H938" s="175"/>
      <c r="I938" s="175"/>
      <c r="J938" s="175"/>
      <c r="K938" s="175"/>
      <c r="L938" s="175"/>
      <c r="M938" s="175"/>
      <c r="N938" s="175"/>
      <c r="O938" s="175"/>
      <c r="P938" s="175"/>
      <c r="Q938" s="175"/>
      <c r="R938" s="175"/>
      <c r="S938" s="175"/>
      <c r="T938" s="175"/>
      <c r="U938" s="175"/>
      <c r="V938" s="175"/>
      <c r="W938" s="175"/>
      <c r="X938" s="175"/>
      <c r="Y938" s="175"/>
      <c r="Z938" s="175"/>
      <c r="AA938" s="175"/>
      <c r="AB938" s="175"/>
      <c r="AC938" s="175"/>
    </row>
    <row r="939" spans="1:29" ht="12.75">
      <c r="A939" s="175"/>
      <c r="B939" s="175"/>
      <c r="C939" s="175"/>
      <c r="D939" s="175"/>
      <c r="E939" s="175"/>
      <c r="F939" s="175"/>
      <c r="G939" s="175"/>
      <c r="H939" s="175"/>
      <c r="I939" s="175"/>
      <c r="J939" s="175"/>
      <c r="K939" s="175"/>
      <c r="L939" s="175"/>
      <c r="M939" s="175"/>
      <c r="N939" s="175"/>
      <c r="O939" s="175"/>
      <c r="P939" s="175"/>
      <c r="Q939" s="175"/>
      <c r="R939" s="175"/>
      <c r="S939" s="175"/>
      <c r="T939" s="175"/>
      <c r="U939" s="175"/>
      <c r="V939" s="175"/>
      <c r="W939" s="175"/>
      <c r="X939" s="175"/>
      <c r="Y939" s="175"/>
      <c r="Z939" s="175"/>
      <c r="AA939" s="175"/>
      <c r="AB939" s="175"/>
      <c r="AC939" s="175"/>
    </row>
    <row r="940" spans="1:29" ht="12.75">
      <c r="A940" s="175"/>
      <c r="B940" s="175"/>
      <c r="C940" s="175"/>
      <c r="D940" s="175"/>
      <c r="E940" s="175"/>
      <c r="F940" s="175"/>
      <c r="G940" s="175"/>
      <c r="H940" s="175"/>
      <c r="I940" s="175"/>
      <c r="J940" s="175"/>
      <c r="K940" s="175"/>
      <c r="L940" s="175"/>
      <c r="M940" s="175"/>
      <c r="N940" s="175"/>
      <c r="O940" s="175"/>
      <c r="P940" s="175"/>
      <c r="Q940" s="175"/>
      <c r="R940" s="175"/>
      <c r="S940" s="175"/>
      <c r="T940" s="175"/>
      <c r="U940" s="175"/>
      <c r="V940" s="175"/>
      <c r="W940" s="175"/>
      <c r="X940" s="175"/>
      <c r="Y940" s="175"/>
      <c r="Z940" s="175"/>
      <c r="AA940" s="175"/>
      <c r="AB940" s="175"/>
      <c r="AC940" s="175"/>
    </row>
    <row r="941" spans="1:29" ht="12.75">
      <c r="A941" s="175"/>
      <c r="B941" s="175"/>
      <c r="C941" s="175"/>
      <c r="D941" s="175"/>
      <c r="E941" s="175"/>
      <c r="F941" s="175"/>
      <c r="G941" s="175"/>
      <c r="H941" s="175"/>
      <c r="I941" s="175"/>
      <c r="J941" s="175"/>
      <c r="K941" s="175"/>
      <c r="L941" s="175"/>
      <c r="M941" s="175"/>
      <c r="N941" s="175"/>
      <c r="O941" s="175"/>
      <c r="P941" s="175"/>
      <c r="Q941" s="175"/>
      <c r="R941" s="175"/>
      <c r="S941" s="175"/>
      <c r="T941" s="175"/>
      <c r="U941" s="175"/>
      <c r="V941" s="175"/>
      <c r="W941" s="175"/>
      <c r="X941" s="175"/>
      <c r="Y941" s="175"/>
      <c r="Z941" s="175"/>
      <c r="AA941" s="175"/>
      <c r="AB941" s="175"/>
      <c r="AC941" s="175"/>
    </row>
    <row r="942" spans="1:29" ht="12.75">
      <c r="A942" s="175"/>
      <c r="B942" s="175"/>
      <c r="C942" s="175"/>
      <c r="D942" s="175"/>
      <c r="E942" s="175"/>
      <c r="F942" s="175"/>
      <c r="G942" s="175"/>
      <c r="H942" s="175"/>
      <c r="I942" s="175"/>
      <c r="J942" s="175"/>
      <c r="K942" s="175"/>
      <c r="L942" s="175"/>
      <c r="M942" s="175"/>
      <c r="N942" s="175"/>
      <c r="O942" s="175"/>
      <c r="P942" s="175"/>
      <c r="Q942" s="175"/>
      <c r="R942" s="175"/>
      <c r="S942" s="175"/>
      <c r="T942" s="175"/>
      <c r="U942" s="175"/>
      <c r="V942" s="175"/>
      <c r="W942" s="175"/>
      <c r="X942" s="175"/>
      <c r="Y942" s="175"/>
      <c r="Z942" s="175"/>
      <c r="AA942" s="175"/>
      <c r="AB942" s="175"/>
      <c r="AC942" s="175"/>
    </row>
    <row r="943" spans="1:29" ht="12.75">
      <c r="A943" s="175"/>
      <c r="B943" s="175"/>
      <c r="C943" s="175"/>
      <c r="D943" s="175"/>
      <c r="E943" s="175"/>
      <c r="F943" s="175"/>
      <c r="G943" s="175"/>
      <c r="H943" s="175"/>
      <c r="I943" s="175"/>
      <c r="J943" s="175"/>
      <c r="K943" s="175"/>
      <c r="L943" s="175"/>
      <c r="M943" s="175"/>
      <c r="N943" s="175"/>
      <c r="O943" s="175"/>
      <c r="P943" s="175"/>
      <c r="Q943" s="175"/>
      <c r="R943" s="175"/>
      <c r="S943" s="175"/>
      <c r="T943" s="175"/>
      <c r="U943" s="175"/>
      <c r="V943" s="175"/>
      <c r="W943" s="175"/>
      <c r="X943" s="175"/>
      <c r="Y943" s="175"/>
      <c r="Z943" s="175"/>
      <c r="AA943" s="175"/>
      <c r="AB943" s="175"/>
      <c r="AC943" s="175"/>
    </row>
    <row r="944" spans="1:29" ht="12.75">
      <c r="A944" s="175"/>
      <c r="B944" s="175"/>
      <c r="C944" s="175"/>
      <c r="D944" s="175"/>
      <c r="E944" s="175"/>
      <c r="F944" s="175"/>
      <c r="G944" s="175"/>
      <c r="H944" s="175"/>
      <c r="I944" s="175"/>
      <c r="J944" s="175"/>
      <c r="K944" s="175"/>
      <c r="L944" s="175"/>
      <c r="M944" s="175"/>
      <c r="N944" s="175"/>
      <c r="O944" s="175"/>
      <c r="P944" s="175"/>
      <c r="Q944" s="175"/>
      <c r="R944" s="175"/>
      <c r="S944" s="175"/>
      <c r="T944" s="175"/>
      <c r="U944" s="175"/>
      <c r="V944" s="175"/>
      <c r="W944" s="175"/>
      <c r="X944" s="175"/>
      <c r="Y944" s="175"/>
      <c r="Z944" s="175"/>
      <c r="AA944" s="175"/>
      <c r="AB944" s="175"/>
      <c r="AC944" s="175"/>
    </row>
    <row r="945" spans="1:29" ht="12.75">
      <c r="A945" s="175"/>
      <c r="B945" s="175"/>
      <c r="C945" s="175"/>
      <c r="D945" s="175"/>
      <c r="E945" s="175"/>
      <c r="F945" s="175"/>
      <c r="G945" s="175"/>
      <c r="H945" s="175"/>
      <c r="I945" s="175"/>
      <c r="J945" s="175"/>
      <c r="K945" s="175"/>
      <c r="L945" s="175"/>
      <c r="M945" s="175"/>
      <c r="N945" s="175"/>
      <c r="O945" s="175"/>
      <c r="P945" s="175"/>
      <c r="Q945" s="175"/>
      <c r="R945" s="175"/>
      <c r="S945" s="175"/>
      <c r="T945" s="175"/>
      <c r="U945" s="175"/>
      <c r="V945" s="175"/>
      <c r="W945" s="175"/>
      <c r="X945" s="175"/>
      <c r="Y945" s="175"/>
      <c r="Z945" s="175"/>
      <c r="AA945" s="175"/>
      <c r="AB945" s="175"/>
      <c r="AC945" s="175"/>
    </row>
    <row r="946" spans="1:29" ht="12.75">
      <c r="A946" s="175"/>
      <c r="B946" s="175"/>
      <c r="C946" s="175"/>
      <c r="D946" s="175"/>
      <c r="E946" s="175"/>
      <c r="F946" s="175"/>
      <c r="G946" s="175"/>
      <c r="H946" s="175"/>
      <c r="I946" s="175"/>
      <c r="J946" s="175"/>
      <c r="K946" s="175"/>
      <c r="L946" s="175"/>
      <c r="M946" s="175"/>
      <c r="N946" s="175"/>
      <c r="O946" s="175"/>
      <c r="P946" s="175"/>
      <c r="Q946" s="175"/>
      <c r="R946" s="175"/>
      <c r="S946" s="175"/>
      <c r="T946" s="175"/>
      <c r="U946" s="175"/>
      <c r="V946" s="175"/>
      <c r="W946" s="175"/>
      <c r="X946" s="175"/>
      <c r="Y946" s="175"/>
      <c r="Z946" s="175"/>
      <c r="AA946" s="175"/>
      <c r="AB946" s="175"/>
      <c r="AC946" s="175"/>
    </row>
    <row r="947" spans="1:29" ht="12.75">
      <c r="A947" s="175"/>
      <c r="B947" s="175"/>
      <c r="C947" s="175"/>
      <c r="D947" s="175"/>
      <c r="E947" s="175"/>
      <c r="F947" s="175"/>
      <c r="G947" s="175"/>
      <c r="H947" s="175"/>
      <c r="I947" s="175"/>
      <c r="J947" s="175"/>
      <c r="K947" s="175"/>
      <c r="L947" s="175"/>
      <c r="M947" s="175"/>
      <c r="N947" s="175"/>
      <c r="O947" s="175"/>
      <c r="P947" s="175"/>
      <c r="Q947" s="175"/>
      <c r="R947" s="175"/>
      <c r="S947" s="175"/>
      <c r="T947" s="175"/>
      <c r="U947" s="175"/>
      <c r="V947" s="175"/>
      <c r="W947" s="175"/>
      <c r="X947" s="175"/>
      <c r="Y947" s="175"/>
      <c r="Z947" s="175"/>
      <c r="AA947" s="175"/>
      <c r="AB947" s="175"/>
      <c r="AC947" s="175"/>
    </row>
    <row r="948" spans="1:29" ht="12.75">
      <c r="A948" s="175"/>
      <c r="B948" s="175"/>
      <c r="C948" s="175"/>
      <c r="D948" s="175"/>
      <c r="E948" s="175"/>
      <c r="F948" s="175"/>
      <c r="G948" s="175"/>
      <c r="H948" s="175"/>
      <c r="I948" s="175"/>
      <c r="J948" s="175"/>
      <c r="K948" s="175"/>
      <c r="L948" s="175"/>
      <c r="M948" s="175"/>
      <c r="N948" s="175"/>
      <c r="O948" s="175"/>
      <c r="P948" s="175"/>
      <c r="Q948" s="175"/>
      <c r="R948" s="175"/>
      <c r="S948" s="175"/>
      <c r="T948" s="175"/>
      <c r="U948" s="175"/>
      <c r="V948" s="175"/>
      <c r="W948" s="175"/>
      <c r="X948" s="175"/>
      <c r="Y948" s="175"/>
      <c r="Z948" s="175"/>
      <c r="AA948" s="175"/>
      <c r="AB948" s="175"/>
      <c r="AC948" s="175"/>
    </row>
    <row r="949" spans="1:29" ht="12.75">
      <c r="A949" s="175"/>
      <c r="B949" s="175"/>
      <c r="C949" s="175"/>
      <c r="D949" s="175"/>
      <c r="E949" s="175"/>
      <c r="F949" s="175"/>
      <c r="G949" s="175"/>
      <c r="H949" s="175"/>
      <c r="I949" s="175"/>
      <c r="J949" s="175"/>
      <c r="K949" s="175"/>
      <c r="L949" s="175"/>
      <c r="M949" s="175"/>
      <c r="N949" s="175"/>
      <c r="O949" s="175"/>
      <c r="P949" s="175"/>
      <c r="Q949" s="175"/>
      <c r="R949" s="175"/>
      <c r="S949" s="175"/>
      <c r="T949" s="175"/>
      <c r="U949" s="175"/>
      <c r="V949" s="175"/>
      <c r="W949" s="175"/>
      <c r="X949" s="175"/>
      <c r="Y949" s="175"/>
      <c r="Z949" s="175"/>
      <c r="AA949" s="175"/>
      <c r="AB949" s="175"/>
      <c r="AC949" s="175"/>
    </row>
    <row r="950" spans="1:29" ht="12.75">
      <c r="A950" s="175"/>
      <c r="B950" s="175"/>
      <c r="C950" s="175"/>
      <c r="D950" s="175"/>
      <c r="E950" s="175"/>
      <c r="F950" s="175"/>
      <c r="G950" s="175"/>
      <c r="H950" s="175"/>
      <c r="I950" s="175"/>
      <c r="J950" s="175"/>
      <c r="K950" s="175"/>
      <c r="L950" s="175"/>
      <c r="M950" s="175"/>
      <c r="N950" s="175"/>
      <c r="O950" s="175"/>
      <c r="P950" s="175"/>
      <c r="Q950" s="175"/>
      <c r="R950" s="175"/>
      <c r="S950" s="175"/>
      <c r="T950" s="175"/>
      <c r="U950" s="175"/>
      <c r="V950" s="175"/>
      <c r="W950" s="175"/>
      <c r="X950" s="175"/>
      <c r="Y950" s="175"/>
      <c r="Z950" s="175"/>
      <c r="AA950" s="175"/>
      <c r="AB950" s="175"/>
      <c r="AC950" s="175"/>
    </row>
    <row r="951" spans="1:29" ht="12.75">
      <c r="A951" s="175"/>
      <c r="B951" s="175"/>
      <c r="C951" s="175"/>
      <c r="D951" s="175"/>
      <c r="E951" s="175"/>
      <c r="F951" s="175"/>
      <c r="G951" s="175"/>
      <c r="H951" s="175"/>
      <c r="I951" s="175"/>
      <c r="J951" s="175"/>
      <c r="K951" s="175"/>
      <c r="L951" s="175"/>
      <c r="M951" s="175"/>
      <c r="N951" s="175"/>
      <c r="O951" s="175"/>
      <c r="P951" s="175"/>
      <c r="Q951" s="175"/>
      <c r="R951" s="175"/>
      <c r="S951" s="175"/>
      <c r="T951" s="175"/>
      <c r="U951" s="175"/>
      <c r="V951" s="175"/>
      <c r="W951" s="175"/>
      <c r="X951" s="175"/>
      <c r="Y951" s="175"/>
      <c r="Z951" s="175"/>
      <c r="AA951" s="175"/>
      <c r="AB951" s="175"/>
      <c r="AC951" s="175"/>
    </row>
    <row r="952" spans="1:29" ht="12.75">
      <c r="A952" s="175"/>
      <c r="B952" s="175"/>
      <c r="C952" s="175"/>
      <c r="D952" s="175"/>
      <c r="E952" s="175"/>
      <c r="F952" s="175"/>
      <c r="G952" s="175"/>
      <c r="H952" s="175"/>
      <c r="I952" s="175"/>
      <c r="J952" s="175"/>
      <c r="K952" s="175"/>
      <c r="L952" s="175"/>
      <c r="M952" s="175"/>
      <c r="N952" s="175"/>
      <c r="O952" s="175"/>
      <c r="P952" s="175"/>
      <c r="Q952" s="175"/>
      <c r="R952" s="175"/>
      <c r="S952" s="175"/>
      <c r="T952" s="175"/>
      <c r="U952" s="175"/>
      <c r="V952" s="175"/>
      <c r="W952" s="175"/>
      <c r="X952" s="175"/>
      <c r="Y952" s="175"/>
      <c r="Z952" s="175"/>
      <c r="AA952" s="175"/>
      <c r="AB952" s="175"/>
      <c r="AC952" s="175"/>
    </row>
    <row r="953" spans="1:29" ht="12.75">
      <c r="A953" s="175"/>
      <c r="B953" s="175"/>
      <c r="C953" s="175"/>
      <c r="D953" s="175"/>
      <c r="E953" s="175"/>
      <c r="F953" s="175"/>
      <c r="G953" s="175"/>
      <c r="H953" s="175"/>
      <c r="I953" s="175"/>
      <c r="J953" s="175"/>
      <c r="K953" s="175"/>
      <c r="L953" s="175"/>
      <c r="M953" s="175"/>
      <c r="N953" s="175"/>
      <c r="O953" s="175"/>
      <c r="P953" s="175"/>
      <c r="Q953" s="175"/>
      <c r="R953" s="175"/>
      <c r="S953" s="175"/>
      <c r="T953" s="175"/>
      <c r="U953" s="175"/>
      <c r="V953" s="175"/>
      <c r="W953" s="175"/>
      <c r="X953" s="175"/>
      <c r="Y953" s="175"/>
      <c r="Z953" s="175"/>
      <c r="AA953" s="175"/>
      <c r="AB953" s="175"/>
      <c r="AC953" s="175"/>
    </row>
    <row r="954" spans="1:29" ht="12.75">
      <c r="A954" s="175"/>
      <c r="B954" s="175"/>
      <c r="C954" s="175"/>
      <c r="D954" s="175"/>
      <c r="E954" s="175"/>
      <c r="F954" s="175"/>
      <c r="G954" s="175"/>
      <c r="H954" s="175"/>
      <c r="I954" s="175"/>
      <c r="J954" s="175"/>
      <c r="K954" s="175"/>
      <c r="L954" s="175"/>
      <c r="M954" s="175"/>
      <c r="N954" s="175"/>
      <c r="O954" s="175"/>
      <c r="P954" s="175"/>
      <c r="Q954" s="175"/>
      <c r="R954" s="175"/>
      <c r="S954" s="175"/>
      <c r="T954" s="175"/>
      <c r="U954" s="175"/>
      <c r="V954" s="175"/>
      <c r="W954" s="175"/>
      <c r="X954" s="175"/>
      <c r="Y954" s="175"/>
      <c r="Z954" s="175"/>
      <c r="AA954" s="175"/>
      <c r="AB954" s="175"/>
      <c r="AC954" s="175"/>
    </row>
    <row r="955" spans="1:29" ht="12.75">
      <c r="A955" s="175"/>
      <c r="B955" s="175"/>
      <c r="C955" s="175"/>
      <c r="D955" s="175"/>
      <c r="E955" s="175"/>
      <c r="F955" s="175"/>
      <c r="G955" s="175"/>
      <c r="H955" s="175"/>
      <c r="I955" s="175"/>
      <c r="J955" s="175"/>
      <c r="K955" s="175"/>
      <c r="L955" s="175"/>
      <c r="M955" s="175"/>
      <c r="N955" s="175"/>
      <c r="O955" s="175"/>
      <c r="P955" s="175"/>
      <c r="Q955" s="175"/>
      <c r="R955" s="175"/>
      <c r="S955" s="175"/>
      <c r="T955" s="175"/>
      <c r="U955" s="175"/>
      <c r="V955" s="175"/>
      <c r="W955" s="175"/>
      <c r="X955" s="175"/>
      <c r="Y955" s="175"/>
      <c r="Z955" s="175"/>
      <c r="AA955" s="175"/>
      <c r="AB955" s="175"/>
      <c r="AC955" s="175"/>
    </row>
    <row r="956" spans="1:29" ht="12.75">
      <c r="A956" s="175"/>
      <c r="B956" s="175"/>
      <c r="C956" s="175"/>
      <c r="D956" s="175"/>
      <c r="E956" s="175"/>
      <c r="F956" s="175"/>
      <c r="G956" s="175"/>
      <c r="H956" s="175"/>
      <c r="I956" s="175"/>
      <c r="J956" s="175"/>
      <c r="K956" s="175"/>
      <c r="L956" s="175"/>
      <c r="M956" s="175"/>
      <c r="N956" s="175"/>
      <c r="O956" s="175"/>
      <c r="P956" s="175"/>
      <c r="Q956" s="175"/>
      <c r="R956" s="175"/>
      <c r="S956" s="175"/>
      <c r="T956" s="175"/>
      <c r="U956" s="175"/>
      <c r="V956" s="175"/>
      <c r="W956" s="175"/>
      <c r="X956" s="175"/>
      <c r="Y956" s="175"/>
      <c r="Z956" s="175"/>
      <c r="AA956" s="175"/>
      <c r="AB956" s="175"/>
      <c r="AC956" s="175"/>
    </row>
    <row r="957" spans="1:29" ht="12.75">
      <c r="A957" s="175"/>
      <c r="B957" s="175"/>
      <c r="C957" s="175"/>
      <c r="D957" s="175"/>
      <c r="E957" s="175"/>
      <c r="F957" s="175"/>
      <c r="G957" s="175"/>
      <c r="H957" s="175"/>
      <c r="I957" s="175"/>
      <c r="J957" s="175"/>
      <c r="K957" s="175"/>
      <c r="L957" s="175"/>
      <c r="M957" s="175"/>
      <c r="N957" s="175"/>
      <c r="O957" s="175"/>
      <c r="P957" s="175"/>
      <c r="Q957" s="175"/>
      <c r="R957" s="175"/>
      <c r="S957" s="175"/>
      <c r="T957" s="175"/>
      <c r="U957" s="175"/>
      <c r="V957" s="175"/>
      <c r="W957" s="175"/>
      <c r="X957" s="175"/>
      <c r="Y957" s="175"/>
      <c r="Z957" s="175"/>
      <c r="AA957" s="175"/>
      <c r="AB957" s="175"/>
      <c r="AC957" s="175"/>
    </row>
    <row r="958" spans="1:29" ht="12.75">
      <c r="A958" s="175"/>
      <c r="B958" s="175"/>
      <c r="C958" s="175"/>
      <c r="D958" s="175"/>
      <c r="E958" s="175"/>
      <c r="F958" s="175"/>
      <c r="G958" s="175"/>
      <c r="H958" s="175"/>
      <c r="I958" s="175"/>
      <c r="J958" s="175"/>
      <c r="K958" s="175"/>
      <c r="L958" s="175"/>
      <c r="M958" s="175"/>
      <c r="N958" s="175"/>
      <c r="O958" s="175"/>
      <c r="P958" s="175"/>
      <c r="Q958" s="175"/>
      <c r="R958" s="175"/>
      <c r="S958" s="175"/>
      <c r="T958" s="175"/>
      <c r="U958" s="175"/>
      <c r="V958" s="175"/>
      <c r="W958" s="175"/>
      <c r="X958" s="175"/>
      <c r="Y958" s="175"/>
      <c r="Z958" s="175"/>
      <c r="AA958" s="175"/>
      <c r="AB958" s="175"/>
      <c r="AC958" s="175"/>
    </row>
    <row r="959" spans="1:29" ht="12.75">
      <c r="A959" s="175"/>
      <c r="B959" s="175"/>
      <c r="C959" s="175"/>
      <c r="D959" s="175"/>
      <c r="E959" s="175"/>
      <c r="F959" s="175"/>
      <c r="G959" s="175"/>
      <c r="H959" s="175"/>
      <c r="I959" s="175"/>
      <c r="J959" s="175"/>
      <c r="K959" s="175"/>
      <c r="L959" s="175"/>
      <c r="M959" s="175"/>
      <c r="N959" s="175"/>
      <c r="O959" s="175"/>
      <c r="P959" s="175"/>
      <c r="Q959" s="175"/>
      <c r="R959" s="175"/>
      <c r="S959" s="175"/>
      <c r="T959" s="175"/>
      <c r="U959" s="175"/>
      <c r="V959" s="175"/>
      <c r="W959" s="175"/>
      <c r="X959" s="175"/>
      <c r="Y959" s="175"/>
      <c r="Z959" s="175"/>
      <c r="AA959" s="175"/>
      <c r="AB959" s="175"/>
      <c r="AC959" s="175"/>
    </row>
    <row r="960" spans="1:29" ht="12.75">
      <c r="A960" s="175"/>
      <c r="B960" s="175"/>
      <c r="C960" s="175"/>
      <c r="D960" s="175"/>
      <c r="E960" s="175"/>
      <c r="F960" s="175"/>
      <c r="G960" s="175"/>
      <c r="H960" s="175"/>
      <c r="I960" s="175"/>
      <c r="J960" s="175"/>
      <c r="K960" s="175"/>
      <c r="L960" s="175"/>
      <c r="M960" s="175"/>
      <c r="N960" s="175"/>
      <c r="O960" s="175"/>
      <c r="P960" s="175"/>
      <c r="Q960" s="175"/>
      <c r="R960" s="175"/>
      <c r="S960" s="175"/>
      <c r="T960" s="175"/>
      <c r="U960" s="175"/>
      <c r="V960" s="175"/>
      <c r="W960" s="175"/>
      <c r="X960" s="175"/>
      <c r="Y960" s="175"/>
      <c r="Z960" s="175"/>
      <c r="AA960" s="175"/>
      <c r="AB960" s="175"/>
      <c r="AC960" s="175"/>
    </row>
    <row r="961" spans="1:29" ht="12.75">
      <c r="A961" s="175"/>
      <c r="B961" s="175"/>
      <c r="C961" s="175"/>
      <c r="D961" s="175"/>
      <c r="E961" s="175"/>
      <c r="F961" s="175"/>
      <c r="G961" s="175"/>
      <c r="H961" s="175"/>
      <c r="I961" s="175"/>
      <c r="J961" s="175"/>
      <c r="K961" s="175"/>
      <c r="L961" s="175"/>
      <c r="M961" s="175"/>
      <c r="N961" s="175"/>
      <c r="O961" s="175"/>
      <c r="P961" s="175"/>
      <c r="Q961" s="175"/>
      <c r="R961" s="175"/>
      <c r="S961" s="175"/>
      <c r="T961" s="175"/>
      <c r="U961" s="175"/>
      <c r="V961" s="175"/>
      <c r="W961" s="175"/>
      <c r="X961" s="175"/>
      <c r="Y961" s="175"/>
      <c r="Z961" s="175"/>
      <c r="AA961" s="175"/>
      <c r="AB961" s="175"/>
      <c r="AC961" s="175"/>
    </row>
    <row r="962" spans="1:29" ht="12.75">
      <c r="A962" s="175"/>
      <c r="B962" s="175"/>
      <c r="C962" s="175"/>
      <c r="D962" s="175"/>
      <c r="E962" s="175"/>
      <c r="F962" s="175"/>
      <c r="G962" s="175"/>
      <c r="H962" s="175"/>
      <c r="I962" s="175"/>
      <c r="J962" s="175"/>
      <c r="K962" s="175"/>
      <c r="L962" s="175"/>
      <c r="M962" s="175"/>
      <c r="N962" s="175"/>
      <c r="O962" s="175"/>
      <c r="P962" s="175"/>
      <c r="Q962" s="175"/>
      <c r="R962" s="175"/>
      <c r="S962" s="175"/>
      <c r="T962" s="175"/>
      <c r="U962" s="175"/>
      <c r="V962" s="175"/>
      <c r="W962" s="175"/>
      <c r="X962" s="175"/>
      <c r="Y962" s="175"/>
      <c r="Z962" s="175"/>
      <c r="AA962" s="175"/>
      <c r="AB962" s="175"/>
      <c r="AC962" s="175"/>
    </row>
    <row r="963" spans="1:29" ht="12.75">
      <c r="A963" s="175"/>
      <c r="B963" s="175"/>
      <c r="C963" s="175"/>
      <c r="D963" s="175"/>
      <c r="E963" s="175"/>
      <c r="F963" s="175"/>
      <c r="G963" s="175"/>
      <c r="H963" s="175"/>
      <c r="I963" s="175"/>
      <c r="J963" s="175"/>
      <c r="K963" s="175"/>
      <c r="L963" s="175"/>
      <c r="M963" s="175"/>
      <c r="N963" s="175"/>
      <c r="O963" s="175"/>
      <c r="P963" s="175"/>
      <c r="Q963" s="175"/>
      <c r="R963" s="175"/>
      <c r="S963" s="175"/>
      <c r="T963" s="175"/>
      <c r="U963" s="175"/>
      <c r="V963" s="175"/>
      <c r="W963" s="175"/>
      <c r="X963" s="175"/>
      <c r="Y963" s="175"/>
      <c r="Z963" s="175"/>
      <c r="AA963" s="175"/>
      <c r="AB963" s="175"/>
      <c r="AC963" s="175"/>
    </row>
    <row r="964" spans="1:29" ht="12.75">
      <c r="A964" s="175"/>
      <c r="B964" s="175"/>
      <c r="C964" s="175"/>
      <c r="D964" s="175"/>
      <c r="E964" s="175"/>
      <c r="F964" s="175"/>
      <c r="G964" s="175"/>
      <c r="H964" s="175"/>
      <c r="I964" s="175"/>
      <c r="J964" s="175"/>
      <c r="K964" s="175"/>
      <c r="L964" s="175"/>
      <c r="M964" s="175"/>
      <c r="N964" s="175"/>
      <c r="O964" s="175"/>
      <c r="P964" s="175"/>
      <c r="Q964" s="175"/>
      <c r="R964" s="175"/>
      <c r="S964" s="175"/>
      <c r="T964" s="175"/>
      <c r="U964" s="175"/>
      <c r="V964" s="175"/>
      <c r="W964" s="175"/>
      <c r="X964" s="175"/>
      <c r="Y964" s="175"/>
      <c r="Z964" s="175"/>
      <c r="AA964" s="175"/>
      <c r="AB964" s="175"/>
      <c r="AC964" s="175"/>
    </row>
    <row r="965" spans="1:29" ht="12.75">
      <c r="A965" s="175"/>
      <c r="B965" s="175"/>
      <c r="C965" s="175"/>
      <c r="D965" s="175"/>
      <c r="E965" s="175"/>
      <c r="F965" s="175"/>
      <c r="G965" s="175"/>
      <c r="H965" s="175"/>
      <c r="I965" s="175"/>
      <c r="J965" s="175"/>
      <c r="K965" s="175"/>
      <c r="L965" s="175"/>
      <c r="M965" s="175"/>
      <c r="N965" s="175"/>
      <c r="O965" s="175"/>
      <c r="P965" s="175"/>
      <c r="Q965" s="175"/>
      <c r="R965" s="175"/>
      <c r="S965" s="175"/>
      <c r="T965" s="175"/>
      <c r="U965" s="175"/>
      <c r="V965" s="175"/>
      <c r="W965" s="175"/>
      <c r="X965" s="175"/>
      <c r="Y965" s="175"/>
      <c r="Z965" s="175"/>
      <c r="AA965" s="175"/>
      <c r="AB965" s="175"/>
      <c r="AC965" s="175"/>
    </row>
    <row r="966" spans="1:29" ht="12.75">
      <c r="A966" s="175"/>
      <c r="B966" s="175"/>
      <c r="C966" s="175"/>
      <c r="D966" s="175"/>
      <c r="E966" s="175"/>
      <c r="F966" s="175"/>
      <c r="G966" s="175"/>
      <c r="H966" s="175"/>
      <c r="I966" s="175"/>
      <c r="J966" s="175"/>
      <c r="K966" s="175"/>
      <c r="L966" s="175"/>
      <c r="M966" s="175"/>
      <c r="N966" s="175"/>
      <c r="O966" s="175"/>
      <c r="P966" s="175"/>
      <c r="Q966" s="175"/>
      <c r="R966" s="175"/>
      <c r="S966" s="175"/>
      <c r="T966" s="175"/>
      <c r="U966" s="175"/>
      <c r="V966" s="175"/>
      <c r="W966" s="175"/>
      <c r="X966" s="175"/>
      <c r="Y966" s="175"/>
      <c r="Z966" s="175"/>
      <c r="AA966" s="175"/>
      <c r="AB966" s="175"/>
      <c r="AC966" s="175"/>
    </row>
    <row r="967" spans="1:29" ht="12.75">
      <c r="A967" s="175"/>
      <c r="B967" s="175"/>
      <c r="C967" s="175"/>
      <c r="D967" s="175"/>
      <c r="E967" s="175"/>
      <c r="F967" s="175"/>
      <c r="G967" s="175"/>
      <c r="H967" s="175"/>
      <c r="I967" s="175"/>
      <c r="J967" s="175"/>
      <c r="K967" s="175"/>
      <c r="L967" s="175"/>
      <c r="M967" s="175"/>
      <c r="N967" s="175"/>
      <c r="O967" s="175"/>
      <c r="P967" s="175"/>
      <c r="Q967" s="175"/>
      <c r="R967" s="175"/>
      <c r="S967" s="175"/>
      <c r="T967" s="175"/>
      <c r="U967" s="175"/>
      <c r="V967" s="175"/>
      <c r="W967" s="175"/>
      <c r="X967" s="175"/>
      <c r="Y967" s="175"/>
      <c r="Z967" s="175"/>
      <c r="AA967" s="175"/>
      <c r="AB967" s="175"/>
      <c r="AC967" s="175"/>
    </row>
    <row r="968" spans="1:29" ht="12.75">
      <c r="A968" s="175"/>
      <c r="B968" s="175"/>
      <c r="C968" s="175"/>
      <c r="D968" s="175"/>
      <c r="E968" s="175"/>
      <c r="F968" s="175"/>
      <c r="G968" s="175"/>
      <c r="H968" s="175"/>
      <c r="I968" s="175"/>
      <c r="J968" s="175"/>
      <c r="K968" s="175"/>
      <c r="L968" s="175"/>
      <c r="M968" s="175"/>
      <c r="N968" s="175"/>
      <c r="O968" s="175"/>
      <c r="P968" s="175"/>
      <c r="Q968" s="175"/>
      <c r="R968" s="175"/>
      <c r="S968" s="175"/>
      <c r="T968" s="175"/>
      <c r="U968" s="175"/>
      <c r="V968" s="175"/>
      <c r="W968" s="175"/>
      <c r="X968" s="175"/>
      <c r="Y968" s="175"/>
      <c r="Z968" s="175"/>
      <c r="AA968" s="175"/>
      <c r="AB968" s="175"/>
      <c r="AC968" s="175"/>
    </row>
    <row r="969" spans="1:29" ht="12.75">
      <c r="A969" s="175"/>
      <c r="B969" s="175"/>
      <c r="C969" s="175"/>
      <c r="D969" s="175"/>
      <c r="E969" s="175"/>
      <c r="F969" s="175"/>
      <c r="G969" s="175"/>
      <c r="H969" s="175"/>
      <c r="I969" s="175"/>
      <c r="J969" s="175"/>
      <c r="K969" s="175"/>
      <c r="L969" s="175"/>
      <c r="M969" s="175"/>
      <c r="N969" s="175"/>
      <c r="O969" s="175"/>
      <c r="P969" s="175"/>
      <c r="Q969" s="175"/>
      <c r="R969" s="175"/>
      <c r="S969" s="175"/>
      <c r="T969" s="175"/>
      <c r="U969" s="175"/>
      <c r="V969" s="175"/>
      <c r="W969" s="175"/>
      <c r="X969" s="175"/>
      <c r="Y969" s="175"/>
      <c r="Z969" s="175"/>
      <c r="AA969" s="175"/>
      <c r="AB969" s="175"/>
      <c r="AC969" s="175"/>
    </row>
    <row r="970" spans="1:29" ht="12.75">
      <c r="A970" s="175"/>
      <c r="B970" s="175"/>
      <c r="C970" s="175"/>
      <c r="D970" s="175"/>
      <c r="E970" s="175"/>
      <c r="F970" s="175"/>
      <c r="G970" s="175"/>
      <c r="H970" s="175"/>
      <c r="I970" s="175"/>
      <c r="J970" s="175"/>
      <c r="K970" s="175"/>
      <c r="L970" s="175"/>
      <c r="M970" s="175"/>
      <c r="N970" s="175"/>
      <c r="O970" s="175"/>
      <c r="P970" s="175"/>
      <c r="Q970" s="175"/>
      <c r="R970" s="175"/>
      <c r="S970" s="175"/>
      <c r="T970" s="175"/>
      <c r="U970" s="175"/>
      <c r="V970" s="175"/>
      <c r="W970" s="175"/>
      <c r="X970" s="175"/>
      <c r="Y970" s="175"/>
      <c r="Z970" s="175"/>
      <c r="AA970" s="175"/>
      <c r="AB970" s="175"/>
      <c r="AC970" s="175"/>
    </row>
    <row r="971" spans="1:29" ht="12.75">
      <c r="A971" s="175"/>
      <c r="B971" s="175"/>
      <c r="C971" s="175"/>
      <c r="D971" s="175"/>
      <c r="E971" s="175"/>
      <c r="F971" s="175"/>
      <c r="G971" s="175"/>
      <c r="H971" s="175"/>
      <c r="I971" s="175"/>
      <c r="J971" s="175"/>
      <c r="K971" s="175"/>
      <c r="L971" s="175"/>
      <c r="M971" s="175"/>
      <c r="N971" s="175"/>
      <c r="O971" s="175"/>
      <c r="P971" s="175"/>
      <c r="Q971" s="175"/>
      <c r="R971" s="175"/>
      <c r="S971" s="175"/>
      <c r="T971" s="175"/>
      <c r="U971" s="175"/>
      <c r="V971" s="175"/>
      <c r="W971" s="175"/>
      <c r="X971" s="175"/>
      <c r="Y971" s="175"/>
      <c r="Z971" s="175"/>
      <c r="AA971" s="175"/>
      <c r="AB971" s="175"/>
      <c r="AC971" s="175"/>
    </row>
    <row r="972" spans="1:29" ht="12.75">
      <c r="A972" s="175"/>
      <c r="B972" s="175"/>
      <c r="C972" s="175"/>
      <c r="D972" s="175"/>
      <c r="E972" s="175"/>
      <c r="F972" s="175"/>
      <c r="G972" s="175"/>
      <c r="H972" s="175"/>
      <c r="I972" s="175"/>
      <c r="J972" s="175"/>
      <c r="K972" s="175"/>
      <c r="L972" s="175"/>
      <c r="M972" s="175"/>
      <c r="N972" s="175"/>
      <c r="O972" s="175"/>
      <c r="P972" s="175"/>
      <c r="Q972" s="175"/>
      <c r="R972" s="175"/>
      <c r="S972" s="175"/>
      <c r="T972" s="175"/>
      <c r="U972" s="175"/>
      <c r="V972" s="175"/>
      <c r="W972" s="175"/>
      <c r="X972" s="175"/>
      <c r="Y972" s="175"/>
      <c r="Z972" s="175"/>
      <c r="AA972" s="175"/>
      <c r="AB972" s="175"/>
      <c r="AC972" s="175"/>
    </row>
    <row r="973" spans="1:29" ht="12.75">
      <c r="A973" s="175"/>
      <c r="B973" s="175"/>
      <c r="C973" s="175"/>
      <c r="D973" s="175"/>
      <c r="E973" s="175"/>
      <c r="F973" s="175"/>
      <c r="G973" s="175"/>
      <c r="H973" s="175"/>
      <c r="I973" s="175"/>
      <c r="J973" s="175"/>
      <c r="K973" s="175"/>
      <c r="L973" s="175"/>
      <c r="M973" s="175"/>
      <c r="N973" s="175"/>
      <c r="O973" s="175"/>
      <c r="P973" s="175"/>
      <c r="Q973" s="175"/>
      <c r="R973" s="175"/>
      <c r="S973" s="175"/>
      <c r="T973" s="175"/>
      <c r="U973" s="175"/>
      <c r="V973" s="175"/>
      <c r="W973" s="175"/>
      <c r="X973" s="175"/>
      <c r="Y973" s="175"/>
      <c r="Z973" s="175"/>
      <c r="AA973" s="175"/>
      <c r="AB973" s="175"/>
      <c r="AC973" s="175"/>
    </row>
    <row r="974" spans="1:29" ht="12.75">
      <c r="A974" s="175"/>
      <c r="B974" s="175"/>
      <c r="C974" s="175"/>
      <c r="D974" s="175"/>
      <c r="E974" s="175"/>
      <c r="F974" s="175"/>
      <c r="G974" s="175"/>
      <c r="H974" s="175"/>
      <c r="I974" s="175"/>
      <c r="J974" s="175"/>
      <c r="K974" s="175"/>
      <c r="L974" s="175"/>
      <c r="M974" s="175"/>
      <c r="N974" s="175"/>
      <c r="O974" s="175"/>
      <c r="P974" s="175"/>
      <c r="Q974" s="175"/>
      <c r="R974" s="175"/>
      <c r="S974" s="175"/>
      <c r="T974" s="175"/>
      <c r="U974" s="175"/>
      <c r="V974" s="175"/>
      <c r="W974" s="175"/>
      <c r="X974" s="175"/>
      <c r="Y974" s="175"/>
      <c r="Z974" s="175"/>
      <c r="AA974" s="175"/>
      <c r="AB974" s="175"/>
      <c r="AC974" s="175"/>
    </row>
    <row r="975" spans="1:29" ht="12.75">
      <c r="A975" s="175"/>
      <c r="B975" s="175"/>
      <c r="C975" s="175"/>
      <c r="D975" s="175"/>
      <c r="E975" s="175"/>
      <c r="F975" s="175"/>
      <c r="G975" s="175"/>
      <c r="H975" s="175"/>
      <c r="I975" s="175"/>
      <c r="J975" s="175"/>
      <c r="K975" s="175"/>
      <c r="L975" s="175"/>
      <c r="M975" s="175"/>
      <c r="N975" s="175"/>
      <c r="O975" s="175"/>
      <c r="P975" s="175"/>
      <c r="Q975" s="175"/>
      <c r="R975" s="175"/>
      <c r="S975" s="175"/>
      <c r="T975" s="175"/>
      <c r="U975" s="175"/>
      <c r="V975" s="175"/>
      <c r="W975" s="175"/>
      <c r="X975" s="175"/>
      <c r="Y975" s="175"/>
      <c r="Z975" s="175"/>
      <c r="AA975" s="175"/>
      <c r="AB975" s="175"/>
      <c r="AC975" s="175"/>
    </row>
    <row r="976" spans="1:29" ht="12.75">
      <c r="A976" s="175"/>
      <c r="B976" s="175"/>
      <c r="C976" s="175"/>
      <c r="D976" s="175"/>
      <c r="E976" s="175"/>
      <c r="F976" s="175"/>
      <c r="G976" s="175"/>
      <c r="H976" s="175"/>
      <c r="I976" s="175"/>
      <c r="J976" s="175"/>
      <c r="K976" s="175"/>
      <c r="L976" s="175"/>
      <c r="M976" s="175"/>
      <c r="N976" s="175"/>
      <c r="O976" s="175"/>
      <c r="P976" s="175"/>
      <c r="Q976" s="175"/>
      <c r="R976" s="175"/>
      <c r="S976" s="175"/>
      <c r="T976" s="175"/>
      <c r="U976" s="175"/>
      <c r="V976" s="175"/>
      <c r="W976" s="175"/>
      <c r="X976" s="175"/>
      <c r="Y976" s="175"/>
      <c r="Z976" s="175"/>
      <c r="AA976" s="175"/>
      <c r="AB976" s="175"/>
      <c r="AC976" s="175"/>
    </row>
    <row r="977" spans="1:29" ht="12.75">
      <c r="A977" s="175"/>
      <c r="B977" s="175"/>
      <c r="C977" s="175"/>
      <c r="D977" s="175"/>
      <c r="E977" s="175"/>
      <c r="F977" s="175"/>
      <c r="G977" s="175"/>
      <c r="H977" s="175"/>
      <c r="I977" s="175"/>
      <c r="J977" s="175"/>
      <c r="K977" s="175"/>
      <c r="L977" s="175"/>
      <c r="M977" s="175"/>
      <c r="N977" s="175"/>
      <c r="O977" s="175"/>
      <c r="P977" s="175"/>
      <c r="Q977" s="175"/>
      <c r="R977" s="175"/>
      <c r="S977" s="175"/>
      <c r="T977" s="175"/>
      <c r="U977" s="175"/>
      <c r="V977" s="175"/>
      <c r="W977" s="175"/>
      <c r="X977" s="175"/>
      <c r="Y977" s="175"/>
      <c r="Z977" s="175"/>
      <c r="AA977" s="175"/>
      <c r="AB977" s="175"/>
      <c r="AC977" s="175"/>
    </row>
    <row r="978" spans="1:29" ht="12.75">
      <c r="A978" s="175"/>
      <c r="B978" s="175"/>
      <c r="C978" s="175"/>
      <c r="D978" s="175"/>
      <c r="E978" s="175"/>
      <c r="F978" s="175"/>
      <c r="G978" s="175"/>
      <c r="H978" s="175"/>
      <c r="I978" s="175"/>
      <c r="J978" s="175"/>
      <c r="K978" s="175"/>
      <c r="L978" s="175"/>
      <c r="M978" s="175"/>
      <c r="N978" s="175"/>
      <c r="O978" s="175"/>
      <c r="P978" s="175"/>
      <c r="Q978" s="175"/>
      <c r="R978" s="175"/>
      <c r="S978" s="175"/>
      <c r="T978" s="175"/>
      <c r="U978" s="175"/>
      <c r="V978" s="175"/>
      <c r="W978" s="175"/>
      <c r="X978" s="175"/>
      <c r="Y978" s="175"/>
      <c r="Z978" s="175"/>
      <c r="AA978" s="175"/>
      <c r="AB978" s="175"/>
      <c r="AC978" s="175"/>
    </row>
    <row r="979" spans="1:29" ht="12.75">
      <c r="A979" s="175"/>
      <c r="B979" s="175"/>
      <c r="C979" s="175"/>
      <c r="D979" s="175"/>
      <c r="E979" s="175"/>
      <c r="F979" s="175"/>
      <c r="G979" s="175"/>
      <c r="H979" s="175"/>
      <c r="I979" s="175"/>
      <c r="J979" s="175"/>
      <c r="K979" s="175"/>
      <c r="L979" s="175"/>
      <c r="M979" s="175"/>
      <c r="N979" s="175"/>
      <c r="O979" s="175"/>
      <c r="P979" s="175"/>
      <c r="Q979" s="175"/>
      <c r="R979" s="175"/>
      <c r="S979" s="175"/>
      <c r="T979" s="175"/>
      <c r="U979" s="175"/>
      <c r="V979" s="175"/>
      <c r="W979" s="175"/>
      <c r="X979" s="175"/>
      <c r="Y979" s="175"/>
      <c r="Z979" s="175"/>
      <c r="AA979" s="175"/>
      <c r="AB979" s="175"/>
      <c r="AC979" s="175"/>
    </row>
    <row r="980" spans="1:29" ht="12.75">
      <c r="A980" s="175"/>
      <c r="B980" s="175"/>
      <c r="C980" s="175"/>
      <c r="D980" s="175"/>
      <c r="E980" s="175"/>
      <c r="F980" s="175"/>
      <c r="G980" s="175"/>
      <c r="H980" s="175"/>
      <c r="I980" s="175"/>
      <c r="J980" s="175"/>
      <c r="K980" s="175"/>
      <c r="L980" s="175"/>
      <c r="M980" s="175"/>
      <c r="N980" s="175"/>
      <c r="O980" s="175"/>
      <c r="P980" s="175"/>
      <c r="Q980" s="175"/>
      <c r="R980" s="175"/>
      <c r="S980" s="175"/>
      <c r="T980" s="175"/>
      <c r="U980" s="175"/>
      <c r="V980" s="175"/>
      <c r="W980" s="175"/>
      <c r="X980" s="175"/>
      <c r="Y980" s="175"/>
      <c r="Z980" s="175"/>
      <c r="AA980" s="175"/>
      <c r="AB980" s="175"/>
      <c r="AC980" s="175"/>
    </row>
    <row r="981" spans="1:29" ht="12.75">
      <c r="A981" s="175"/>
      <c r="B981" s="175"/>
      <c r="C981" s="175"/>
      <c r="D981" s="175"/>
      <c r="E981" s="175"/>
      <c r="F981" s="175"/>
      <c r="G981" s="175"/>
      <c r="H981" s="175"/>
      <c r="I981" s="175"/>
      <c r="J981" s="175"/>
      <c r="K981" s="175"/>
      <c r="L981" s="175"/>
      <c r="M981" s="175"/>
      <c r="N981" s="175"/>
      <c r="O981" s="175"/>
      <c r="P981" s="175"/>
      <c r="Q981" s="175"/>
      <c r="R981" s="175"/>
      <c r="S981" s="175"/>
      <c r="T981" s="175"/>
      <c r="U981" s="175"/>
      <c r="V981" s="175"/>
      <c r="W981" s="175"/>
      <c r="X981" s="175"/>
      <c r="Y981" s="175"/>
      <c r="Z981" s="175"/>
      <c r="AA981" s="175"/>
      <c r="AB981" s="175"/>
      <c r="AC981" s="175"/>
    </row>
    <row r="982" spans="1:29" ht="12.75">
      <c r="A982" s="175"/>
      <c r="B982" s="175"/>
      <c r="C982" s="175"/>
      <c r="D982" s="175"/>
      <c r="E982" s="175"/>
      <c r="F982" s="175"/>
      <c r="G982" s="175"/>
      <c r="H982" s="175"/>
      <c r="I982" s="175"/>
      <c r="J982" s="175"/>
      <c r="K982" s="175"/>
      <c r="L982" s="175"/>
      <c r="M982" s="175"/>
      <c r="N982" s="175"/>
      <c r="O982" s="175"/>
      <c r="P982" s="175"/>
      <c r="Q982" s="175"/>
      <c r="R982" s="175"/>
      <c r="S982" s="175"/>
      <c r="T982" s="175"/>
      <c r="U982" s="175"/>
      <c r="V982" s="175"/>
      <c r="W982" s="175"/>
      <c r="X982" s="175"/>
      <c r="Y982" s="175"/>
      <c r="Z982" s="175"/>
      <c r="AA982" s="175"/>
      <c r="AB982" s="175"/>
      <c r="AC982" s="175"/>
    </row>
    <row r="983" spans="1:29" ht="12.75">
      <c r="A983" s="175"/>
      <c r="B983" s="175"/>
      <c r="C983" s="175"/>
      <c r="D983" s="175"/>
      <c r="E983" s="175"/>
      <c r="F983" s="175"/>
      <c r="G983" s="175"/>
      <c r="H983" s="175"/>
      <c r="I983" s="175"/>
      <c r="J983" s="175"/>
      <c r="K983" s="175"/>
      <c r="L983" s="175"/>
      <c r="M983" s="175"/>
      <c r="N983" s="175"/>
      <c r="O983" s="175"/>
      <c r="P983" s="175"/>
      <c r="Q983" s="175"/>
      <c r="R983" s="175"/>
      <c r="S983" s="175"/>
      <c r="T983" s="175"/>
      <c r="U983" s="175"/>
      <c r="V983" s="175"/>
      <c r="W983" s="175"/>
      <c r="X983" s="175"/>
      <c r="Y983" s="175"/>
      <c r="Z983" s="175"/>
      <c r="AA983" s="175"/>
      <c r="AB983" s="175"/>
      <c r="AC983" s="175"/>
    </row>
    <row r="984" spans="1:29" ht="12.75">
      <c r="A984" s="175"/>
      <c r="B984" s="175"/>
      <c r="C984" s="175"/>
      <c r="D984" s="175"/>
      <c r="E984" s="175"/>
      <c r="F984" s="175"/>
      <c r="G984" s="175"/>
      <c r="H984" s="175"/>
      <c r="I984" s="175"/>
      <c r="J984" s="175"/>
      <c r="K984" s="175"/>
      <c r="L984" s="175"/>
      <c r="M984" s="175"/>
      <c r="N984" s="175"/>
      <c r="O984" s="175"/>
      <c r="P984" s="175"/>
      <c r="Q984" s="175"/>
      <c r="R984" s="175"/>
      <c r="S984" s="175"/>
      <c r="T984" s="175"/>
      <c r="U984" s="175"/>
      <c r="V984" s="175"/>
      <c r="W984" s="175"/>
      <c r="X984" s="175"/>
      <c r="Y984" s="175"/>
      <c r="Z984" s="175"/>
      <c r="AA984" s="175"/>
      <c r="AB984" s="175"/>
      <c r="AC984" s="175"/>
    </row>
    <row r="985" spans="1:29" ht="12.75">
      <c r="A985" s="175"/>
      <c r="B985" s="175"/>
      <c r="C985" s="175"/>
      <c r="D985" s="175"/>
      <c r="E985" s="175"/>
      <c r="F985" s="175"/>
      <c r="G985" s="175"/>
      <c r="H985" s="175"/>
      <c r="I985" s="175"/>
      <c r="J985" s="175"/>
      <c r="K985" s="175"/>
      <c r="L985" s="175"/>
      <c r="M985" s="175"/>
      <c r="N985" s="175"/>
      <c r="O985" s="175"/>
      <c r="P985" s="175"/>
      <c r="Q985" s="175"/>
      <c r="R985" s="175"/>
      <c r="S985" s="175"/>
      <c r="T985" s="175"/>
      <c r="U985" s="175"/>
      <c r="V985" s="175"/>
      <c r="W985" s="175"/>
      <c r="X985" s="175"/>
      <c r="Y985" s="175"/>
      <c r="Z985" s="175"/>
      <c r="AA985" s="175"/>
      <c r="AB985" s="175"/>
      <c r="AC985" s="175"/>
    </row>
    <row r="986" spans="1:29" ht="12.75">
      <c r="A986" s="175"/>
      <c r="B986" s="175"/>
      <c r="C986" s="175"/>
      <c r="D986" s="175"/>
      <c r="E986" s="175"/>
      <c r="F986" s="175"/>
      <c r="G986" s="175"/>
      <c r="H986" s="175"/>
      <c r="I986" s="175"/>
      <c r="J986" s="175"/>
      <c r="K986" s="175"/>
      <c r="L986" s="175"/>
      <c r="M986" s="175"/>
      <c r="N986" s="175"/>
      <c r="O986" s="175"/>
      <c r="P986" s="175"/>
      <c r="Q986" s="175"/>
      <c r="R986" s="175"/>
      <c r="S986" s="175"/>
      <c r="T986" s="175"/>
      <c r="U986" s="175"/>
      <c r="V986" s="175"/>
      <c r="W986" s="175"/>
      <c r="X986" s="175"/>
      <c r="Y986" s="175"/>
      <c r="Z986" s="175"/>
      <c r="AA986" s="175"/>
      <c r="AB986" s="175"/>
      <c r="AC986" s="175"/>
    </row>
    <row r="987" spans="1:29" ht="12.75">
      <c r="A987" s="175"/>
      <c r="B987" s="175"/>
      <c r="C987" s="175"/>
      <c r="D987" s="175"/>
      <c r="E987" s="175"/>
      <c r="F987" s="175"/>
      <c r="G987" s="175"/>
      <c r="H987" s="175"/>
      <c r="I987" s="175"/>
      <c r="J987" s="175"/>
      <c r="K987" s="175"/>
      <c r="L987" s="175"/>
      <c r="M987" s="175"/>
      <c r="N987" s="175"/>
      <c r="O987" s="175"/>
      <c r="P987" s="175"/>
      <c r="Q987" s="175"/>
      <c r="R987" s="175"/>
      <c r="S987" s="175"/>
      <c r="T987" s="175"/>
      <c r="U987" s="175"/>
      <c r="V987" s="175"/>
      <c r="W987" s="175"/>
      <c r="X987" s="175"/>
      <c r="Y987" s="175"/>
      <c r="Z987" s="175"/>
      <c r="AA987" s="175"/>
      <c r="AB987" s="175"/>
      <c r="AC987" s="175"/>
    </row>
    <row r="988" spans="1:29" ht="12.75">
      <c r="A988" s="175"/>
      <c r="B988" s="175"/>
      <c r="C988" s="175"/>
      <c r="D988" s="175"/>
      <c r="E988" s="175"/>
      <c r="F988" s="175"/>
      <c r="G988" s="175"/>
      <c r="H988" s="175"/>
      <c r="I988" s="175"/>
      <c r="J988" s="175"/>
      <c r="K988" s="175"/>
      <c r="L988" s="175"/>
      <c r="M988" s="175"/>
      <c r="N988" s="175"/>
      <c r="O988" s="175"/>
      <c r="P988" s="175"/>
      <c r="Q988" s="175"/>
      <c r="R988" s="175"/>
      <c r="S988" s="175"/>
      <c r="T988" s="175"/>
      <c r="U988" s="175"/>
      <c r="V988" s="175"/>
      <c r="W988" s="175"/>
      <c r="X988" s="175"/>
      <c r="Y988" s="175"/>
      <c r="Z988" s="175"/>
      <c r="AA988" s="175"/>
      <c r="AB988" s="175"/>
      <c r="AC988" s="175"/>
    </row>
    <row r="989" spans="1:29" ht="12.75">
      <c r="A989" s="175"/>
      <c r="B989" s="175"/>
      <c r="C989" s="175"/>
      <c r="D989" s="175"/>
      <c r="E989" s="175"/>
      <c r="F989" s="175"/>
      <c r="G989" s="175"/>
      <c r="H989" s="175"/>
      <c r="I989" s="175"/>
      <c r="J989" s="175"/>
      <c r="K989" s="175"/>
      <c r="L989" s="175"/>
      <c r="M989" s="175"/>
      <c r="N989" s="175"/>
      <c r="O989" s="175"/>
      <c r="P989" s="175"/>
      <c r="Q989" s="175"/>
      <c r="R989" s="175"/>
      <c r="S989" s="175"/>
      <c r="T989" s="175"/>
      <c r="U989" s="175"/>
      <c r="V989" s="175"/>
      <c r="W989" s="175"/>
      <c r="X989" s="175"/>
      <c r="Y989" s="175"/>
      <c r="Z989" s="175"/>
      <c r="AA989" s="175"/>
      <c r="AB989" s="175"/>
      <c r="AC989" s="175"/>
    </row>
    <row r="990" spans="1:29" ht="12.75">
      <c r="A990" s="175"/>
      <c r="B990" s="175"/>
      <c r="C990" s="175"/>
      <c r="D990" s="175"/>
      <c r="E990" s="175"/>
      <c r="F990" s="175"/>
      <c r="G990" s="175"/>
      <c r="H990" s="175"/>
      <c r="I990" s="175"/>
      <c r="J990" s="175"/>
      <c r="K990" s="175"/>
      <c r="L990" s="175"/>
      <c r="M990" s="175"/>
      <c r="N990" s="175"/>
      <c r="O990" s="175"/>
      <c r="P990" s="175"/>
      <c r="Q990" s="175"/>
      <c r="R990" s="175"/>
      <c r="S990" s="175"/>
      <c r="T990" s="175"/>
      <c r="U990" s="175"/>
      <c r="V990" s="175"/>
      <c r="W990" s="175"/>
      <c r="X990" s="175"/>
      <c r="Y990" s="175"/>
      <c r="Z990" s="175"/>
      <c r="AA990" s="175"/>
      <c r="AB990" s="175"/>
      <c r="AC990" s="175"/>
    </row>
    <row r="991" spans="1:29" ht="12.75">
      <c r="A991" s="175"/>
      <c r="B991" s="175"/>
      <c r="C991" s="175"/>
      <c r="D991" s="175"/>
      <c r="E991" s="175"/>
      <c r="F991" s="175"/>
      <c r="G991" s="175"/>
      <c r="H991" s="175"/>
      <c r="I991" s="175"/>
      <c r="J991" s="175"/>
      <c r="K991" s="175"/>
      <c r="L991" s="175"/>
      <c r="M991" s="175"/>
      <c r="N991" s="175"/>
      <c r="O991" s="175"/>
      <c r="P991" s="175"/>
      <c r="Q991" s="175"/>
      <c r="R991" s="175"/>
      <c r="S991" s="175"/>
      <c r="T991" s="175"/>
      <c r="U991" s="175"/>
      <c r="V991" s="175"/>
      <c r="W991" s="175"/>
      <c r="X991" s="175"/>
      <c r="Y991" s="175"/>
      <c r="Z991" s="175"/>
      <c r="AA991" s="175"/>
      <c r="AB991" s="175"/>
      <c r="AC991" s="175"/>
    </row>
    <row r="992" spans="1:29" ht="12.75">
      <c r="A992" s="175"/>
      <c r="B992" s="175"/>
      <c r="C992" s="175"/>
      <c r="D992" s="175"/>
      <c r="E992" s="175"/>
      <c r="F992" s="175"/>
      <c r="G992" s="175"/>
      <c r="H992" s="175"/>
      <c r="I992" s="175"/>
      <c r="J992" s="175"/>
      <c r="K992" s="175"/>
      <c r="L992" s="175"/>
      <c r="M992" s="175"/>
      <c r="N992" s="175"/>
      <c r="O992" s="175"/>
      <c r="P992" s="175"/>
      <c r="Q992" s="175"/>
      <c r="R992" s="175"/>
      <c r="S992" s="175"/>
      <c r="T992" s="175"/>
      <c r="U992" s="175"/>
      <c r="V992" s="175"/>
      <c r="W992" s="175"/>
      <c r="X992" s="175"/>
      <c r="Y992" s="175"/>
      <c r="Z992" s="175"/>
      <c r="AA992" s="175"/>
      <c r="AB992" s="175"/>
      <c r="AC992" s="175"/>
    </row>
    <row r="993" spans="1:29" ht="12.75">
      <c r="A993" s="175"/>
      <c r="B993" s="175"/>
      <c r="C993" s="175"/>
      <c r="D993" s="175"/>
      <c r="E993" s="175"/>
      <c r="F993" s="175"/>
      <c r="G993" s="175"/>
      <c r="H993" s="175"/>
      <c r="I993" s="175"/>
      <c r="J993" s="175"/>
      <c r="K993" s="175"/>
      <c r="L993" s="175"/>
      <c r="M993" s="175"/>
      <c r="N993" s="175"/>
      <c r="O993" s="175"/>
      <c r="P993" s="175"/>
      <c r="Q993" s="175"/>
      <c r="R993" s="175"/>
      <c r="S993" s="175"/>
      <c r="T993" s="175"/>
      <c r="U993" s="175"/>
      <c r="V993" s="175"/>
      <c r="W993" s="175"/>
      <c r="X993" s="175"/>
      <c r="Y993" s="175"/>
      <c r="Z993" s="175"/>
      <c r="AA993" s="175"/>
      <c r="AB993" s="175"/>
      <c r="AC993" s="175"/>
    </row>
    <row r="994" spans="1:29" ht="12.75">
      <c r="A994" s="175"/>
      <c r="B994" s="175"/>
      <c r="C994" s="175"/>
      <c r="D994" s="175"/>
      <c r="E994" s="175"/>
      <c r="F994" s="175"/>
      <c r="G994" s="175"/>
      <c r="H994" s="175"/>
      <c r="I994" s="175"/>
      <c r="J994" s="175"/>
      <c r="K994" s="175"/>
      <c r="L994" s="175"/>
      <c r="M994" s="175"/>
      <c r="N994" s="175"/>
      <c r="O994" s="175"/>
      <c r="P994" s="175"/>
      <c r="Q994" s="175"/>
      <c r="R994" s="175"/>
      <c r="S994" s="175"/>
      <c r="T994" s="175"/>
      <c r="U994" s="175"/>
      <c r="V994" s="175"/>
      <c r="W994" s="175"/>
      <c r="X994" s="175"/>
      <c r="Y994" s="175"/>
      <c r="Z994" s="175"/>
      <c r="AA994" s="175"/>
      <c r="AB994" s="175"/>
      <c r="AC994" s="175"/>
    </row>
    <row r="995" spans="1:29" ht="12.75">
      <c r="A995" s="175"/>
      <c r="B995" s="175"/>
      <c r="C995" s="175"/>
      <c r="D995" s="175"/>
      <c r="E995" s="175"/>
      <c r="F995" s="175"/>
      <c r="G995" s="175"/>
      <c r="H995" s="175"/>
      <c r="I995" s="175"/>
      <c r="J995" s="175"/>
      <c r="K995" s="175"/>
      <c r="L995" s="175"/>
      <c r="M995" s="175"/>
      <c r="N995" s="175"/>
      <c r="O995" s="175"/>
      <c r="P995" s="175"/>
      <c r="Q995" s="175"/>
      <c r="R995" s="175"/>
      <c r="S995" s="175"/>
      <c r="T995" s="175"/>
      <c r="U995" s="175"/>
      <c r="V995" s="175"/>
      <c r="W995" s="175"/>
      <c r="X995" s="175"/>
      <c r="Y995" s="175"/>
      <c r="Z995" s="175"/>
      <c r="AA995" s="175"/>
      <c r="AB995" s="175"/>
      <c r="AC995" s="175"/>
    </row>
    <row r="996" spans="1:29" ht="12.75">
      <c r="A996" s="175"/>
      <c r="B996" s="175"/>
      <c r="C996" s="175"/>
      <c r="D996" s="175"/>
      <c r="E996" s="175"/>
      <c r="F996" s="175"/>
      <c r="G996" s="175"/>
      <c r="H996" s="175"/>
      <c r="I996" s="175"/>
      <c r="J996" s="175"/>
      <c r="K996" s="175"/>
      <c r="L996" s="175"/>
      <c r="M996" s="175"/>
      <c r="N996" s="175"/>
      <c r="O996" s="175"/>
      <c r="P996" s="175"/>
      <c r="Q996" s="175"/>
      <c r="R996" s="175"/>
      <c r="S996" s="175"/>
      <c r="T996" s="175"/>
      <c r="U996" s="175"/>
      <c r="V996" s="175"/>
      <c r="W996" s="175"/>
      <c r="X996" s="175"/>
      <c r="Y996" s="175"/>
      <c r="Z996" s="175"/>
      <c r="AA996" s="175"/>
      <c r="AB996" s="175"/>
      <c r="AC996" s="175"/>
    </row>
    <row r="997" spans="1:29" ht="12.75">
      <c r="A997" s="175"/>
      <c r="B997" s="175"/>
      <c r="C997" s="175"/>
      <c r="D997" s="175"/>
      <c r="E997" s="175"/>
      <c r="F997" s="175"/>
      <c r="G997" s="175"/>
      <c r="H997" s="175"/>
      <c r="I997" s="175"/>
      <c r="J997" s="175"/>
      <c r="K997" s="175"/>
      <c r="L997" s="175"/>
      <c r="M997" s="175"/>
      <c r="N997" s="175"/>
      <c r="O997" s="175"/>
      <c r="P997" s="175"/>
      <c r="Q997" s="175"/>
      <c r="R997" s="175"/>
      <c r="S997" s="175"/>
      <c r="T997" s="175"/>
      <c r="U997" s="175"/>
      <c r="V997" s="175"/>
      <c r="W997" s="175"/>
      <c r="X997" s="175"/>
      <c r="Y997" s="175"/>
      <c r="Z997" s="175"/>
      <c r="AA997" s="175"/>
      <c r="AB997" s="175"/>
      <c r="AC997" s="175"/>
    </row>
    <row r="998" spans="1:29" ht="12.75">
      <c r="A998" s="175"/>
      <c r="B998" s="175"/>
      <c r="C998" s="175"/>
      <c r="D998" s="175"/>
      <c r="E998" s="175"/>
      <c r="F998" s="175"/>
      <c r="G998" s="175"/>
      <c r="H998" s="175"/>
      <c r="I998" s="175"/>
      <c r="J998" s="175"/>
      <c r="K998" s="175"/>
      <c r="L998" s="175"/>
      <c r="M998" s="175"/>
      <c r="N998" s="175"/>
      <c r="O998" s="175"/>
      <c r="P998" s="175"/>
      <c r="Q998" s="175"/>
      <c r="R998" s="175"/>
      <c r="S998" s="175"/>
      <c r="T998" s="175"/>
      <c r="U998" s="175"/>
      <c r="V998" s="175"/>
      <c r="W998" s="175"/>
      <c r="X998" s="175"/>
      <c r="Y998" s="175"/>
      <c r="Z998" s="175"/>
      <c r="AA998" s="175"/>
      <c r="AB998" s="175"/>
      <c r="AC998" s="175"/>
    </row>
    <row r="999" spans="1:29" ht="12.75">
      <c r="A999" s="175"/>
      <c r="B999" s="175"/>
      <c r="C999" s="175"/>
      <c r="D999" s="175"/>
      <c r="E999" s="175"/>
      <c r="F999" s="175"/>
      <c r="G999" s="175"/>
      <c r="H999" s="175"/>
      <c r="I999" s="175"/>
      <c r="J999" s="175"/>
      <c r="K999" s="175"/>
      <c r="L999" s="175"/>
      <c r="M999" s="175"/>
      <c r="N999" s="175"/>
      <c r="O999" s="175"/>
      <c r="P999" s="175"/>
      <c r="Q999" s="175"/>
      <c r="R999" s="175"/>
      <c r="S999" s="175"/>
      <c r="T999" s="175"/>
      <c r="U999" s="175"/>
      <c r="V999" s="175"/>
      <c r="W999" s="175"/>
      <c r="X999" s="175"/>
      <c r="Y999" s="175"/>
      <c r="Z999" s="175"/>
      <c r="AA999" s="175"/>
      <c r="AB999" s="175"/>
      <c r="AC999" s="175"/>
    </row>
    <row r="1000" spans="1:29" ht="12.75">
      <c r="A1000" s="175"/>
      <c r="B1000" s="175"/>
      <c r="C1000" s="175"/>
      <c r="D1000" s="175"/>
      <c r="E1000" s="175"/>
      <c r="F1000" s="175"/>
      <c r="G1000" s="175"/>
      <c r="H1000" s="175"/>
      <c r="I1000" s="175"/>
      <c r="J1000" s="175"/>
      <c r="K1000" s="175"/>
      <c r="L1000" s="175"/>
      <c r="M1000" s="175"/>
      <c r="N1000" s="175"/>
      <c r="O1000" s="175"/>
      <c r="P1000" s="175"/>
      <c r="Q1000" s="175"/>
      <c r="R1000" s="175"/>
      <c r="S1000" s="175"/>
      <c r="T1000" s="175"/>
      <c r="U1000" s="175"/>
      <c r="V1000" s="175"/>
      <c r="W1000" s="175"/>
      <c r="X1000" s="175"/>
      <c r="Y1000" s="175"/>
      <c r="Z1000" s="175"/>
      <c r="AA1000" s="175"/>
      <c r="AB1000" s="175"/>
      <c r="AC1000" s="175"/>
    </row>
  </sheetData>
  <mergeCells count="2">
    <mergeCell ref="F1:G1"/>
    <mergeCell ref="Q16:R16"/>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2:J1000"/>
  <sheetViews>
    <sheetView showGridLines="0" workbookViewId="0">
      <selection activeCell="H8" sqref="H8"/>
    </sheetView>
  </sheetViews>
  <sheetFormatPr defaultColWidth="11.25" defaultRowHeight="15" customHeight="1"/>
  <cols>
    <col min="1" max="1" width="16.5" style="594" customWidth="1"/>
    <col min="2" max="2" width="13.25" style="613" customWidth="1"/>
    <col min="3" max="3" width="13.5" style="613" customWidth="1"/>
    <col min="4" max="4" width="14.875" style="613" customWidth="1"/>
    <col min="5" max="5" width="14.5" style="613" customWidth="1"/>
    <col min="6" max="8" width="8.5" style="613" customWidth="1"/>
    <col min="9" max="9" width="10.875" style="613" customWidth="1"/>
    <col min="10" max="16384" width="11.25" style="613"/>
  </cols>
  <sheetData>
    <row r="2" spans="1:10" ht="15" customHeight="1" thickBot="1"/>
    <row r="3" spans="1:10" ht="12.75">
      <c r="A3" s="699" t="s">
        <v>160</v>
      </c>
      <c r="B3" s="700" t="s">
        <v>161</v>
      </c>
      <c r="C3" s="700" t="s">
        <v>2</v>
      </c>
      <c r="D3" s="700" t="s">
        <v>162</v>
      </c>
      <c r="E3" s="701" t="s">
        <v>163</v>
      </c>
    </row>
    <row r="4" spans="1:10" ht="13.5" thickBot="1">
      <c r="A4" s="696">
        <v>44626</v>
      </c>
      <c r="B4" s="678">
        <v>1287.98</v>
      </c>
      <c r="C4" s="679">
        <v>153200</v>
      </c>
      <c r="E4" s="666"/>
    </row>
    <row r="5" spans="1:10" ht="12.75">
      <c r="A5" s="696">
        <v>44598</v>
      </c>
      <c r="B5" s="678">
        <v>1288.6199999999999</v>
      </c>
      <c r="C5" s="679">
        <v>147700</v>
      </c>
      <c r="D5" s="680">
        <f t="shared" ref="D5:D68" si="0">(B5/B4)-1</f>
        <v>4.9690212580921767E-4</v>
      </c>
      <c r="E5" s="691">
        <f t="shared" ref="E5:E68" si="1">(C5/C4)-1</f>
        <v>-3.5900783289817273E-2</v>
      </c>
      <c r="H5" s="684" t="s">
        <v>126</v>
      </c>
      <c r="I5" s="685">
        <f>SLOPE($E$5:$E$252,$D$5:$D$252)</f>
        <v>1.1015464085344975</v>
      </c>
      <c r="J5" s="681"/>
    </row>
    <row r="6" spans="1:10" ht="12.75">
      <c r="A6" s="696">
        <v>44567</v>
      </c>
      <c r="B6" s="678">
        <v>1299.52</v>
      </c>
      <c r="C6" s="679">
        <v>145500</v>
      </c>
      <c r="D6" s="680">
        <f t="shared" si="0"/>
        <v>8.4586612034580622E-3</v>
      </c>
      <c r="E6" s="691">
        <f t="shared" si="1"/>
        <v>-1.4895057549085933E-2</v>
      </c>
      <c r="H6" s="686" t="s">
        <v>129</v>
      </c>
      <c r="I6" s="687">
        <f>(BS!G75+BS!G86)/BS!G93</f>
        <v>1.2094993013628357</v>
      </c>
      <c r="J6" s="682"/>
    </row>
    <row r="7" spans="1:10" ht="12.75">
      <c r="A7" s="697" t="s">
        <v>164</v>
      </c>
      <c r="B7" s="678">
        <v>1292.68</v>
      </c>
      <c r="C7" s="679">
        <v>144900</v>
      </c>
      <c r="D7" s="680">
        <f t="shared" si="0"/>
        <v>-5.263481901009559E-3</v>
      </c>
      <c r="E7" s="691">
        <f t="shared" si="1"/>
        <v>-4.1237113402061709E-3</v>
      </c>
      <c r="H7" s="686" t="s">
        <v>607</v>
      </c>
      <c r="I7" s="688">
        <f>IS!G41</f>
        <v>1.3408103874785577E-2</v>
      </c>
      <c r="J7" s="683"/>
    </row>
    <row r="8" spans="1:10" ht="13.5" thickBot="1">
      <c r="A8" s="697" t="s">
        <v>165</v>
      </c>
      <c r="B8" s="678">
        <v>1293.92</v>
      </c>
      <c r="C8" s="679">
        <v>145200</v>
      </c>
      <c r="D8" s="680">
        <f t="shared" si="0"/>
        <v>9.5924745489983643E-4</v>
      </c>
      <c r="E8" s="691">
        <f t="shared" si="1"/>
        <v>2.0703933747412417E-3</v>
      </c>
      <c r="H8" s="689" t="s">
        <v>135</v>
      </c>
      <c r="I8" s="690">
        <f>I5/(1+(1-I7)*I6)</f>
        <v>0.50223651291535498</v>
      </c>
    </row>
    <row r="9" spans="1:10" ht="12.75">
      <c r="A9" s="697" t="s">
        <v>166</v>
      </c>
      <c r="B9" s="678">
        <v>1285.45</v>
      </c>
      <c r="C9" s="679">
        <v>146700</v>
      </c>
      <c r="D9" s="680">
        <f t="shared" si="0"/>
        <v>-6.5459997526895464E-3</v>
      </c>
      <c r="E9" s="691">
        <f t="shared" si="1"/>
        <v>1.0330578512396604E-2</v>
      </c>
    </row>
    <row r="10" spans="1:10" ht="12.75">
      <c r="A10" s="697" t="s">
        <v>167</v>
      </c>
      <c r="B10" s="678">
        <v>1268.57</v>
      </c>
      <c r="C10" s="679">
        <v>139000</v>
      </c>
      <c r="D10" s="680">
        <f t="shared" si="0"/>
        <v>-1.3131588159788432E-2</v>
      </c>
      <c r="E10" s="691">
        <f t="shared" si="1"/>
        <v>-5.2488070892978911E-2</v>
      </c>
    </row>
    <row r="11" spans="1:10" ht="12.75">
      <c r="A11" s="697" t="s">
        <v>168</v>
      </c>
      <c r="B11" s="678">
        <v>1268.43</v>
      </c>
      <c r="C11" s="679">
        <v>139000</v>
      </c>
      <c r="D11" s="680">
        <f t="shared" si="0"/>
        <v>-1.1036048464008186E-4</v>
      </c>
      <c r="E11" s="691">
        <f t="shared" si="1"/>
        <v>0</v>
      </c>
    </row>
    <row r="12" spans="1:10" ht="12.75">
      <c r="A12" s="697" t="s">
        <v>169</v>
      </c>
      <c r="B12" s="678">
        <v>1233.3800000000001</v>
      </c>
      <c r="C12" s="679">
        <v>133000</v>
      </c>
      <c r="D12" s="680">
        <f t="shared" si="0"/>
        <v>-2.7632585164336976E-2</v>
      </c>
      <c r="E12" s="691">
        <f t="shared" si="1"/>
        <v>-4.3165467625899234E-2</v>
      </c>
    </row>
    <row r="13" spans="1:10" ht="12.75">
      <c r="A13" s="697" t="s">
        <v>170</v>
      </c>
      <c r="B13" s="678">
        <v>1218.81</v>
      </c>
      <c r="C13" s="679">
        <v>130800</v>
      </c>
      <c r="D13" s="680">
        <f t="shared" si="0"/>
        <v>-1.1813066532617822E-2</v>
      </c>
      <c r="E13" s="691">
        <f t="shared" si="1"/>
        <v>-1.6541353383458635E-2</v>
      </c>
    </row>
    <row r="14" spans="1:10" ht="12.75">
      <c r="A14" s="697" t="s">
        <v>171</v>
      </c>
      <c r="B14" s="678">
        <v>1240.71</v>
      </c>
      <c r="C14" s="679">
        <v>134000</v>
      </c>
      <c r="D14" s="680">
        <f t="shared" si="0"/>
        <v>1.7968346173727001E-2</v>
      </c>
      <c r="E14" s="691">
        <f t="shared" si="1"/>
        <v>2.4464831804281273E-2</v>
      </c>
    </row>
    <row r="15" spans="1:10" ht="12.75">
      <c r="A15" s="697" t="s">
        <v>172</v>
      </c>
      <c r="B15" s="678">
        <v>1241.6400000000001</v>
      </c>
      <c r="C15" s="679">
        <v>133000</v>
      </c>
      <c r="D15" s="680">
        <f t="shared" si="0"/>
        <v>7.4957081026183481E-4</v>
      </c>
      <c r="E15" s="691">
        <f t="shared" si="1"/>
        <v>-7.4626865671642006E-3</v>
      </c>
    </row>
    <row r="16" spans="1:10" ht="12.75">
      <c r="A16" s="697" t="s">
        <v>173</v>
      </c>
      <c r="B16" s="678">
        <v>1240.76</v>
      </c>
      <c r="C16" s="679">
        <v>133500</v>
      </c>
      <c r="D16" s="680">
        <f t="shared" si="0"/>
        <v>-7.0874005347776325E-4</v>
      </c>
      <c r="E16" s="691">
        <f t="shared" si="1"/>
        <v>3.759398496240518E-3</v>
      </c>
    </row>
    <row r="17" spans="1:5" ht="12.75">
      <c r="A17" s="697" t="s">
        <v>174</v>
      </c>
      <c r="B17" s="678">
        <v>1228.3699999999999</v>
      </c>
      <c r="C17" s="679">
        <v>131600</v>
      </c>
      <c r="D17" s="680">
        <f t="shared" si="0"/>
        <v>-9.9858151455560762E-3</v>
      </c>
      <c r="E17" s="691">
        <f t="shared" si="1"/>
        <v>-1.4232209737827684E-2</v>
      </c>
    </row>
    <row r="18" spans="1:5" ht="12.75">
      <c r="A18" s="697" t="s">
        <v>175</v>
      </c>
      <c r="B18" s="678">
        <v>1171.95</v>
      </c>
      <c r="C18" s="679">
        <v>123000</v>
      </c>
      <c r="D18" s="680">
        <f t="shared" si="0"/>
        <v>-4.5930786326595308E-2</v>
      </c>
      <c r="E18" s="691">
        <f t="shared" si="1"/>
        <v>-6.5349544072948351E-2</v>
      </c>
    </row>
    <row r="19" spans="1:5" ht="12.75">
      <c r="A19" s="697" t="s">
        <v>176</v>
      </c>
      <c r="B19" s="678">
        <v>1182.77</v>
      </c>
      <c r="C19" s="679">
        <v>125100</v>
      </c>
      <c r="D19" s="680">
        <f t="shared" si="0"/>
        <v>9.2324757882160657E-3</v>
      </c>
      <c r="E19" s="691">
        <f t="shared" si="1"/>
        <v>1.7073170731707332E-2</v>
      </c>
    </row>
    <row r="20" spans="1:5" ht="12.75">
      <c r="A20" s="696">
        <v>44900</v>
      </c>
      <c r="B20" s="678">
        <v>1238.8399999999999</v>
      </c>
      <c r="C20" s="679">
        <v>134400</v>
      </c>
      <c r="D20" s="680">
        <f t="shared" si="0"/>
        <v>4.7405666359478182E-2</v>
      </c>
      <c r="E20" s="691">
        <f t="shared" si="1"/>
        <v>7.4340527577937632E-2</v>
      </c>
    </row>
    <row r="21" spans="1:5" ht="15.75" customHeight="1">
      <c r="A21" s="696">
        <v>44870</v>
      </c>
      <c r="B21" s="678">
        <v>1301.53</v>
      </c>
      <c r="C21" s="679">
        <v>141000</v>
      </c>
      <c r="D21" s="680">
        <f t="shared" si="0"/>
        <v>5.0603790642859581E-2</v>
      </c>
      <c r="E21" s="691">
        <f t="shared" si="1"/>
        <v>4.9107142857142794E-2</v>
      </c>
    </row>
    <row r="22" spans="1:5" ht="15.75" customHeight="1">
      <c r="A22" s="696">
        <v>44839</v>
      </c>
      <c r="B22" s="678">
        <v>1293.56</v>
      </c>
      <c r="C22" s="679">
        <v>140100</v>
      </c>
      <c r="D22" s="680">
        <f t="shared" si="0"/>
        <v>-6.1235622690218872E-3</v>
      </c>
      <c r="E22" s="691">
        <f t="shared" si="1"/>
        <v>-6.382978723404209E-3</v>
      </c>
    </row>
    <row r="23" spans="1:5" ht="15.75" customHeight="1">
      <c r="A23" s="696">
        <v>44809</v>
      </c>
      <c r="B23" s="678">
        <v>1269.6199999999999</v>
      </c>
      <c r="C23" s="679">
        <v>136400</v>
      </c>
      <c r="D23" s="680">
        <f t="shared" si="0"/>
        <v>-1.8507065771978137E-2</v>
      </c>
      <c r="E23" s="691">
        <f t="shared" si="1"/>
        <v>-2.640970735189152E-2</v>
      </c>
    </row>
    <row r="24" spans="1:5" ht="15.75" customHeight="1">
      <c r="A24" s="696">
        <v>44717</v>
      </c>
      <c r="B24" s="678">
        <v>1329.26</v>
      </c>
      <c r="C24" s="679">
        <v>146600</v>
      </c>
      <c r="D24" s="680">
        <f t="shared" si="0"/>
        <v>4.6974685338920352E-2</v>
      </c>
      <c r="E24" s="691">
        <f t="shared" si="1"/>
        <v>7.4780058651026327E-2</v>
      </c>
    </row>
    <row r="25" spans="1:5" ht="15.75" customHeight="1">
      <c r="A25" s="696">
        <v>44686</v>
      </c>
      <c r="B25" s="678">
        <v>1360.68</v>
      </c>
      <c r="C25" s="679">
        <v>149400</v>
      </c>
      <c r="D25" s="680">
        <f t="shared" si="0"/>
        <v>2.3637211681687642E-2</v>
      </c>
      <c r="E25" s="691">
        <f t="shared" si="1"/>
        <v>1.9099590723056004E-2</v>
      </c>
    </row>
    <row r="26" spans="1:5" ht="15.75" customHeight="1">
      <c r="A26" s="696">
        <v>44656</v>
      </c>
      <c r="B26" s="678">
        <v>1348.68</v>
      </c>
      <c r="C26" s="679">
        <v>149500</v>
      </c>
      <c r="D26" s="680">
        <f t="shared" si="0"/>
        <v>-8.8191198518388081E-3</v>
      </c>
      <c r="E26" s="691">
        <f t="shared" si="1"/>
        <v>6.6934404283802706E-4</v>
      </c>
    </row>
    <row r="27" spans="1:5" ht="15.75" customHeight="1">
      <c r="A27" s="697" t="s">
        <v>177</v>
      </c>
      <c r="B27" s="678">
        <v>1366.8</v>
      </c>
      <c r="C27" s="679">
        <v>149200</v>
      </c>
      <c r="D27" s="680">
        <f t="shared" si="0"/>
        <v>1.3435359017706094E-2</v>
      </c>
      <c r="E27" s="691">
        <f t="shared" si="1"/>
        <v>-2.0066889632106566E-3</v>
      </c>
    </row>
    <row r="28" spans="1:5" ht="15.75" customHeight="1">
      <c r="A28" s="697" t="s">
        <v>178</v>
      </c>
      <c r="B28" s="678">
        <v>1350.99</v>
      </c>
      <c r="C28" s="679">
        <v>145000</v>
      </c>
      <c r="D28" s="680">
        <f t="shared" si="0"/>
        <v>-1.1567164179104417E-2</v>
      </c>
      <c r="E28" s="691">
        <f t="shared" si="1"/>
        <v>-2.8150134048257391E-2</v>
      </c>
    </row>
    <row r="29" spans="1:5" ht="15.75" customHeight="1">
      <c r="A29" s="697" t="s">
        <v>179</v>
      </c>
      <c r="B29" s="678">
        <v>1353.77</v>
      </c>
      <c r="C29" s="679">
        <v>147200</v>
      </c>
      <c r="D29" s="680">
        <f t="shared" si="0"/>
        <v>2.0577502424148353E-3</v>
      </c>
      <c r="E29" s="691">
        <f t="shared" si="1"/>
        <v>1.5172413793103523E-2</v>
      </c>
    </row>
    <row r="30" spans="1:5" ht="15.75" customHeight="1">
      <c r="A30" s="697" t="s">
        <v>180</v>
      </c>
      <c r="B30" s="678">
        <v>1341.34</v>
      </c>
      <c r="C30" s="679">
        <v>148800</v>
      </c>
      <c r="D30" s="680">
        <f t="shared" si="0"/>
        <v>-9.1817664743641947E-3</v>
      </c>
      <c r="E30" s="691">
        <f t="shared" si="1"/>
        <v>1.0869565217391353E-2</v>
      </c>
    </row>
    <row r="31" spans="1:5" ht="15.75" customHeight="1">
      <c r="A31" s="697" t="s">
        <v>181</v>
      </c>
      <c r="B31" s="678">
        <v>1310.92</v>
      </c>
      <c r="C31" s="679">
        <v>144900</v>
      </c>
      <c r="D31" s="680">
        <f t="shared" si="0"/>
        <v>-2.2678813723589708E-2</v>
      </c>
      <c r="E31" s="691">
        <f t="shared" si="1"/>
        <v>-2.6209677419354871E-2</v>
      </c>
    </row>
    <row r="32" spans="1:5" ht="15.75" customHeight="1">
      <c r="A32" s="697" t="s">
        <v>182</v>
      </c>
      <c r="B32" s="678">
        <v>1379.23</v>
      </c>
      <c r="C32" s="679">
        <v>155800</v>
      </c>
      <c r="D32" s="680">
        <f t="shared" si="0"/>
        <v>5.2108442925578924E-2</v>
      </c>
      <c r="E32" s="691">
        <f t="shared" si="1"/>
        <v>7.5224292615597044E-2</v>
      </c>
    </row>
    <row r="33" spans="1:5" ht="15.75" customHeight="1">
      <c r="A33" s="697" t="s">
        <v>183</v>
      </c>
      <c r="B33" s="678">
        <v>1370.21</v>
      </c>
      <c r="C33" s="679">
        <v>155500</v>
      </c>
      <c r="D33" s="680">
        <f t="shared" si="0"/>
        <v>-6.5398809480652353E-3</v>
      </c>
      <c r="E33" s="691">
        <f t="shared" si="1"/>
        <v>-1.9255455712451353E-3</v>
      </c>
    </row>
    <row r="34" spans="1:5" ht="15.75" customHeight="1">
      <c r="A34" s="697" t="s">
        <v>184</v>
      </c>
      <c r="B34" s="678">
        <v>1384.72</v>
      </c>
      <c r="C34" s="679">
        <v>156000</v>
      </c>
      <c r="D34" s="680">
        <f t="shared" si="0"/>
        <v>1.0589617649849226E-2</v>
      </c>
      <c r="E34" s="691">
        <f t="shared" si="1"/>
        <v>3.215434083601254E-3</v>
      </c>
    </row>
    <row r="35" spans="1:5" ht="15.75" customHeight="1">
      <c r="A35" s="697" t="s">
        <v>185</v>
      </c>
      <c r="B35" s="678">
        <v>1406.45</v>
      </c>
      <c r="C35" s="679">
        <v>156000</v>
      </c>
      <c r="D35" s="680">
        <f t="shared" si="0"/>
        <v>1.5692703217978998E-2</v>
      </c>
      <c r="E35" s="691">
        <f t="shared" si="1"/>
        <v>0</v>
      </c>
    </row>
    <row r="36" spans="1:5" ht="15.75" customHeight="1">
      <c r="A36" s="697" t="s">
        <v>186</v>
      </c>
      <c r="B36" s="678">
        <v>1432.6</v>
      </c>
      <c r="C36" s="679">
        <v>160200</v>
      </c>
      <c r="D36" s="680">
        <f t="shared" si="0"/>
        <v>1.8592911230402631E-2</v>
      </c>
      <c r="E36" s="691">
        <f t="shared" si="1"/>
        <v>2.6923076923076827E-2</v>
      </c>
    </row>
    <row r="37" spans="1:5" ht="15.75" customHeight="1">
      <c r="A37" s="697" t="s">
        <v>187</v>
      </c>
      <c r="B37" s="678">
        <v>1458.56</v>
      </c>
      <c r="C37" s="679">
        <v>160200</v>
      </c>
      <c r="D37" s="680">
        <f t="shared" si="0"/>
        <v>1.8120899064637763E-2</v>
      </c>
      <c r="E37" s="691">
        <f t="shared" si="1"/>
        <v>0</v>
      </c>
    </row>
    <row r="38" spans="1:5" ht="15.75" customHeight="1">
      <c r="A38" s="697" t="s">
        <v>188</v>
      </c>
      <c r="B38" s="678">
        <v>1472.12</v>
      </c>
      <c r="C38" s="679">
        <v>159500</v>
      </c>
      <c r="D38" s="680">
        <f t="shared" si="0"/>
        <v>9.2968407196138969E-3</v>
      </c>
      <c r="E38" s="691">
        <f t="shared" si="1"/>
        <v>-4.3695380774032566E-3</v>
      </c>
    </row>
    <row r="39" spans="1:5" ht="15.75" customHeight="1">
      <c r="A39" s="697" t="s">
        <v>189</v>
      </c>
      <c r="B39" s="678">
        <v>1477.2</v>
      </c>
      <c r="C39" s="679">
        <v>156200</v>
      </c>
      <c r="D39" s="680">
        <f t="shared" si="0"/>
        <v>3.4508056408446564E-3</v>
      </c>
      <c r="E39" s="691">
        <f t="shared" si="1"/>
        <v>-2.0689655172413834E-2</v>
      </c>
    </row>
    <row r="40" spans="1:5" ht="15.75" customHeight="1">
      <c r="A40" s="696">
        <v>44899</v>
      </c>
      <c r="B40" s="678">
        <v>1455.25</v>
      </c>
      <c r="C40" s="679">
        <v>152700</v>
      </c>
      <c r="D40" s="680">
        <f t="shared" si="0"/>
        <v>-1.4859193067966459E-2</v>
      </c>
      <c r="E40" s="691">
        <f t="shared" si="1"/>
        <v>-2.2407170294494239E-2</v>
      </c>
    </row>
    <row r="41" spans="1:5" ht="15.75" customHeight="1">
      <c r="A41" s="696">
        <v>44777</v>
      </c>
      <c r="B41" s="678">
        <v>1482</v>
      </c>
      <c r="C41" s="679">
        <v>150000</v>
      </c>
      <c r="D41" s="680">
        <f t="shared" si="0"/>
        <v>1.8381721353719183E-2</v>
      </c>
      <c r="E41" s="691">
        <f t="shared" si="1"/>
        <v>-1.7681728880157177E-2</v>
      </c>
    </row>
    <row r="42" spans="1:5" ht="15.75" customHeight="1">
      <c r="A42" s="696">
        <v>44746</v>
      </c>
      <c r="B42" s="678">
        <v>1502.35</v>
      </c>
      <c r="C42" s="679">
        <v>155000</v>
      </c>
      <c r="D42" s="680">
        <f t="shared" si="0"/>
        <v>1.3731443994601911E-2</v>
      </c>
      <c r="E42" s="691">
        <f t="shared" si="1"/>
        <v>3.3333333333333437E-2</v>
      </c>
    </row>
    <row r="43" spans="1:5" ht="15.75" customHeight="1">
      <c r="A43" s="696">
        <v>44716</v>
      </c>
      <c r="B43" s="678">
        <v>1522.9</v>
      </c>
      <c r="C43" s="679">
        <v>158800</v>
      </c>
      <c r="D43" s="680">
        <f t="shared" si="0"/>
        <v>1.3678570239957555E-2</v>
      </c>
      <c r="E43" s="691">
        <f t="shared" si="1"/>
        <v>2.4516129032257972E-2</v>
      </c>
    </row>
    <row r="44" spans="1:5" ht="15.75" customHeight="1">
      <c r="A44" s="696">
        <v>44685</v>
      </c>
      <c r="B44" s="678">
        <v>1520.03</v>
      </c>
      <c r="C44" s="679">
        <v>155200</v>
      </c>
      <c r="D44" s="680">
        <f t="shared" si="0"/>
        <v>-1.8845623481515972E-3</v>
      </c>
      <c r="E44" s="691">
        <f t="shared" si="1"/>
        <v>-2.267002518891692E-2</v>
      </c>
    </row>
    <row r="45" spans="1:5" ht="15.75" customHeight="1">
      <c r="A45" s="696">
        <v>44655</v>
      </c>
      <c r="B45" s="678">
        <v>1524.7</v>
      </c>
      <c r="C45" s="679">
        <v>155000</v>
      </c>
      <c r="D45" s="680">
        <f t="shared" si="0"/>
        <v>3.0723077833989532E-3</v>
      </c>
      <c r="E45" s="691">
        <f t="shared" si="1"/>
        <v>-1.2886597938144284E-3</v>
      </c>
    </row>
    <row r="46" spans="1:5" ht="15.75" customHeight="1">
      <c r="A46" s="696">
        <v>44565</v>
      </c>
      <c r="B46" s="678">
        <v>1516.44</v>
      </c>
      <c r="C46" s="679">
        <v>156000</v>
      </c>
      <c r="D46" s="680">
        <f t="shared" si="0"/>
        <v>-5.4174591722961907E-3</v>
      </c>
      <c r="E46" s="691">
        <f t="shared" si="1"/>
        <v>6.4516129032257119E-3</v>
      </c>
    </row>
    <row r="47" spans="1:5" ht="15.75" customHeight="1">
      <c r="A47" s="697" t="s">
        <v>190</v>
      </c>
      <c r="B47" s="678">
        <v>1492.15</v>
      </c>
      <c r="C47" s="679">
        <v>145800</v>
      </c>
      <c r="D47" s="680">
        <f t="shared" si="0"/>
        <v>-1.6017778481179579E-2</v>
      </c>
      <c r="E47" s="691">
        <f t="shared" si="1"/>
        <v>-6.5384615384615374E-2</v>
      </c>
    </row>
    <row r="48" spans="1:5" ht="15.75" customHeight="1">
      <c r="A48" s="697" t="s">
        <v>191</v>
      </c>
      <c r="B48" s="678">
        <v>1490.51</v>
      </c>
      <c r="C48" s="679">
        <v>144400</v>
      </c>
      <c r="D48" s="680">
        <f t="shared" si="0"/>
        <v>-1.0990852126127049E-3</v>
      </c>
      <c r="E48" s="691">
        <f t="shared" si="1"/>
        <v>-9.6021947873800029E-3</v>
      </c>
    </row>
    <row r="49" spans="1:5" ht="15.75" customHeight="1">
      <c r="A49" s="697" t="s">
        <v>192</v>
      </c>
      <c r="B49" s="678">
        <v>1497.76</v>
      </c>
      <c r="C49" s="679">
        <v>146500</v>
      </c>
      <c r="D49" s="680">
        <f t="shared" si="0"/>
        <v>4.864106916424582E-3</v>
      </c>
      <c r="E49" s="691">
        <f t="shared" si="1"/>
        <v>1.454293628808867E-2</v>
      </c>
    </row>
    <row r="50" spans="1:5" ht="15.75" customHeight="1">
      <c r="A50" s="697" t="s">
        <v>193</v>
      </c>
      <c r="B50" s="678">
        <v>1483.18</v>
      </c>
      <c r="C50" s="679">
        <v>144000</v>
      </c>
      <c r="D50" s="680">
        <f t="shared" si="0"/>
        <v>-9.7345369084499422E-3</v>
      </c>
      <c r="E50" s="691">
        <f t="shared" si="1"/>
        <v>-1.7064846416382284E-2</v>
      </c>
    </row>
    <row r="51" spans="1:5" ht="15.75" customHeight="1">
      <c r="A51" s="697" t="s">
        <v>194</v>
      </c>
      <c r="B51" s="678">
        <v>1498.5</v>
      </c>
      <c r="C51" s="679">
        <v>138900</v>
      </c>
      <c r="D51" s="680">
        <f t="shared" si="0"/>
        <v>1.0329157620787788E-2</v>
      </c>
      <c r="E51" s="691">
        <f t="shared" si="1"/>
        <v>-3.5416666666666652E-2</v>
      </c>
    </row>
    <row r="52" spans="1:5" ht="15.75" customHeight="1">
      <c r="A52" s="697" t="s">
        <v>195</v>
      </c>
      <c r="B52" s="678">
        <v>1498.26</v>
      </c>
      <c r="C52" s="679">
        <v>134000</v>
      </c>
      <c r="D52" s="680">
        <f t="shared" si="0"/>
        <v>-1.601601601601832E-4</v>
      </c>
      <c r="E52" s="691">
        <f t="shared" si="1"/>
        <v>-3.5277177825773887E-2</v>
      </c>
    </row>
    <row r="53" spans="1:5" ht="15.75" customHeight="1">
      <c r="A53" s="697" t="s">
        <v>196</v>
      </c>
      <c r="B53" s="678">
        <v>1502.34</v>
      </c>
      <c r="C53" s="679">
        <v>135000</v>
      </c>
      <c r="D53" s="680">
        <f t="shared" si="0"/>
        <v>2.7231588642824267E-3</v>
      </c>
      <c r="E53" s="691">
        <f t="shared" si="1"/>
        <v>7.4626865671640896E-3</v>
      </c>
    </row>
    <row r="54" spans="1:5" ht="15.75" customHeight="1">
      <c r="A54" s="697" t="s">
        <v>197</v>
      </c>
      <c r="B54" s="678">
        <v>1503.78</v>
      </c>
      <c r="C54" s="679">
        <v>135200</v>
      </c>
      <c r="D54" s="680">
        <f t="shared" si="0"/>
        <v>9.5850473261704927E-4</v>
      </c>
      <c r="E54" s="691">
        <f t="shared" si="1"/>
        <v>1.481481481481417E-3</v>
      </c>
    </row>
    <row r="55" spans="1:5" ht="15.75" customHeight="1">
      <c r="A55" s="697" t="s">
        <v>198</v>
      </c>
      <c r="B55" s="678">
        <v>1494.95</v>
      </c>
      <c r="C55" s="679">
        <v>134900</v>
      </c>
      <c r="D55" s="680">
        <f t="shared" si="0"/>
        <v>-5.8718695553869882E-3</v>
      </c>
      <c r="E55" s="691">
        <f t="shared" si="1"/>
        <v>-2.2189349112425871E-3</v>
      </c>
    </row>
    <row r="56" spans="1:5" ht="15.75" customHeight="1">
      <c r="A56" s="697" t="s">
        <v>199</v>
      </c>
      <c r="B56" s="678">
        <v>1469.1</v>
      </c>
      <c r="C56" s="679">
        <v>131600</v>
      </c>
      <c r="D56" s="680">
        <f t="shared" si="0"/>
        <v>-1.7291548212314933E-2</v>
      </c>
      <c r="E56" s="691">
        <f t="shared" si="1"/>
        <v>-2.4462564862861358E-2</v>
      </c>
    </row>
    <row r="57" spans="1:5" ht="15.75" customHeight="1">
      <c r="A57" s="697" t="s">
        <v>200</v>
      </c>
      <c r="B57" s="678">
        <v>1461.34</v>
      </c>
      <c r="C57" s="679">
        <v>130800</v>
      </c>
      <c r="D57" s="680">
        <f t="shared" si="0"/>
        <v>-5.2821455312775933E-3</v>
      </c>
      <c r="E57" s="691">
        <f t="shared" si="1"/>
        <v>-6.0790273556230456E-3</v>
      </c>
    </row>
    <row r="58" spans="1:5" ht="15.75" customHeight="1">
      <c r="A58" s="697" t="s">
        <v>201</v>
      </c>
      <c r="B58" s="678">
        <v>1459.33</v>
      </c>
      <c r="C58" s="679">
        <v>131400</v>
      </c>
      <c r="D58" s="680">
        <f t="shared" si="0"/>
        <v>-1.3754499295167699E-3</v>
      </c>
      <c r="E58" s="691">
        <f t="shared" si="1"/>
        <v>4.5871559633028358E-3</v>
      </c>
    </row>
    <row r="59" spans="1:5" ht="15.75" customHeight="1">
      <c r="A59" s="697" t="s">
        <v>202</v>
      </c>
      <c r="B59" s="678">
        <v>1452.74</v>
      </c>
      <c r="C59" s="679">
        <v>131400</v>
      </c>
      <c r="D59" s="680">
        <f t="shared" si="0"/>
        <v>-4.5157709359774367E-3</v>
      </c>
      <c r="E59" s="691">
        <f t="shared" si="1"/>
        <v>0</v>
      </c>
    </row>
    <row r="60" spans="1:5" ht="15.75" customHeight="1">
      <c r="A60" s="697" t="s">
        <v>203</v>
      </c>
      <c r="B60" s="678">
        <v>1446.25</v>
      </c>
      <c r="C60" s="679">
        <v>131700</v>
      </c>
      <c r="D60" s="680">
        <f t="shared" si="0"/>
        <v>-4.4674201853049933E-3</v>
      </c>
      <c r="E60" s="691">
        <f t="shared" si="1"/>
        <v>2.2831050228311334E-3</v>
      </c>
    </row>
    <row r="61" spans="1:5" ht="15.75" customHeight="1">
      <c r="A61" s="696">
        <v>44868</v>
      </c>
      <c r="B61" s="678">
        <v>1466.54</v>
      </c>
      <c r="C61" s="679">
        <v>133000</v>
      </c>
      <c r="D61" s="680">
        <f t="shared" si="0"/>
        <v>1.4029386343993089E-2</v>
      </c>
      <c r="E61" s="691">
        <f t="shared" si="1"/>
        <v>9.8709187547456612E-3</v>
      </c>
    </row>
    <row r="62" spans="1:5" ht="15.75" customHeight="1">
      <c r="A62" s="696">
        <v>44837</v>
      </c>
      <c r="B62" s="678">
        <v>1479.08</v>
      </c>
      <c r="C62" s="679">
        <v>133500</v>
      </c>
      <c r="D62" s="680">
        <f t="shared" si="0"/>
        <v>8.5507384728680247E-3</v>
      </c>
      <c r="E62" s="691">
        <f t="shared" si="1"/>
        <v>3.759398496240518E-3</v>
      </c>
    </row>
    <row r="63" spans="1:5" ht="15.75" customHeight="1">
      <c r="A63" s="696">
        <v>44807</v>
      </c>
      <c r="B63" s="678">
        <v>1473.74</v>
      </c>
      <c r="C63" s="679">
        <v>133800</v>
      </c>
      <c r="D63" s="680">
        <f t="shared" si="0"/>
        <v>-3.6103523812098803E-3</v>
      </c>
      <c r="E63" s="691">
        <f t="shared" si="1"/>
        <v>2.2471910112360494E-3</v>
      </c>
    </row>
    <row r="64" spans="1:5" ht="15.75" customHeight="1">
      <c r="A64" s="696">
        <v>44776</v>
      </c>
      <c r="B64" s="678">
        <v>1473.71</v>
      </c>
      <c r="C64" s="679">
        <v>134200</v>
      </c>
      <c r="D64" s="680">
        <f t="shared" si="0"/>
        <v>-2.035637222308484E-5</v>
      </c>
      <c r="E64" s="691">
        <f t="shared" si="1"/>
        <v>2.989536621823552E-3</v>
      </c>
    </row>
    <row r="65" spans="1:5" ht="15.75" customHeight="1">
      <c r="A65" s="696">
        <v>44745</v>
      </c>
      <c r="B65" s="678">
        <v>1499.05</v>
      </c>
      <c r="C65" s="679">
        <v>134200</v>
      </c>
      <c r="D65" s="680">
        <f t="shared" si="0"/>
        <v>1.7194699092765831E-2</v>
      </c>
      <c r="E65" s="691">
        <f t="shared" si="1"/>
        <v>0</v>
      </c>
    </row>
    <row r="66" spans="1:5" ht="15.75" customHeight="1">
      <c r="A66" s="696">
        <v>44654</v>
      </c>
      <c r="B66" s="678">
        <v>1505.33</v>
      </c>
      <c r="C66" s="679">
        <v>135800</v>
      </c>
      <c r="D66" s="680">
        <f t="shared" si="0"/>
        <v>4.1893199026050709E-3</v>
      </c>
      <c r="E66" s="691">
        <f t="shared" si="1"/>
        <v>1.1922503725782407E-2</v>
      </c>
    </row>
    <row r="67" spans="1:5" ht="15.75" customHeight="1">
      <c r="A67" s="696">
        <v>44623</v>
      </c>
      <c r="B67" s="678">
        <v>1505</v>
      </c>
      <c r="C67" s="679">
        <v>136500</v>
      </c>
      <c r="D67" s="680">
        <f t="shared" si="0"/>
        <v>-2.1922103459037778E-4</v>
      </c>
      <c r="E67" s="691">
        <f t="shared" si="1"/>
        <v>5.1546391752577136E-3</v>
      </c>
    </row>
    <row r="68" spans="1:5" ht="15.75" customHeight="1">
      <c r="A68" s="696">
        <v>44595</v>
      </c>
      <c r="B68" s="678">
        <v>1485.52</v>
      </c>
      <c r="C68" s="679">
        <v>134500</v>
      </c>
      <c r="D68" s="680">
        <f t="shared" si="0"/>
        <v>-1.2943521594684371E-2</v>
      </c>
      <c r="E68" s="691">
        <f t="shared" si="1"/>
        <v>-1.46520146520146E-2</v>
      </c>
    </row>
    <row r="69" spans="1:5" ht="15.75" customHeight="1">
      <c r="A69" s="696">
        <v>44564</v>
      </c>
      <c r="B69" s="678">
        <v>1498.78</v>
      </c>
      <c r="C69" s="679">
        <v>136000</v>
      </c>
      <c r="D69" s="680">
        <f t="shared" ref="D69:D132" si="2">(B69/B68)-1</f>
        <v>8.9261672680274184E-3</v>
      </c>
      <c r="E69" s="691">
        <f t="shared" ref="E69:E132" si="3">(C69/C68)-1</f>
        <v>1.1152416356877248E-2</v>
      </c>
    </row>
    <row r="70" spans="1:5" ht="15.75" customHeight="1">
      <c r="A70" s="697" t="s">
        <v>204</v>
      </c>
      <c r="B70" s="678">
        <v>1490.13</v>
      </c>
      <c r="C70" s="679">
        <v>136000</v>
      </c>
      <c r="D70" s="680">
        <f t="shared" si="2"/>
        <v>-5.7713607067080286E-3</v>
      </c>
      <c r="E70" s="691">
        <f t="shared" si="3"/>
        <v>0</v>
      </c>
    </row>
    <row r="71" spans="1:5" ht="15.75" customHeight="1">
      <c r="A71" s="697" t="s">
        <v>205</v>
      </c>
      <c r="B71" s="678">
        <v>1498.89</v>
      </c>
      <c r="C71" s="679">
        <v>137600</v>
      </c>
      <c r="D71" s="680">
        <f t="shared" si="2"/>
        <v>5.8786817257554524E-3</v>
      </c>
      <c r="E71" s="691">
        <f t="shared" si="3"/>
        <v>1.1764705882352899E-2</v>
      </c>
    </row>
    <row r="72" spans="1:5" ht="15.75" customHeight="1">
      <c r="A72" s="697" t="s">
        <v>206</v>
      </c>
      <c r="B72" s="678">
        <v>1494.85</v>
      </c>
      <c r="C72" s="679">
        <v>136800</v>
      </c>
      <c r="D72" s="680">
        <f t="shared" si="2"/>
        <v>-2.6953278759617172E-3</v>
      </c>
      <c r="E72" s="691">
        <f t="shared" si="3"/>
        <v>-5.8139534883721034E-3</v>
      </c>
    </row>
    <row r="73" spans="1:5" ht="15.75" customHeight="1">
      <c r="A73" s="697" t="s">
        <v>207</v>
      </c>
      <c r="B73" s="678">
        <v>1512.3</v>
      </c>
      <c r="C73" s="679">
        <v>137800</v>
      </c>
      <c r="D73" s="680">
        <f t="shared" si="2"/>
        <v>1.1673412048031517E-2</v>
      </c>
      <c r="E73" s="691">
        <f t="shared" si="3"/>
        <v>7.309941520467822E-3</v>
      </c>
    </row>
    <row r="74" spans="1:5" ht="15.75" customHeight="1">
      <c r="A74" s="697" t="s">
        <v>208</v>
      </c>
      <c r="B74" s="678">
        <v>1503.47</v>
      </c>
      <c r="C74" s="679">
        <v>137700</v>
      </c>
      <c r="D74" s="680">
        <f t="shared" si="2"/>
        <v>-5.838788600145417E-3</v>
      </c>
      <c r="E74" s="691">
        <f t="shared" si="3"/>
        <v>-7.2568940493467071E-4</v>
      </c>
    </row>
    <row r="75" spans="1:5" ht="15.75" customHeight="1">
      <c r="A75" s="697" t="s">
        <v>209</v>
      </c>
      <c r="B75" s="678">
        <v>1510.84</v>
      </c>
      <c r="C75" s="679">
        <v>133900</v>
      </c>
      <c r="D75" s="680">
        <f t="shared" si="2"/>
        <v>4.9019933886276235E-3</v>
      </c>
      <c r="E75" s="691">
        <f t="shared" si="3"/>
        <v>-2.7596223674655085E-2</v>
      </c>
    </row>
    <row r="76" spans="1:5" ht="15.75" customHeight="1">
      <c r="A76" s="697" t="s">
        <v>210</v>
      </c>
      <c r="B76" s="678">
        <v>1504.84</v>
      </c>
      <c r="C76" s="679">
        <v>134000</v>
      </c>
      <c r="D76" s="680">
        <f t="shared" si="2"/>
        <v>-3.9713007333668227E-3</v>
      </c>
      <c r="E76" s="691">
        <f t="shared" si="3"/>
        <v>7.468259895444529E-4</v>
      </c>
    </row>
    <row r="77" spans="1:5" ht="15.75" customHeight="1">
      <c r="A77" s="697" t="s">
        <v>211</v>
      </c>
      <c r="B77" s="678">
        <v>1507.99</v>
      </c>
      <c r="C77" s="679">
        <v>134500</v>
      </c>
      <c r="D77" s="680">
        <f t="shared" si="2"/>
        <v>2.0932457935727289E-3</v>
      </c>
      <c r="E77" s="691">
        <f t="shared" si="3"/>
        <v>3.7313432835821558E-3</v>
      </c>
    </row>
    <row r="78" spans="1:5" ht="15.75" customHeight="1">
      <c r="A78" s="697" t="s">
        <v>212</v>
      </c>
      <c r="B78" s="678">
        <v>1492.1</v>
      </c>
      <c r="C78" s="679">
        <v>132900</v>
      </c>
      <c r="D78" s="680">
        <f t="shared" si="2"/>
        <v>-1.0537205153880347E-2</v>
      </c>
      <c r="E78" s="691">
        <f t="shared" si="3"/>
        <v>-1.1895910780669094E-2</v>
      </c>
    </row>
    <row r="79" spans="1:5" ht="15.75" customHeight="1">
      <c r="A79" s="697" t="s">
        <v>213</v>
      </c>
      <c r="B79" s="678">
        <v>1492.75</v>
      </c>
      <c r="C79" s="679">
        <v>133300</v>
      </c>
      <c r="D79" s="680">
        <f t="shared" si="2"/>
        <v>4.3562763889815059E-4</v>
      </c>
      <c r="E79" s="691">
        <f t="shared" si="3"/>
        <v>3.0097817908201208E-3</v>
      </c>
    </row>
    <row r="80" spans="1:5" ht="15.75" customHeight="1">
      <c r="A80" s="697" t="s">
        <v>214</v>
      </c>
      <c r="B80" s="678">
        <v>1471.96</v>
      </c>
      <c r="C80" s="679">
        <v>132000</v>
      </c>
      <c r="D80" s="680">
        <f t="shared" si="2"/>
        <v>-1.3927315357561532E-2</v>
      </c>
      <c r="E80" s="691">
        <f t="shared" si="3"/>
        <v>-9.7524381095274171E-3</v>
      </c>
    </row>
    <row r="81" spans="1:5" ht="15.75" customHeight="1">
      <c r="A81" s="696">
        <v>44867</v>
      </c>
      <c r="B81" s="678">
        <v>1501.71</v>
      </c>
      <c r="C81" s="679">
        <v>135300</v>
      </c>
      <c r="D81" s="680">
        <f t="shared" si="2"/>
        <v>2.021114704203919E-2</v>
      </c>
      <c r="E81" s="691">
        <f t="shared" si="3"/>
        <v>2.4999999999999911E-2</v>
      </c>
    </row>
    <row r="82" spans="1:5" ht="15.75" customHeight="1">
      <c r="A82" s="696">
        <v>44836</v>
      </c>
      <c r="B82" s="678">
        <v>1506.79</v>
      </c>
      <c r="C82" s="679">
        <v>136300</v>
      </c>
      <c r="D82" s="680">
        <f t="shared" si="2"/>
        <v>3.3828102629669399E-3</v>
      </c>
      <c r="E82" s="691">
        <f t="shared" si="3"/>
        <v>7.3909830007390376E-3</v>
      </c>
    </row>
    <row r="83" spans="1:5" ht="15.75" customHeight="1">
      <c r="A83" s="696">
        <v>44806</v>
      </c>
      <c r="B83" s="678">
        <v>1505.38</v>
      </c>
      <c r="C83" s="679">
        <v>137000</v>
      </c>
      <c r="D83" s="680">
        <f t="shared" si="2"/>
        <v>-9.3576410780527031E-4</v>
      </c>
      <c r="E83" s="691">
        <f t="shared" si="3"/>
        <v>5.1357300073366918E-3</v>
      </c>
    </row>
    <row r="84" spans="1:5" ht="15.75" customHeight="1">
      <c r="A84" s="696">
        <v>44775</v>
      </c>
      <c r="B84" s="678">
        <v>1500.99</v>
      </c>
      <c r="C84" s="679">
        <v>136300</v>
      </c>
      <c r="D84" s="680">
        <f t="shared" si="2"/>
        <v>-2.9162072034968345E-3</v>
      </c>
      <c r="E84" s="691">
        <f t="shared" si="3"/>
        <v>-5.1094890510948732E-3</v>
      </c>
    </row>
    <row r="85" spans="1:5" ht="15.75" customHeight="1">
      <c r="A85" s="696">
        <v>44744</v>
      </c>
      <c r="B85" s="678">
        <v>1497.66</v>
      </c>
      <c r="C85" s="679">
        <v>133900</v>
      </c>
      <c r="D85" s="680">
        <f t="shared" si="2"/>
        <v>-2.2185357663940808E-3</v>
      </c>
      <c r="E85" s="691">
        <f t="shared" si="3"/>
        <v>-1.7608217168011753E-2</v>
      </c>
    </row>
    <row r="86" spans="1:5" ht="15.75" customHeight="1">
      <c r="A86" s="697" t="s">
        <v>215</v>
      </c>
      <c r="B86" s="678">
        <v>1478.96</v>
      </c>
      <c r="C86" s="679">
        <v>132500</v>
      </c>
      <c r="D86" s="680">
        <f t="shared" si="2"/>
        <v>-1.2486145052949316E-2</v>
      </c>
      <c r="E86" s="691">
        <f t="shared" si="3"/>
        <v>-1.0455563853622118E-2</v>
      </c>
    </row>
    <row r="87" spans="1:5" ht="15.75" customHeight="1">
      <c r="A87" s="697" t="s">
        <v>216</v>
      </c>
      <c r="B87" s="678">
        <v>1470.76</v>
      </c>
      <c r="C87" s="679">
        <v>131500</v>
      </c>
      <c r="D87" s="680">
        <f t="shared" si="2"/>
        <v>-5.5444366311462323E-3</v>
      </c>
      <c r="E87" s="691">
        <f t="shared" si="3"/>
        <v>-7.547169811320753E-3</v>
      </c>
    </row>
    <row r="88" spans="1:5" ht="15.75" customHeight="1">
      <c r="A88" s="697" t="s">
        <v>217</v>
      </c>
      <c r="B88" s="678">
        <v>1481.58</v>
      </c>
      <c r="C88" s="679">
        <v>131900</v>
      </c>
      <c r="D88" s="680">
        <f t="shared" si="2"/>
        <v>7.356740732682443E-3</v>
      </c>
      <c r="E88" s="691">
        <f t="shared" si="3"/>
        <v>3.0418250950570158E-3</v>
      </c>
    </row>
    <row r="89" spans="1:5" ht="15.75" customHeight="1">
      <c r="A89" s="697" t="s">
        <v>218</v>
      </c>
      <c r="B89" s="678">
        <v>1479.58</v>
      </c>
      <c r="C89" s="679">
        <v>131000</v>
      </c>
      <c r="D89" s="680">
        <f t="shared" si="2"/>
        <v>-1.349910230969642E-3</v>
      </c>
      <c r="E89" s="691">
        <f t="shared" si="3"/>
        <v>-6.8233510235026218E-3</v>
      </c>
    </row>
    <row r="90" spans="1:5" ht="15.75" customHeight="1">
      <c r="A90" s="697" t="s">
        <v>219</v>
      </c>
      <c r="B90" s="678">
        <v>1439.71</v>
      </c>
      <c r="C90" s="679">
        <v>129900</v>
      </c>
      <c r="D90" s="680">
        <f t="shared" si="2"/>
        <v>-2.6946836264345242E-2</v>
      </c>
      <c r="E90" s="691">
        <f t="shared" si="3"/>
        <v>-8.3969465648855435E-3</v>
      </c>
    </row>
    <row r="91" spans="1:5" ht="15.75" customHeight="1">
      <c r="A91" s="697" t="s">
        <v>220</v>
      </c>
      <c r="B91" s="678">
        <v>1472.89</v>
      </c>
      <c r="C91" s="679">
        <v>133200</v>
      </c>
      <c r="D91" s="680">
        <f t="shared" si="2"/>
        <v>2.304630793701512E-2</v>
      </c>
      <c r="E91" s="691">
        <f t="shared" si="3"/>
        <v>2.5404157043879882E-2</v>
      </c>
    </row>
    <row r="92" spans="1:5" ht="15.75" customHeight="1">
      <c r="A92" s="697" t="s">
        <v>221</v>
      </c>
      <c r="B92" s="678">
        <v>1465.3</v>
      </c>
      <c r="C92" s="679">
        <v>134000</v>
      </c>
      <c r="D92" s="680">
        <f t="shared" si="2"/>
        <v>-5.1531343141715258E-3</v>
      </c>
      <c r="E92" s="691">
        <f t="shared" si="3"/>
        <v>6.0060060060060927E-3</v>
      </c>
    </row>
    <row r="93" spans="1:5" ht="15.75" customHeight="1">
      <c r="A93" s="697" t="s">
        <v>222</v>
      </c>
      <c r="B93" s="678">
        <v>1442.79</v>
      </c>
      <c r="C93" s="679">
        <v>133500</v>
      </c>
      <c r="D93" s="680">
        <f t="shared" si="2"/>
        <v>-1.5362041902682089E-2</v>
      </c>
      <c r="E93" s="691">
        <f t="shared" si="3"/>
        <v>-3.7313432835820448E-3</v>
      </c>
    </row>
    <row r="94" spans="1:5" ht="15.75" customHeight="1">
      <c r="A94" s="697" t="s">
        <v>223</v>
      </c>
      <c r="B94" s="678">
        <v>1438.94</v>
      </c>
      <c r="C94" s="679">
        <v>130100</v>
      </c>
      <c r="D94" s="680">
        <f t="shared" si="2"/>
        <v>-2.6684410066606379E-3</v>
      </c>
      <c r="E94" s="691">
        <f t="shared" si="3"/>
        <v>-2.5468164794007486E-2</v>
      </c>
    </row>
    <row r="95" spans="1:5" ht="15.75" customHeight="1">
      <c r="A95" s="697" t="s">
        <v>224</v>
      </c>
      <c r="B95" s="678">
        <v>1452.84</v>
      </c>
      <c r="C95" s="679">
        <v>130000</v>
      </c>
      <c r="D95" s="680">
        <f t="shared" si="2"/>
        <v>9.6598885290559711E-3</v>
      </c>
      <c r="E95" s="691">
        <f t="shared" si="3"/>
        <v>-7.6863950807071202E-4</v>
      </c>
    </row>
    <row r="96" spans="1:5" ht="15.75" customHeight="1">
      <c r="A96" s="697" t="s">
        <v>225</v>
      </c>
      <c r="B96" s="678">
        <v>1496.02</v>
      </c>
      <c r="C96" s="679">
        <v>134000</v>
      </c>
      <c r="D96" s="680">
        <f t="shared" si="2"/>
        <v>2.972109798739031E-2</v>
      </c>
      <c r="E96" s="691">
        <f t="shared" si="3"/>
        <v>3.076923076923066E-2</v>
      </c>
    </row>
    <row r="97" spans="1:5" ht="15.75" customHeight="1">
      <c r="A97" s="697" t="s">
        <v>226</v>
      </c>
      <c r="B97" s="678">
        <v>1496.05</v>
      </c>
      <c r="C97" s="679">
        <v>135500</v>
      </c>
      <c r="D97" s="680">
        <f t="shared" si="2"/>
        <v>2.0053207844705767E-5</v>
      </c>
      <c r="E97" s="691">
        <f t="shared" si="3"/>
        <v>1.1194029850746245E-2</v>
      </c>
    </row>
    <row r="98" spans="1:5" ht="15.75" customHeight="1">
      <c r="A98" s="696">
        <v>44896</v>
      </c>
      <c r="B98" s="678">
        <v>1510.51</v>
      </c>
      <c r="C98" s="679">
        <v>136000</v>
      </c>
      <c r="D98" s="680">
        <f t="shared" si="2"/>
        <v>9.6654523578758589E-3</v>
      </c>
      <c r="E98" s="691">
        <f t="shared" si="3"/>
        <v>3.6900369003689537E-3</v>
      </c>
    </row>
    <row r="99" spans="1:5" ht="15.75" customHeight="1">
      <c r="A99" s="696">
        <v>44866</v>
      </c>
      <c r="B99" s="678">
        <v>1492.31</v>
      </c>
      <c r="C99" s="679">
        <v>131800</v>
      </c>
      <c r="D99" s="680">
        <f t="shared" si="2"/>
        <v>-1.2048910632832643E-2</v>
      </c>
      <c r="E99" s="691">
        <f t="shared" si="3"/>
        <v>-3.0882352941176472E-2</v>
      </c>
    </row>
    <row r="100" spans="1:5" ht="15.75" customHeight="1">
      <c r="A100" s="696">
        <v>44835</v>
      </c>
      <c r="B100" s="678">
        <v>1503.71</v>
      </c>
      <c r="C100" s="679">
        <v>133000</v>
      </c>
      <c r="D100" s="680">
        <f t="shared" si="2"/>
        <v>7.6391634445927004E-3</v>
      </c>
      <c r="E100" s="691">
        <f t="shared" si="3"/>
        <v>9.1047040971168336E-3</v>
      </c>
    </row>
    <row r="101" spans="1:5" ht="15.75" customHeight="1">
      <c r="A101" s="696">
        <v>44743</v>
      </c>
      <c r="B101" s="678">
        <v>1528.48</v>
      </c>
      <c r="C101" s="679">
        <v>135500</v>
      </c>
      <c r="D101" s="680">
        <f t="shared" si="2"/>
        <v>1.6472591124618408E-2</v>
      </c>
      <c r="E101" s="691">
        <f t="shared" si="3"/>
        <v>1.8796992481203034E-2</v>
      </c>
    </row>
    <row r="102" spans="1:5" ht="15.75" customHeight="1">
      <c r="A102" s="696">
        <v>44713</v>
      </c>
      <c r="B102" s="678">
        <v>1528.57</v>
      </c>
      <c r="C102" s="679">
        <v>137500</v>
      </c>
      <c r="D102" s="680">
        <f t="shared" si="2"/>
        <v>5.8882026588547021E-5</v>
      </c>
      <c r="E102" s="691">
        <f t="shared" si="3"/>
        <v>1.4760147601476037E-2</v>
      </c>
    </row>
    <row r="103" spans="1:5" ht="15.75" customHeight="1">
      <c r="A103" s="696">
        <v>44682</v>
      </c>
      <c r="B103" s="678">
        <v>1522.5</v>
      </c>
      <c r="C103" s="679">
        <v>137100</v>
      </c>
      <c r="D103" s="680">
        <f t="shared" si="2"/>
        <v>-3.9710317486277846E-3</v>
      </c>
      <c r="E103" s="691">
        <f t="shared" si="3"/>
        <v>-2.9090909090908612E-3</v>
      </c>
    </row>
    <row r="104" spans="1:5" ht="15.75" customHeight="1">
      <c r="A104" s="696">
        <v>44652</v>
      </c>
      <c r="B104" s="678">
        <v>1525.58</v>
      </c>
      <c r="C104" s="679">
        <v>137800</v>
      </c>
      <c r="D104" s="680">
        <f t="shared" si="2"/>
        <v>2.0229885057470032E-3</v>
      </c>
      <c r="E104" s="691">
        <f t="shared" si="3"/>
        <v>5.1057622173595885E-3</v>
      </c>
    </row>
    <row r="105" spans="1:5" ht="15.75" customHeight="1">
      <c r="A105" s="697" t="s">
        <v>227</v>
      </c>
      <c r="B105" s="678">
        <v>1498.28</v>
      </c>
      <c r="C105" s="679">
        <v>135900</v>
      </c>
      <c r="D105" s="680">
        <f t="shared" si="2"/>
        <v>-1.789483344039644E-2</v>
      </c>
      <c r="E105" s="691">
        <f t="shared" si="3"/>
        <v>-1.3788098693759077E-2</v>
      </c>
    </row>
    <row r="106" spans="1:5" ht="15.75" customHeight="1">
      <c r="A106" s="697" t="s">
        <v>228</v>
      </c>
      <c r="B106" s="678">
        <v>1485.97</v>
      </c>
      <c r="C106" s="679">
        <v>134300</v>
      </c>
      <c r="D106" s="680">
        <f t="shared" si="2"/>
        <v>-8.2160877806550792E-3</v>
      </c>
      <c r="E106" s="691">
        <f t="shared" si="3"/>
        <v>-1.1773362766740236E-2</v>
      </c>
    </row>
    <row r="107" spans="1:5" ht="15.75" customHeight="1">
      <c r="A107" s="697" t="s">
        <v>229</v>
      </c>
      <c r="B107" s="678">
        <v>1485.82</v>
      </c>
      <c r="C107" s="679">
        <v>134400</v>
      </c>
      <c r="D107" s="680">
        <f t="shared" si="2"/>
        <v>-1.0094416441797094E-4</v>
      </c>
      <c r="E107" s="691">
        <f t="shared" si="3"/>
        <v>7.446016381236209E-4</v>
      </c>
    </row>
    <row r="108" spans="1:5" ht="15.75" customHeight="1">
      <c r="A108" s="697" t="s">
        <v>230</v>
      </c>
      <c r="B108" s="678">
        <v>1494.39</v>
      </c>
      <c r="C108" s="679">
        <v>135800</v>
      </c>
      <c r="D108" s="680">
        <f t="shared" si="2"/>
        <v>5.7678588254297392E-3</v>
      </c>
      <c r="E108" s="691">
        <f t="shared" si="3"/>
        <v>1.0416666666666741E-2</v>
      </c>
    </row>
    <row r="109" spans="1:5" ht="15.75" customHeight="1">
      <c r="A109" s="697" t="s">
        <v>231</v>
      </c>
      <c r="B109" s="678">
        <v>1488.88</v>
      </c>
      <c r="C109" s="679">
        <v>134900</v>
      </c>
      <c r="D109" s="680">
        <f t="shared" si="2"/>
        <v>-3.6871231740041033E-3</v>
      </c>
      <c r="E109" s="691">
        <f t="shared" si="3"/>
        <v>-6.6273932253313461E-3</v>
      </c>
    </row>
    <row r="110" spans="1:5" ht="15.75" customHeight="1">
      <c r="A110" s="697" t="s">
        <v>232</v>
      </c>
      <c r="B110" s="678">
        <v>1477.03</v>
      </c>
      <c r="C110" s="679">
        <v>134600</v>
      </c>
      <c r="D110" s="680">
        <f t="shared" si="2"/>
        <v>-7.9590027403149133E-3</v>
      </c>
      <c r="E110" s="691">
        <f t="shared" si="3"/>
        <v>-2.2238695329873659E-3</v>
      </c>
    </row>
    <row r="111" spans="1:5" ht="15.75" customHeight="1">
      <c r="A111" s="697" t="s">
        <v>233</v>
      </c>
      <c r="B111" s="678">
        <v>1456.96</v>
      </c>
      <c r="C111" s="679">
        <v>133600</v>
      </c>
      <c r="D111" s="680">
        <f t="shared" si="2"/>
        <v>-1.3588078779713353E-2</v>
      </c>
      <c r="E111" s="691">
        <f t="shared" si="3"/>
        <v>-7.429420505200568E-3</v>
      </c>
    </row>
    <row r="112" spans="1:5" ht="15.75" customHeight="1">
      <c r="A112" s="697" t="s">
        <v>234</v>
      </c>
      <c r="B112" s="678">
        <v>1477.67</v>
      </c>
      <c r="C112" s="679">
        <v>134800</v>
      </c>
      <c r="D112" s="680">
        <f t="shared" si="2"/>
        <v>1.4214528882055877E-2</v>
      </c>
      <c r="E112" s="691">
        <f t="shared" si="3"/>
        <v>8.9820359281436168E-3</v>
      </c>
    </row>
    <row r="113" spans="1:5" ht="15.75" customHeight="1">
      <c r="A113" s="697" t="s">
        <v>235</v>
      </c>
      <c r="B113" s="678">
        <v>1478.74</v>
      </c>
      <c r="C113" s="679">
        <v>133000</v>
      </c>
      <c r="D113" s="680">
        <f t="shared" si="2"/>
        <v>7.2411296162200323E-4</v>
      </c>
      <c r="E113" s="691">
        <f t="shared" si="3"/>
        <v>-1.3353115727002929E-2</v>
      </c>
    </row>
    <row r="114" spans="1:5" ht="15.75" customHeight="1">
      <c r="A114" s="697" t="s">
        <v>236</v>
      </c>
      <c r="B114" s="678">
        <v>1477.33</v>
      </c>
      <c r="C114" s="679">
        <v>133000</v>
      </c>
      <c r="D114" s="680">
        <f t="shared" si="2"/>
        <v>-9.535144785426386E-4</v>
      </c>
      <c r="E114" s="691">
        <f t="shared" si="3"/>
        <v>0</v>
      </c>
    </row>
    <row r="115" spans="1:5" ht="15.75" customHeight="1">
      <c r="A115" s="697" t="s">
        <v>237</v>
      </c>
      <c r="B115" s="678">
        <v>1479.79</v>
      </c>
      <c r="C115" s="679">
        <v>134500</v>
      </c>
      <c r="D115" s="680">
        <f t="shared" si="2"/>
        <v>1.6651662120177324E-3</v>
      </c>
      <c r="E115" s="691">
        <f t="shared" si="3"/>
        <v>1.1278195488721776E-2</v>
      </c>
    </row>
    <row r="116" spans="1:5" ht="15.75" customHeight="1">
      <c r="A116" s="697" t="s">
        <v>238</v>
      </c>
      <c r="B116" s="678">
        <v>1476.61</v>
      </c>
      <c r="C116" s="679">
        <v>133600</v>
      </c>
      <c r="D116" s="680">
        <f t="shared" si="2"/>
        <v>-2.1489535677360339E-3</v>
      </c>
      <c r="E116" s="691">
        <f t="shared" si="3"/>
        <v>-6.6914498141263934E-3</v>
      </c>
    </row>
    <row r="117" spans="1:5" ht="15.75" customHeight="1">
      <c r="A117" s="697" t="s">
        <v>239</v>
      </c>
      <c r="B117" s="678">
        <v>1475.5</v>
      </c>
      <c r="C117" s="679">
        <v>135900</v>
      </c>
      <c r="D117" s="680">
        <f t="shared" si="2"/>
        <v>-7.5172184937111197E-4</v>
      </c>
      <c r="E117" s="691">
        <f t="shared" si="3"/>
        <v>1.7215568862275488E-2</v>
      </c>
    </row>
    <row r="118" spans="1:5" ht="15.75" customHeight="1">
      <c r="A118" s="697" t="s">
        <v>240</v>
      </c>
      <c r="B118" s="678">
        <v>1476.02</v>
      </c>
      <c r="C118" s="679">
        <v>135400</v>
      </c>
      <c r="D118" s="680">
        <f t="shared" si="2"/>
        <v>3.5242290748893623E-4</v>
      </c>
      <c r="E118" s="691">
        <f t="shared" si="3"/>
        <v>-3.67917586460631E-3</v>
      </c>
    </row>
    <row r="119" spans="1:5" ht="15.75" customHeight="1">
      <c r="A119" s="697" t="s">
        <v>241</v>
      </c>
      <c r="B119" s="678">
        <v>1476.21</v>
      </c>
      <c r="C119" s="679">
        <v>134900</v>
      </c>
      <c r="D119" s="680">
        <f t="shared" si="2"/>
        <v>1.2872454302792491E-4</v>
      </c>
      <c r="E119" s="691">
        <f t="shared" si="3"/>
        <v>-3.6927621861152504E-3</v>
      </c>
    </row>
    <row r="120" spans="1:5" ht="15.75" customHeight="1">
      <c r="A120" s="696">
        <v>44481</v>
      </c>
      <c r="B120" s="678">
        <v>1463.54</v>
      </c>
      <c r="C120" s="679">
        <v>134100</v>
      </c>
      <c r="D120" s="680">
        <f t="shared" si="2"/>
        <v>-8.5827897114909568E-3</v>
      </c>
      <c r="E120" s="691">
        <f t="shared" si="3"/>
        <v>-5.9303187546330127E-3</v>
      </c>
    </row>
    <row r="121" spans="1:5" ht="15.75" customHeight="1">
      <c r="A121" s="696">
        <v>44451</v>
      </c>
      <c r="B121" s="678">
        <v>1467.98</v>
      </c>
      <c r="C121" s="679">
        <v>134000</v>
      </c>
      <c r="D121" s="680">
        <f t="shared" si="2"/>
        <v>3.0337401095972272E-3</v>
      </c>
      <c r="E121" s="691">
        <f t="shared" si="3"/>
        <v>-7.4571215510810251E-4</v>
      </c>
    </row>
    <row r="122" spans="1:5" ht="15.75" customHeight="1">
      <c r="A122" s="696">
        <v>44420</v>
      </c>
      <c r="B122" s="678">
        <v>1452.87</v>
      </c>
      <c r="C122" s="679">
        <v>133900</v>
      </c>
      <c r="D122" s="680">
        <f t="shared" si="2"/>
        <v>-1.0293055763702541E-2</v>
      </c>
      <c r="E122" s="691">
        <f t="shared" si="3"/>
        <v>-7.4626865671645337E-4</v>
      </c>
    </row>
    <row r="123" spans="1:5" ht="15.75" customHeight="1">
      <c r="A123" s="696">
        <v>44389</v>
      </c>
      <c r="B123" s="678">
        <v>1446.77</v>
      </c>
      <c r="C123" s="679">
        <v>133500</v>
      </c>
      <c r="D123" s="680">
        <f t="shared" si="2"/>
        <v>-4.1985862465326873E-3</v>
      </c>
      <c r="E123" s="691">
        <f t="shared" si="3"/>
        <v>-2.9873039581777006E-3</v>
      </c>
    </row>
    <row r="124" spans="1:5" ht="15.75" customHeight="1">
      <c r="A124" s="696">
        <v>44359</v>
      </c>
      <c r="B124" s="678">
        <v>1413.58</v>
      </c>
      <c r="C124" s="679">
        <v>131400</v>
      </c>
      <c r="D124" s="680">
        <f t="shared" si="2"/>
        <v>-2.2940757687815005E-2</v>
      </c>
      <c r="E124" s="691">
        <f t="shared" si="3"/>
        <v>-1.5730337078651679E-2</v>
      </c>
    </row>
    <row r="125" spans="1:5" ht="15.75" customHeight="1">
      <c r="A125" s="696">
        <v>44267</v>
      </c>
      <c r="B125" s="678">
        <v>1443.32</v>
      </c>
      <c r="C125" s="679">
        <v>133500</v>
      </c>
      <c r="D125" s="680">
        <f t="shared" si="2"/>
        <v>2.1038780967472581E-2</v>
      </c>
      <c r="E125" s="691">
        <f t="shared" si="3"/>
        <v>1.5981735159817267E-2</v>
      </c>
    </row>
    <row r="126" spans="1:5" ht="15.75" customHeight="1">
      <c r="A126" s="696">
        <v>44239</v>
      </c>
      <c r="B126" s="678">
        <v>1482.05</v>
      </c>
      <c r="C126" s="679">
        <v>137000</v>
      </c>
      <c r="D126" s="680">
        <f t="shared" si="2"/>
        <v>2.6833966133636311E-2</v>
      </c>
      <c r="E126" s="691">
        <f t="shared" si="3"/>
        <v>2.621722846441954E-2</v>
      </c>
    </row>
    <row r="127" spans="1:5" ht="15.75" customHeight="1">
      <c r="A127" s="696">
        <v>44208</v>
      </c>
      <c r="B127" s="678">
        <v>1485.19</v>
      </c>
      <c r="C127" s="679">
        <v>138900</v>
      </c>
      <c r="D127" s="680">
        <f t="shared" si="2"/>
        <v>2.1186869538816211E-3</v>
      </c>
      <c r="E127" s="691">
        <f t="shared" si="3"/>
        <v>1.3868613138686037E-2</v>
      </c>
    </row>
    <row r="128" spans="1:5" ht="15.75" customHeight="1">
      <c r="A128" s="697" t="s">
        <v>242</v>
      </c>
      <c r="B128" s="678">
        <v>1478.44</v>
      </c>
      <c r="C128" s="679">
        <v>138900</v>
      </c>
      <c r="D128" s="680">
        <f t="shared" si="2"/>
        <v>-4.5448730465462717E-3</v>
      </c>
      <c r="E128" s="691">
        <f t="shared" si="3"/>
        <v>0</v>
      </c>
    </row>
    <row r="129" spans="1:5" ht="15.75" customHeight="1">
      <c r="A129" s="697" t="s">
        <v>243</v>
      </c>
      <c r="B129" s="678">
        <v>1484.84</v>
      </c>
      <c r="C129" s="679">
        <v>137500</v>
      </c>
      <c r="D129" s="680">
        <f t="shared" si="2"/>
        <v>4.3288872054325633E-3</v>
      </c>
      <c r="E129" s="691">
        <f t="shared" si="3"/>
        <v>-1.0079193664506825E-2</v>
      </c>
    </row>
    <row r="130" spans="1:5" ht="15.75" customHeight="1">
      <c r="A130" s="697" t="s">
        <v>244</v>
      </c>
      <c r="B130" s="678">
        <v>1493.03</v>
      </c>
      <c r="C130" s="679">
        <v>141500</v>
      </c>
      <c r="D130" s="680">
        <f t="shared" si="2"/>
        <v>5.5157458042618401E-3</v>
      </c>
      <c r="E130" s="691">
        <f t="shared" si="3"/>
        <v>2.9090909090909056E-2</v>
      </c>
    </row>
    <row r="131" spans="1:5" ht="15.75" customHeight="1">
      <c r="A131" s="697" t="s">
        <v>245</v>
      </c>
      <c r="B131" s="678">
        <v>1500.81</v>
      </c>
      <c r="C131" s="679">
        <v>145000</v>
      </c>
      <c r="D131" s="680">
        <f t="shared" si="2"/>
        <v>5.2108798885488472E-3</v>
      </c>
      <c r="E131" s="691">
        <f t="shared" si="3"/>
        <v>2.4734982332155431E-2</v>
      </c>
    </row>
    <row r="132" spans="1:5" ht="15.75" customHeight="1">
      <c r="A132" s="697" t="s">
        <v>246</v>
      </c>
      <c r="B132" s="678">
        <v>1488.87</v>
      </c>
      <c r="C132" s="679">
        <v>144000</v>
      </c>
      <c r="D132" s="680">
        <f t="shared" si="2"/>
        <v>-7.9557039198833168E-3</v>
      </c>
      <c r="E132" s="691">
        <f t="shared" si="3"/>
        <v>-6.8965517241379448E-3</v>
      </c>
    </row>
    <row r="133" spans="1:5" ht="15.75" customHeight="1">
      <c r="A133" s="697" t="s">
        <v>247</v>
      </c>
      <c r="B133" s="678">
        <v>1463.63</v>
      </c>
      <c r="C133" s="679">
        <v>143000</v>
      </c>
      <c r="D133" s="680">
        <f t="shared" ref="D133:D196" si="4">(B133/B132)-1</f>
        <v>-1.6952453874414686E-2</v>
      </c>
      <c r="E133" s="691">
        <f t="shared" ref="E133:E196" si="5">(C133/C132)-1</f>
        <v>-6.9444444444444198E-3</v>
      </c>
    </row>
    <row r="134" spans="1:5" ht="15.75" customHeight="1">
      <c r="A134" s="697" t="s">
        <v>248</v>
      </c>
      <c r="B134" s="678">
        <v>1447.25</v>
      </c>
      <c r="C134" s="679">
        <v>138600</v>
      </c>
      <c r="D134" s="680">
        <f t="shared" si="4"/>
        <v>-1.1191353005882698E-2</v>
      </c>
      <c r="E134" s="691">
        <f t="shared" si="5"/>
        <v>-3.0769230769230771E-2</v>
      </c>
    </row>
    <row r="135" spans="1:5" ht="15.75" customHeight="1">
      <c r="A135" s="697" t="s">
        <v>249</v>
      </c>
      <c r="B135" s="678">
        <v>1452.35</v>
      </c>
      <c r="C135" s="679">
        <v>139000</v>
      </c>
      <c r="D135" s="680">
        <f t="shared" si="4"/>
        <v>3.5239246847469374E-3</v>
      </c>
      <c r="E135" s="691">
        <f t="shared" si="5"/>
        <v>2.8860028860029363E-3</v>
      </c>
    </row>
    <row r="136" spans="1:5" ht="15.75" customHeight="1">
      <c r="A136" s="697" t="s">
        <v>250</v>
      </c>
      <c r="B136" s="678">
        <v>1469.83</v>
      </c>
      <c r="C136" s="679">
        <v>139000</v>
      </c>
      <c r="D136" s="680">
        <f t="shared" si="4"/>
        <v>1.2035666333872763E-2</v>
      </c>
      <c r="E136" s="691">
        <f t="shared" si="5"/>
        <v>0</v>
      </c>
    </row>
    <row r="137" spans="1:5" ht="15.75" customHeight="1">
      <c r="A137" s="697" t="s">
        <v>251</v>
      </c>
      <c r="B137" s="678">
        <v>1475.85</v>
      </c>
      <c r="C137" s="679">
        <v>137900</v>
      </c>
      <c r="D137" s="680">
        <f t="shared" si="4"/>
        <v>4.0957117489777151E-3</v>
      </c>
      <c r="E137" s="691">
        <f t="shared" si="5"/>
        <v>-7.9136690647482189E-3</v>
      </c>
    </row>
    <row r="138" spans="1:5" ht="15.75" customHeight="1">
      <c r="A138" s="697" t="s">
        <v>252</v>
      </c>
      <c r="B138" s="678">
        <v>1466.45</v>
      </c>
      <c r="C138" s="679">
        <v>137900</v>
      </c>
      <c r="D138" s="680">
        <f t="shared" si="4"/>
        <v>-6.369210963173666E-3</v>
      </c>
      <c r="E138" s="691">
        <f t="shared" si="5"/>
        <v>0</v>
      </c>
    </row>
    <row r="139" spans="1:5" ht="15.75" customHeight="1">
      <c r="A139" s="697" t="s">
        <v>253</v>
      </c>
      <c r="B139" s="678">
        <v>1476.57</v>
      </c>
      <c r="C139" s="679">
        <v>139400</v>
      </c>
      <c r="D139" s="680">
        <f t="shared" si="4"/>
        <v>6.9010194687850746E-3</v>
      </c>
      <c r="E139" s="691">
        <f t="shared" si="5"/>
        <v>1.0877447425670761E-2</v>
      </c>
    </row>
    <row r="140" spans="1:5" ht="15.75" customHeight="1">
      <c r="A140" s="696">
        <v>44541</v>
      </c>
      <c r="B140" s="678">
        <v>1473.37</v>
      </c>
      <c r="C140" s="679">
        <v>136000</v>
      </c>
      <c r="D140" s="680">
        <f t="shared" si="4"/>
        <v>-2.1671847592732441E-3</v>
      </c>
      <c r="E140" s="691">
        <f t="shared" si="5"/>
        <v>-2.4390243902439046E-2</v>
      </c>
    </row>
    <row r="141" spans="1:5" ht="15.75" customHeight="1">
      <c r="A141" s="696">
        <v>44511</v>
      </c>
      <c r="B141" s="678">
        <v>1462.35</v>
      </c>
      <c r="C141" s="679">
        <v>135000</v>
      </c>
      <c r="D141" s="680">
        <f t="shared" si="4"/>
        <v>-7.4794518688449108E-3</v>
      </c>
      <c r="E141" s="691">
        <f t="shared" si="5"/>
        <v>-7.3529411764705621E-3</v>
      </c>
    </row>
    <row r="142" spans="1:5" ht="15.75" customHeight="1">
      <c r="A142" s="696">
        <v>44480</v>
      </c>
      <c r="B142" s="678">
        <v>1465.02</v>
      </c>
      <c r="C142" s="679">
        <v>131500</v>
      </c>
      <c r="D142" s="680">
        <f t="shared" si="4"/>
        <v>1.8258282900811551E-3</v>
      </c>
      <c r="E142" s="691">
        <f t="shared" si="5"/>
        <v>-2.5925925925925908E-2</v>
      </c>
    </row>
    <row r="143" spans="1:5" ht="15.75" customHeight="1">
      <c r="A143" s="696">
        <v>44450</v>
      </c>
      <c r="B143" s="678">
        <v>1461.5</v>
      </c>
      <c r="C143" s="679">
        <v>130000</v>
      </c>
      <c r="D143" s="680">
        <f t="shared" si="4"/>
        <v>-2.4026975740945034E-3</v>
      </c>
      <c r="E143" s="691">
        <f t="shared" si="5"/>
        <v>-1.1406844106463865E-2</v>
      </c>
    </row>
    <row r="144" spans="1:5" ht="15.75" customHeight="1">
      <c r="A144" s="696">
        <v>44419</v>
      </c>
      <c r="B144" s="678">
        <v>1467.57</v>
      </c>
      <c r="C144" s="679">
        <v>131600</v>
      </c>
      <c r="D144" s="680">
        <f t="shared" si="4"/>
        <v>4.1532671912418717E-3</v>
      </c>
      <c r="E144" s="691">
        <f t="shared" si="5"/>
        <v>1.2307692307692353E-2</v>
      </c>
    </row>
    <row r="145" spans="1:5" ht="15.75" customHeight="1">
      <c r="A145" s="696">
        <v>44327</v>
      </c>
      <c r="B145" s="678">
        <v>1456.51</v>
      </c>
      <c r="C145" s="679">
        <v>132000</v>
      </c>
      <c r="D145" s="680">
        <f t="shared" si="4"/>
        <v>-7.5362674352841275E-3</v>
      </c>
      <c r="E145" s="691">
        <f t="shared" si="5"/>
        <v>3.0395136778116338E-3</v>
      </c>
    </row>
    <row r="146" spans="1:5" ht="15.75" customHeight="1">
      <c r="A146" s="696">
        <v>44297</v>
      </c>
      <c r="B146" s="678">
        <v>1448.34</v>
      </c>
      <c r="C146" s="679">
        <v>129900</v>
      </c>
      <c r="D146" s="680">
        <f t="shared" si="4"/>
        <v>-5.6092989406183458E-3</v>
      </c>
      <c r="E146" s="691">
        <f t="shared" si="5"/>
        <v>-1.5909090909090873E-2</v>
      </c>
    </row>
    <row r="147" spans="1:5" ht="15.75" customHeight="1">
      <c r="A147" s="696">
        <v>44266</v>
      </c>
      <c r="B147" s="678">
        <v>1444.3</v>
      </c>
      <c r="C147" s="679">
        <v>128800</v>
      </c>
      <c r="D147" s="680">
        <f t="shared" si="4"/>
        <v>-2.7894002789400352E-3</v>
      </c>
      <c r="E147" s="691">
        <f t="shared" si="5"/>
        <v>-8.4680523479599978E-3</v>
      </c>
    </row>
    <row r="148" spans="1:5" ht="15.75" customHeight="1">
      <c r="A148" s="696">
        <v>44238</v>
      </c>
      <c r="B148" s="678">
        <v>1452.46</v>
      </c>
      <c r="C148" s="679">
        <v>128900</v>
      </c>
      <c r="D148" s="680">
        <f t="shared" si="4"/>
        <v>5.6497957488057526E-3</v>
      </c>
      <c r="E148" s="691">
        <f t="shared" si="5"/>
        <v>7.763975155279379E-4</v>
      </c>
    </row>
    <row r="149" spans="1:5" ht="15.75" customHeight="1">
      <c r="A149" s="696">
        <v>44207</v>
      </c>
      <c r="B149" s="678">
        <v>1438.97</v>
      </c>
      <c r="C149" s="679">
        <v>130000</v>
      </c>
      <c r="D149" s="680">
        <f t="shared" si="4"/>
        <v>-9.2876912272971124E-3</v>
      </c>
      <c r="E149" s="691">
        <f t="shared" si="5"/>
        <v>8.5337470907680402E-3</v>
      </c>
    </row>
    <row r="150" spans="1:5" ht="15.75" customHeight="1">
      <c r="A150" s="697" t="s">
        <v>254</v>
      </c>
      <c r="B150" s="678">
        <v>1444.27</v>
      </c>
      <c r="C150" s="679">
        <v>131400</v>
      </c>
      <c r="D150" s="680">
        <f t="shared" si="4"/>
        <v>3.6831900595564182E-3</v>
      </c>
      <c r="E150" s="691">
        <f t="shared" si="5"/>
        <v>1.0769230769230864E-2</v>
      </c>
    </row>
    <row r="151" spans="1:5" ht="15.75" customHeight="1">
      <c r="A151" s="697" t="s">
        <v>255</v>
      </c>
      <c r="B151" s="678">
        <v>1438.01</v>
      </c>
      <c r="C151" s="679">
        <v>132000</v>
      </c>
      <c r="D151" s="680">
        <f t="shared" si="4"/>
        <v>-4.3343696123301356E-3</v>
      </c>
      <c r="E151" s="691">
        <f t="shared" si="5"/>
        <v>4.5662100456620447E-3</v>
      </c>
    </row>
    <row r="152" spans="1:5" ht="15.75" customHeight="1">
      <c r="A152" s="697" t="s">
        <v>256</v>
      </c>
      <c r="B152" s="678">
        <v>1423.02</v>
      </c>
      <c r="C152" s="679">
        <v>132000</v>
      </c>
      <c r="D152" s="680">
        <f t="shared" si="4"/>
        <v>-1.0424127787706627E-2</v>
      </c>
      <c r="E152" s="691">
        <f t="shared" si="5"/>
        <v>0</v>
      </c>
    </row>
    <row r="153" spans="1:5" ht="15.75" customHeight="1">
      <c r="A153" s="697" t="s">
        <v>257</v>
      </c>
      <c r="B153" s="678">
        <v>1391.63</v>
      </c>
      <c r="C153" s="679">
        <v>128000</v>
      </c>
      <c r="D153" s="680">
        <f t="shared" si="4"/>
        <v>-2.2058720186645231E-2</v>
      </c>
      <c r="E153" s="691">
        <f t="shared" si="5"/>
        <v>-3.0303030303030276E-2</v>
      </c>
    </row>
    <row r="154" spans="1:5" ht="15.75" customHeight="1">
      <c r="A154" s="697" t="s">
        <v>258</v>
      </c>
      <c r="B154" s="678">
        <v>1385.4</v>
      </c>
      <c r="C154" s="679">
        <v>128400</v>
      </c>
      <c r="D154" s="680">
        <f t="shared" si="4"/>
        <v>-4.4767646572724251E-3</v>
      </c>
      <c r="E154" s="691">
        <f t="shared" si="5"/>
        <v>3.1250000000000444E-3</v>
      </c>
    </row>
    <row r="155" spans="1:5" ht="15.75" customHeight="1">
      <c r="A155" s="697" t="s">
        <v>259</v>
      </c>
      <c r="B155" s="678">
        <v>1389.24</v>
      </c>
      <c r="C155" s="679">
        <v>127600</v>
      </c>
      <c r="D155" s="680">
        <f t="shared" si="4"/>
        <v>2.7717626678214202E-3</v>
      </c>
      <c r="E155" s="691">
        <f t="shared" si="5"/>
        <v>-6.230529595015577E-3</v>
      </c>
    </row>
    <row r="156" spans="1:5" ht="15.75" customHeight="1">
      <c r="A156" s="697" t="s">
        <v>260</v>
      </c>
      <c r="B156" s="678">
        <v>1384.77</v>
      </c>
      <c r="C156" s="679">
        <v>127000</v>
      </c>
      <c r="D156" s="680">
        <f t="shared" si="4"/>
        <v>-3.2175865941089787E-3</v>
      </c>
      <c r="E156" s="691">
        <f t="shared" si="5"/>
        <v>-4.7021943573667402E-3</v>
      </c>
    </row>
    <row r="157" spans="1:5" ht="15.75" customHeight="1">
      <c r="A157" s="697" t="s">
        <v>261</v>
      </c>
      <c r="B157" s="678">
        <v>1393.8</v>
      </c>
      <c r="C157" s="679">
        <v>129200</v>
      </c>
      <c r="D157" s="680">
        <f t="shared" si="4"/>
        <v>6.5209384952014116E-3</v>
      </c>
      <c r="E157" s="691">
        <f t="shared" si="5"/>
        <v>1.7322834645669305E-2</v>
      </c>
    </row>
    <row r="158" spans="1:5" ht="15.75" customHeight="1">
      <c r="A158" s="697" t="s">
        <v>262</v>
      </c>
      <c r="B158" s="678">
        <v>1395.33</v>
      </c>
      <c r="C158" s="679">
        <v>129700</v>
      </c>
      <c r="D158" s="680">
        <f t="shared" si="4"/>
        <v>1.0977184674989537E-3</v>
      </c>
      <c r="E158" s="691">
        <f t="shared" si="5"/>
        <v>3.8699690402477227E-3</v>
      </c>
    </row>
    <row r="159" spans="1:5" ht="15.75" customHeight="1">
      <c r="A159" s="697" t="s">
        <v>263</v>
      </c>
      <c r="B159" s="678">
        <v>1395.53</v>
      </c>
      <c r="C159" s="679">
        <v>130700</v>
      </c>
      <c r="D159" s="680">
        <f t="shared" si="4"/>
        <v>1.4333526835952348E-4</v>
      </c>
      <c r="E159" s="691">
        <f t="shared" si="5"/>
        <v>7.7101002313029188E-3</v>
      </c>
    </row>
    <row r="160" spans="1:5" ht="15.75" customHeight="1">
      <c r="A160" s="697" t="s">
        <v>264</v>
      </c>
      <c r="B160" s="678">
        <v>1392.7</v>
      </c>
      <c r="C160" s="679">
        <v>132400</v>
      </c>
      <c r="D160" s="680">
        <f t="shared" si="4"/>
        <v>-2.0279033772114818E-3</v>
      </c>
      <c r="E160" s="691">
        <f t="shared" si="5"/>
        <v>1.3006885998469775E-2</v>
      </c>
    </row>
    <row r="161" spans="1:5" ht="15.75" customHeight="1">
      <c r="A161" s="697" t="s">
        <v>265</v>
      </c>
      <c r="B161" s="678">
        <v>1391.85</v>
      </c>
      <c r="C161" s="679">
        <v>133500</v>
      </c>
      <c r="D161" s="680">
        <f t="shared" si="4"/>
        <v>-6.1032526746618299E-4</v>
      </c>
      <c r="E161" s="691">
        <f t="shared" si="5"/>
        <v>8.3081570996978993E-3</v>
      </c>
    </row>
    <row r="162" spans="1:5" ht="15.75" customHeight="1">
      <c r="A162" s="697" t="s">
        <v>266</v>
      </c>
      <c r="B162" s="678">
        <v>1391.91</v>
      </c>
      <c r="C162" s="679">
        <v>133900</v>
      </c>
      <c r="D162" s="680">
        <f t="shared" si="4"/>
        <v>4.3108093544796944E-5</v>
      </c>
      <c r="E162" s="691">
        <f t="shared" si="5"/>
        <v>2.9962546816479918E-3</v>
      </c>
    </row>
    <row r="163" spans="1:5" ht="15.75" customHeight="1">
      <c r="A163" s="696">
        <v>44540</v>
      </c>
      <c r="B163" s="678">
        <v>1394.8</v>
      </c>
      <c r="C163" s="679">
        <v>132100</v>
      </c>
      <c r="D163" s="680">
        <f t="shared" si="4"/>
        <v>2.0762836677656882E-3</v>
      </c>
      <c r="E163" s="691">
        <f t="shared" si="5"/>
        <v>-1.3442867811799819E-2</v>
      </c>
    </row>
    <row r="164" spans="1:5" ht="15.75" customHeight="1">
      <c r="A164" s="696">
        <v>44510</v>
      </c>
      <c r="B164" s="678">
        <v>1394.09</v>
      </c>
      <c r="C164" s="679">
        <v>129500</v>
      </c>
      <c r="D164" s="680">
        <f t="shared" si="4"/>
        <v>-5.0903355319764643E-4</v>
      </c>
      <c r="E164" s="691">
        <f t="shared" si="5"/>
        <v>-1.9682059046177147E-2</v>
      </c>
    </row>
    <row r="165" spans="1:5" ht="15.75" customHeight="1">
      <c r="A165" s="696">
        <v>44418</v>
      </c>
      <c r="B165" s="678">
        <v>1372.73</v>
      </c>
      <c r="C165" s="679">
        <v>128800</v>
      </c>
      <c r="D165" s="680">
        <f t="shared" si="4"/>
        <v>-1.5321822837836785E-2</v>
      </c>
      <c r="E165" s="691">
        <f t="shared" si="5"/>
        <v>-5.4054054054053502E-3</v>
      </c>
    </row>
    <row r="166" spans="1:5" ht="15.75" customHeight="1">
      <c r="A166" s="696">
        <v>44387</v>
      </c>
      <c r="B166" s="678">
        <v>1365.99</v>
      </c>
      <c r="C166" s="679">
        <v>128000</v>
      </c>
      <c r="D166" s="680">
        <f t="shared" si="4"/>
        <v>-4.9099240200185523E-3</v>
      </c>
      <c r="E166" s="691">
        <f t="shared" si="5"/>
        <v>-6.2111801242236142E-3</v>
      </c>
    </row>
    <row r="167" spans="1:5" ht="15.75" customHeight="1">
      <c r="A167" s="696">
        <v>44357</v>
      </c>
      <c r="B167" s="678">
        <v>1362.82</v>
      </c>
      <c r="C167" s="679">
        <v>128300</v>
      </c>
      <c r="D167" s="680">
        <f t="shared" si="4"/>
        <v>-2.3206612054261777E-3</v>
      </c>
      <c r="E167" s="691">
        <f t="shared" si="5"/>
        <v>2.3437500000000888E-3</v>
      </c>
    </row>
    <row r="168" spans="1:5" ht="15.75" customHeight="1">
      <c r="A168" s="696">
        <v>44326</v>
      </c>
      <c r="B168" s="678">
        <v>1354.63</v>
      </c>
      <c r="C168" s="679">
        <v>126800</v>
      </c>
      <c r="D168" s="680">
        <f t="shared" si="4"/>
        <v>-6.0095977458504146E-3</v>
      </c>
      <c r="E168" s="691">
        <f t="shared" si="5"/>
        <v>-1.1691348402182333E-2</v>
      </c>
    </row>
    <row r="169" spans="1:5" ht="15.75" customHeight="1">
      <c r="A169" s="696">
        <v>44296</v>
      </c>
      <c r="B169" s="678">
        <v>1339.54</v>
      </c>
      <c r="C169" s="679">
        <v>126200</v>
      </c>
      <c r="D169" s="680">
        <f t="shared" si="4"/>
        <v>-1.1139573167580963E-2</v>
      </c>
      <c r="E169" s="691">
        <f t="shared" si="5"/>
        <v>-4.7318611987381409E-3</v>
      </c>
    </row>
    <row r="170" spans="1:5" ht="15.75" customHeight="1">
      <c r="A170" s="696">
        <v>44206</v>
      </c>
      <c r="B170" s="678">
        <v>1334.89</v>
      </c>
      <c r="C170" s="679">
        <v>126200</v>
      </c>
      <c r="D170" s="680">
        <f t="shared" si="4"/>
        <v>-3.4713409080727731E-3</v>
      </c>
      <c r="E170" s="691">
        <f t="shared" si="5"/>
        <v>0</v>
      </c>
    </row>
    <row r="171" spans="1:5" ht="15.75" customHeight="1">
      <c r="A171" s="697" t="s">
        <v>267</v>
      </c>
      <c r="B171" s="678">
        <v>1342.06</v>
      </c>
      <c r="C171" s="679">
        <v>127800</v>
      </c>
      <c r="D171" s="680">
        <f t="shared" si="4"/>
        <v>5.3712290900371773E-3</v>
      </c>
      <c r="E171" s="691">
        <f t="shared" si="5"/>
        <v>1.267828843106189E-2</v>
      </c>
    </row>
    <row r="172" spans="1:5" ht="15.75" customHeight="1">
      <c r="A172" s="697" t="s">
        <v>268</v>
      </c>
      <c r="B172" s="678">
        <v>1339.21</v>
      </c>
      <c r="C172" s="679">
        <v>127800</v>
      </c>
      <c r="D172" s="680">
        <f t="shared" si="4"/>
        <v>-2.1236010312504217E-3</v>
      </c>
      <c r="E172" s="691">
        <f t="shared" si="5"/>
        <v>0</v>
      </c>
    </row>
    <row r="173" spans="1:5" ht="15.75" customHeight="1">
      <c r="A173" s="697" t="s">
        <v>269</v>
      </c>
      <c r="B173" s="678">
        <v>1339.31</v>
      </c>
      <c r="C173" s="679">
        <v>126700</v>
      </c>
      <c r="D173" s="680">
        <f t="shared" si="4"/>
        <v>7.4670888060790475E-5</v>
      </c>
      <c r="E173" s="691">
        <f t="shared" si="5"/>
        <v>-8.6071987480438317E-3</v>
      </c>
    </row>
    <row r="174" spans="1:5" ht="15.75" customHeight="1">
      <c r="A174" s="697" t="s">
        <v>270</v>
      </c>
      <c r="B174" s="678">
        <v>1324.99</v>
      </c>
      <c r="C174" s="679">
        <v>126000</v>
      </c>
      <c r="D174" s="680">
        <f t="shared" si="4"/>
        <v>-1.0692072783746842E-2</v>
      </c>
      <c r="E174" s="691">
        <f t="shared" si="5"/>
        <v>-5.5248618784530246E-3</v>
      </c>
    </row>
    <row r="175" spans="1:5" ht="15.75" customHeight="1">
      <c r="A175" s="697" t="s">
        <v>271</v>
      </c>
      <c r="B175" s="678">
        <v>1351.17</v>
      </c>
      <c r="C175" s="679">
        <v>130500</v>
      </c>
      <c r="D175" s="680">
        <f t="shared" si="4"/>
        <v>1.9758639687846857E-2</v>
      </c>
      <c r="E175" s="691">
        <f t="shared" si="5"/>
        <v>3.5714285714285809E-2</v>
      </c>
    </row>
    <row r="176" spans="1:5" ht="15.75" customHeight="1">
      <c r="A176" s="697" t="s">
        <v>272</v>
      </c>
      <c r="B176" s="678">
        <v>1352.76</v>
      </c>
      <c r="C176" s="679">
        <v>132000</v>
      </c>
      <c r="D176" s="680">
        <f t="shared" si="4"/>
        <v>1.1767579209129853E-3</v>
      </c>
      <c r="E176" s="691">
        <f t="shared" si="5"/>
        <v>1.1494252873563315E-2</v>
      </c>
    </row>
    <row r="177" spans="1:5" ht="15.75" customHeight="1">
      <c r="A177" s="697" t="s">
        <v>273</v>
      </c>
      <c r="B177" s="678">
        <v>1350.68</v>
      </c>
      <c r="C177" s="679">
        <v>125700</v>
      </c>
      <c r="D177" s="680">
        <f t="shared" si="4"/>
        <v>-1.5375972086696388E-3</v>
      </c>
      <c r="E177" s="691">
        <f t="shared" si="5"/>
        <v>-4.7727272727272729E-2</v>
      </c>
    </row>
    <row r="178" spans="1:5" ht="15.75" customHeight="1">
      <c r="A178" s="697" t="s">
        <v>274</v>
      </c>
      <c r="B178" s="678">
        <v>1339.84</v>
      </c>
      <c r="C178" s="679">
        <v>123800</v>
      </c>
      <c r="D178" s="680">
        <f t="shared" si="4"/>
        <v>-8.0255871116772237E-3</v>
      </c>
      <c r="E178" s="691">
        <f t="shared" si="5"/>
        <v>-1.511535401750197E-2</v>
      </c>
    </row>
    <row r="179" spans="1:5" ht="15.75" customHeight="1">
      <c r="A179" s="697" t="s">
        <v>275</v>
      </c>
      <c r="B179" s="678">
        <v>1350.48</v>
      </c>
      <c r="C179" s="679">
        <v>123000</v>
      </c>
      <c r="D179" s="680">
        <f t="shared" si="4"/>
        <v>7.9412467160258071E-3</v>
      </c>
      <c r="E179" s="691">
        <f t="shared" si="5"/>
        <v>-6.4620355411955099E-3</v>
      </c>
    </row>
    <row r="180" spans="1:5" ht="15.75" customHeight="1">
      <c r="A180" s="697" t="s">
        <v>276</v>
      </c>
      <c r="B180" s="678">
        <v>1352.64</v>
      </c>
      <c r="C180" s="679">
        <v>123000</v>
      </c>
      <c r="D180" s="680">
        <f t="shared" si="4"/>
        <v>1.5994313133109728E-3</v>
      </c>
      <c r="E180" s="691">
        <f t="shared" si="5"/>
        <v>0</v>
      </c>
    </row>
    <row r="181" spans="1:5" ht="15.75" customHeight="1">
      <c r="A181" s="697" t="s">
        <v>277</v>
      </c>
      <c r="B181" s="678">
        <v>1345.87</v>
      </c>
      <c r="C181" s="679">
        <v>123600</v>
      </c>
      <c r="D181" s="680">
        <f t="shared" si="4"/>
        <v>-5.0050272060564449E-3</v>
      </c>
      <c r="E181" s="691">
        <f t="shared" si="5"/>
        <v>4.8780487804878092E-3</v>
      </c>
    </row>
    <row r="182" spans="1:5" ht="15.75" customHeight="1">
      <c r="A182" s="697" t="s">
        <v>278</v>
      </c>
      <c r="B182" s="678">
        <v>1345.83</v>
      </c>
      <c r="C182" s="679">
        <v>124600</v>
      </c>
      <c r="D182" s="680">
        <f t="shared" si="4"/>
        <v>-2.9720552505052567E-5</v>
      </c>
      <c r="E182" s="691">
        <f t="shared" si="5"/>
        <v>8.090614886731462E-3</v>
      </c>
    </row>
    <row r="183" spans="1:5" ht="15.75" customHeight="1">
      <c r="A183" s="697" t="s">
        <v>279</v>
      </c>
      <c r="B183" s="678">
        <v>1339.7</v>
      </c>
      <c r="C183" s="679">
        <v>124500</v>
      </c>
      <c r="D183" s="680">
        <f t="shared" si="4"/>
        <v>-4.5548100428730587E-3</v>
      </c>
      <c r="E183" s="691">
        <f t="shared" si="5"/>
        <v>-8.0256821829860492E-4</v>
      </c>
    </row>
    <row r="184" spans="1:5" ht="15.75" customHeight="1">
      <c r="A184" s="697" t="s">
        <v>280</v>
      </c>
      <c r="B184" s="678">
        <v>1341.43</v>
      </c>
      <c r="C184" s="679">
        <v>125000</v>
      </c>
      <c r="D184" s="680">
        <f t="shared" si="4"/>
        <v>1.2913338807196695E-3</v>
      </c>
      <c r="E184" s="691">
        <f t="shared" si="5"/>
        <v>4.0160642570281624E-3</v>
      </c>
    </row>
    <row r="185" spans="1:5" ht="15.75" customHeight="1">
      <c r="A185" s="696">
        <v>44478</v>
      </c>
      <c r="B185" s="678">
        <v>1345.31</v>
      </c>
      <c r="C185" s="679">
        <v>118900</v>
      </c>
      <c r="D185" s="680">
        <f t="shared" si="4"/>
        <v>2.892435684306971E-3</v>
      </c>
      <c r="E185" s="691">
        <f t="shared" si="5"/>
        <v>-4.8799999999999955E-2</v>
      </c>
    </row>
    <row r="186" spans="1:5" ht="15.75" customHeight="1">
      <c r="A186" s="696">
        <v>44448</v>
      </c>
      <c r="B186" s="678">
        <v>1343.98</v>
      </c>
      <c r="C186" s="679">
        <v>118900</v>
      </c>
      <c r="D186" s="680">
        <f t="shared" si="4"/>
        <v>-9.8861972333508241E-4</v>
      </c>
      <c r="E186" s="691">
        <f t="shared" si="5"/>
        <v>0</v>
      </c>
    </row>
    <row r="187" spans="1:5" ht="15.75" customHeight="1">
      <c r="A187" s="696">
        <v>44417</v>
      </c>
      <c r="B187" s="678">
        <v>1333.61</v>
      </c>
      <c r="C187" s="679">
        <v>111400</v>
      </c>
      <c r="D187" s="680">
        <f t="shared" si="4"/>
        <v>-7.7158886292951756E-3</v>
      </c>
      <c r="E187" s="691">
        <f t="shared" si="5"/>
        <v>-6.307821698906646E-2</v>
      </c>
    </row>
    <row r="188" spans="1:5" ht="15.75" customHeight="1">
      <c r="A188" s="696">
        <v>44386</v>
      </c>
      <c r="B188" s="678">
        <v>1341.9</v>
      </c>
      <c r="C188" s="679">
        <v>110300</v>
      </c>
      <c r="D188" s="680">
        <f t="shared" si="4"/>
        <v>6.2162101363969491E-3</v>
      </c>
      <c r="E188" s="691">
        <f t="shared" si="5"/>
        <v>-9.8743267504488585E-3</v>
      </c>
    </row>
    <row r="189" spans="1:5" ht="15.75" customHeight="1">
      <c r="A189" s="696">
        <v>44356</v>
      </c>
      <c r="B189" s="678">
        <v>1346.39</v>
      </c>
      <c r="C189" s="679">
        <v>111000</v>
      </c>
      <c r="D189" s="680">
        <f t="shared" si="4"/>
        <v>3.3460019375513017E-3</v>
      </c>
      <c r="E189" s="691">
        <f t="shared" si="5"/>
        <v>6.346328195829587E-3</v>
      </c>
    </row>
    <row r="190" spans="1:5" ht="15.75" customHeight="1">
      <c r="A190" s="696">
        <v>44205</v>
      </c>
      <c r="B190" s="678">
        <v>1334.65</v>
      </c>
      <c r="C190" s="679">
        <v>110200</v>
      </c>
      <c r="D190" s="680">
        <f t="shared" si="4"/>
        <v>-8.7196131878578553E-3</v>
      </c>
      <c r="E190" s="691">
        <f t="shared" si="5"/>
        <v>-7.2072072072072446E-3</v>
      </c>
    </row>
    <row r="191" spans="1:5" ht="15.75" customHeight="1">
      <c r="A191" s="697" t="s">
        <v>281</v>
      </c>
      <c r="B191" s="678">
        <v>1331.47</v>
      </c>
      <c r="C191" s="679">
        <v>111000</v>
      </c>
      <c r="D191" s="680">
        <f t="shared" si="4"/>
        <v>-2.3826471359532642E-3</v>
      </c>
      <c r="E191" s="691">
        <f t="shared" si="5"/>
        <v>7.2595281306715442E-3</v>
      </c>
    </row>
    <row r="192" spans="1:5" ht="15.75" customHeight="1">
      <c r="A192" s="697" t="s">
        <v>282</v>
      </c>
      <c r="B192" s="678">
        <v>1328.14</v>
      </c>
      <c r="C192" s="679">
        <v>110600</v>
      </c>
      <c r="D192" s="680">
        <f t="shared" si="4"/>
        <v>-2.5009951407091169E-3</v>
      </c>
      <c r="E192" s="691">
        <f t="shared" si="5"/>
        <v>-3.6036036036035668E-3</v>
      </c>
    </row>
    <row r="193" spans="1:5" ht="15.75" customHeight="1">
      <c r="A193" s="697" t="s">
        <v>283</v>
      </c>
      <c r="B193" s="678">
        <v>1313.2</v>
      </c>
      <c r="C193" s="679">
        <v>109445</v>
      </c>
      <c r="D193" s="680">
        <f t="shared" si="4"/>
        <v>-1.1248814131040397E-2</v>
      </c>
      <c r="E193" s="691">
        <f t="shared" si="5"/>
        <v>-1.0443037974683489E-2</v>
      </c>
    </row>
    <row r="194" spans="1:5" ht="15.75" customHeight="1">
      <c r="A194" s="697" t="s">
        <v>284</v>
      </c>
      <c r="B194" s="678">
        <v>1301.1199999999999</v>
      </c>
      <c r="C194" s="679">
        <v>107781</v>
      </c>
      <c r="D194" s="680">
        <f t="shared" si="4"/>
        <v>-9.1989034419739379E-3</v>
      </c>
      <c r="E194" s="691">
        <f t="shared" si="5"/>
        <v>-1.5203983736123194E-2</v>
      </c>
    </row>
    <row r="195" spans="1:5" ht="15.75" customHeight="1">
      <c r="A195" s="697" t="s">
        <v>285</v>
      </c>
      <c r="B195" s="678">
        <v>1309.55</v>
      </c>
      <c r="C195" s="679">
        <v>107449</v>
      </c>
      <c r="D195" s="680">
        <f t="shared" si="4"/>
        <v>6.4790334481061862E-3</v>
      </c>
      <c r="E195" s="691">
        <f t="shared" si="5"/>
        <v>-3.0803202790844475E-3</v>
      </c>
    </row>
    <row r="196" spans="1:5" ht="15.75" customHeight="1">
      <c r="A196" s="697" t="s">
        <v>286</v>
      </c>
      <c r="B196" s="678">
        <v>1298.74</v>
      </c>
      <c r="C196" s="679">
        <v>106783</v>
      </c>
      <c r="D196" s="680">
        <f t="shared" si="4"/>
        <v>-8.2547439960291014E-3</v>
      </c>
      <c r="E196" s="691">
        <f t="shared" si="5"/>
        <v>-6.1982894210276251E-3</v>
      </c>
    </row>
    <row r="197" spans="1:5" ht="15.75" customHeight="1">
      <c r="A197" s="697" t="s">
        <v>287</v>
      </c>
      <c r="B197" s="678">
        <v>1298.8599999999999</v>
      </c>
      <c r="C197" s="679">
        <v>105187</v>
      </c>
      <c r="D197" s="680">
        <f t="shared" ref="D197:D252" si="6">(B197/B196)-1</f>
        <v>9.2397246562070379E-5</v>
      </c>
      <c r="E197" s="691">
        <f t="shared" ref="E197:E252" si="7">(C197/C196)-1</f>
        <v>-1.4946199301386964E-2</v>
      </c>
    </row>
    <row r="198" spans="1:5" ht="15.75" customHeight="1">
      <c r="A198" s="697" t="s">
        <v>288</v>
      </c>
      <c r="B198" s="678">
        <v>1329.43</v>
      </c>
      <c r="C198" s="679">
        <v>109112</v>
      </c>
      <c r="D198" s="680">
        <f t="shared" si="6"/>
        <v>2.3536023897879899E-2</v>
      </c>
      <c r="E198" s="691">
        <f t="shared" si="7"/>
        <v>3.7314497038607453E-2</v>
      </c>
    </row>
    <row r="199" spans="1:5" ht="15.75" customHeight="1">
      <c r="A199" s="697" t="s">
        <v>289</v>
      </c>
      <c r="B199" s="678">
        <v>1374.85</v>
      </c>
      <c r="C199" s="679">
        <v>114767</v>
      </c>
      <c r="D199" s="680">
        <f t="shared" si="6"/>
        <v>3.4165018090459798E-2</v>
      </c>
      <c r="E199" s="691">
        <f t="shared" si="7"/>
        <v>5.1827480020529393E-2</v>
      </c>
    </row>
    <row r="200" spans="1:5" ht="15.75" customHeight="1">
      <c r="A200" s="697" t="s">
        <v>290</v>
      </c>
      <c r="B200" s="678">
        <v>1360.94</v>
      </c>
      <c r="C200" s="679">
        <v>114767</v>
      </c>
      <c r="D200" s="680">
        <f t="shared" si="6"/>
        <v>-1.0117467360075572E-2</v>
      </c>
      <c r="E200" s="691">
        <f t="shared" si="7"/>
        <v>0</v>
      </c>
    </row>
    <row r="201" spans="1:5" ht="15.75" customHeight="1">
      <c r="A201" s="697" t="s">
        <v>291</v>
      </c>
      <c r="B201" s="678">
        <v>1363.09</v>
      </c>
      <c r="C201" s="679">
        <v>113037</v>
      </c>
      <c r="D201" s="680">
        <f t="shared" si="6"/>
        <v>1.5797904389611706E-3</v>
      </c>
      <c r="E201" s="691">
        <f t="shared" si="7"/>
        <v>-1.5074019535232241E-2</v>
      </c>
    </row>
    <row r="202" spans="1:5" ht="15.75" customHeight="1">
      <c r="A202" s="697" t="s">
        <v>292</v>
      </c>
      <c r="B202" s="678">
        <v>1370.96</v>
      </c>
      <c r="C202" s="679">
        <v>113170</v>
      </c>
      <c r="D202" s="680">
        <f t="shared" si="6"/>
        <v>5.7736466410875931E-3</v>
      </c>
      <c r="E202" s="691">
        <f t="shared" si="7"/>
        <v>1.1766058901068188E-3</v>
      </c>
    </row>
    <row r="203" spans="1:5" ht="15.75" customHeight="1">
      <c r="A203" s="697" t="s">
        <v>293</v>
      </c>
      <c r="B203" s="678">
        <v>1357.05</v>
      </c>
      <c r="C203" s="679">
        <v>113769</v>
      </c>
      <c r="D203" s="680">
        <f t="shared" si="6"/>
        <v>-1.0146174943105657E-2</v>
      </c>
      <c r="E203" s="691">
        <f t="shared" si="7"/>
        <v>5.2929221525139791E-3</v>
      </c>
    </row>
    <row r="204" spans="1:5" ht="15.75" customHeight="1">
      <c r="A204" s="696">
        <v>44538</v>
      </c>
      <c r="B204" s="678">
        <v>1353.05</v>
      </c>
      <c r="C204" s="679">
        <v>113104</v>
      </c>
      <c r="D204" s="680">
        <f t="shared" si="6"/>
        <v>-2.9475700969013863E-3</v>
      </c>
      <c r="E204" s="691">
        <f t="shared" si="7"/>
        <v>-5.8451775088117497E-3</v>
      </c>
    </row>
    <row r="205" spans="1:5" ht="15.75" customHeight="1">
      <c r="A205" s="696">
        <v>44508</v>
      </c>
      <c r="B205" s="678">
        <v>1357.79</v>
      </c>
      <c r="C205" s="679">
        <v>116430</v>
      </c>
      <c r="D205" s="680">
        <f t="shared" si="6"/>
        <v>3.5031964820220196E-3</v>
      </c>
      <c r="E205" s="691">
        <f t="shared" si="7"/>
        <v>2.9406563870420177E-2</v>
      </c>
    </row>
    <row r="206" spans="1:5" ht="15.75" customHeight="1">
      <c r="A206" s="696">
        <v>44477</v>
      </c>
      <c r="B206" s="678">
        <v>1362.43</v>
      </c>
      <c r="C206" s="679">
        <v>115699</v>
      </c>
      <c r="D206" s="680">
        <f t="shared" si="6"/>
        <v>3.4173178473844157E-3</v>
      </c>
      <c r="E206" s="691">
        <f t="shared" si="7"/>
        <v>-6.2784505711586114E-3</v>
      </c>
    </row>
    <row r="207" spans="1:5" ht="15.75" customHeight="1">
      <c r="A207" s="696">
        <v>44447</v>
      </c>
      <c r="B207" s="678">
        <v>1359.86</v>
      </c>
      <c r="C207" s="679">
        <v>115632</v>
      </c>
      <c r="D207" s="680">
        <f t="shared" si="6"/>
        <v>-1.8863354447569147E-3</v>
      </c>
      <c r="E207" s="691">
        <f t="shared" si="7"/>
        <v>-5.7908884260016169E-4</v>
      </c>
    </row>
    <row r="208" spans="1:5" ht="15.75" customHeight="1">
      <c r="A208" s="696">
        <v>44355</v>
      </c>
      <c r="B208" s="678">
        <v>1341.45</v>
      </c>
      <c r="C208" s="679">
        <v>114102</v>
      </c>
      <c r="D208" s="680">
        <f t="shared" si="6"/>
        <v>-1.3538158339828965E-2</v>
      </c>
      <c r="E208" s="691">
        <f t="shared" si="7"/>
        <v>-1.3231631382316311E-2</v>
      </c>
    </row>
    <row r="209" spans="1:5" ht="15.75" customHeight="1">
      <c r="A209" s="696">
        <v>44324</v>
      </c>
      <c r="B209" s="678">
        <v>1345.55</v>
      </c>
      <c r="C209" s="679">
        <v>115100</v>
      </c>
      <c r="D209" s="680">
        <f t="shared" si="6"/>
        <v>3.0563942003056788E-3</v>
      </c>
      <c r="E209" s="691">
        <f t="shared" si="7"/>
        <v>8.7465600953533507E-3</v>
      </c>
    </row>
    <row r="210" spans="1:5" ht="15.75" customHeight="1">
      <c r="A210" s="696">
        <v>44294</v>
      </c>
      <c r="B210" s="678">
        <v>1334.74</v>
      </c>
      <c r="C210" s="679">
        <v>113104</v>
      </c>
      <c r="D210" s="680">
        <f t="shared" si="6"/>
        <v>-8.0338894875701117E-3</v>
      </c>
      <c r="E210" s="691">
        <f t="shared" si="7"/>
        <v>-1.7341442224152903E-2</v>
      </c>
    </row>
    <row r="211" spans="1:5" ht="15.75" customHeight="1">
      <c r="A211" s="696">
        <v>44263</v>
      </c>
      <c r="B211" s="678">
        <v>1332.44</v>
      </c>
      <c r="C211" s="679">
        <v>113037</v>
      </c>
      <c r="D211" s="680">
        <f t="shared" si="6"/>
        <v>-1.7231820429446376E-3</v>
      </c>
      <c r="E211" s="691">
        <f t="shared" si="7"/>
        <v>-5.9237515914556393E-4</v>
      </c>
    </row>
    <row r="212" spans="1:5" ht="15.75" customHeight="1">
      <c r="A212" s="696">
        <v>44235</v>
      </c>
      <c r="B212" s="678">
        <v>1314.22</v>
      </c>
      <c r="C212" s="679">
        <v>113037</v>
      </c>
      <c r="D212" s="680">
        <f t="shared" si="6"/>
        <v>-1.3674161688331243E-2</v>
      </c>
      <c r="E212" s="691">
        <f t="shared" si="7"/>
        <v>0</v>
      </c>
    </row>
    <row r="213" spans="1:5" ht="15.75" customHeight="1">
      <c r="A213" s="697" t="s">
        <v>294</v>
      </c>
      <c r="B213" s="678">
        <v>1310.05</v>
      </c>
      <c r="C213" s="679">
        <v>109178</v>
      </c>
      <c r="D213" s="680">
        <f t="shared" si="6"/>
        <v>-3.1729847361934294E-3</v>
      </c>
      <c r="E213" s="691">
        <f t="shared" si="7"/>
        <v>-3.4139264134752323E-2</v>
      </c>
    </row>
    <row r="214" spans="1:5" ht="15.75" customHeight="1">
      <c r="A214" s="697" t="s">
        <v>295</v>
      </c>
      <c r="B214" s="678">
        <v>1293.5999999999999</v>
      </c>
      <c r="C214" s="679">
        <v>108314</v>
      </c>
      <c r="D214" s="680">
        <f t="shared" si="6"/>
        <v>-1.2556772642265623E-2</v>
      </c>
      <c r="E214" s="691">
        <f t="shared" si="7"/>
        <v>-7.9136822436755017E-3</v>
      </c>
    </row>
    <row r="215" spans="1:5" ht="15.75" customHeight="1">
      <c r="A215" s="697" t="s">
        <v>296</v>
      </c>
      <c r="B215" s="678">
        <v>1277.07</v>
      </c>
      <c r="C215" s="679">
        <v>104521</v>
      </c>
      <c r="D215" s="680">
        <f t="shared" si="6"/>
        <v>-1.2778293135435992E-2</v>
      </c>
      <c r="E215" s="691">
        <f t="shared" si="7"/>
        <v>-3.5018557157892816E-2</v>
      </c>
    </row>
    <row r="216" spans="1:5" ht="15.75" customHeight="1">
      <c r="A216" s="697" t="s">
        <v>297</v>
      </c>
      <c r="B216" s="678">
        <v>1276.93</v>
      </c>
      <c r="C216" s="679">
        <v>105120</v>
      </c>
      <c r="D216" s="680">
        <f t="shared" si="6"/>
        <v>-1.0962594062957631E-4</v>
      </c>
      <c r="E216" s="691">
        <f t="shared" si="7"/>
        <v>5.7309057509973282E-3</v>
      </c>
    </row>
    <row r="217" spans="1:5" ht="15.75" customHeight="1">
      <c r="A217" s="697" t="s">
        <v>298</v>
      </c>
      <c r="B217" s="678">
        <v>1272.71</v>
      </c>
      <c r="C217" s="679">
        <v>106650</v>
      </c>
      <c r="D217" s="680">
        <f t="shared" si="6"/>
        <v>-3.3048013595107228E-3</v>
      </c>
      <c r="E217" s="691">
        <f t="shared" si="7"/>
        <v>1.4554794520547976E-2</v>
      </c>
    </row>
    <row r="218" spans="1:5" ht="15.75" customHeight="1">
      <c r="A218" s="697" t="s">
        <v>299</v>
      </c>
      <c r="B218" s="678">
        <v>1268.83</v>
      </c>
      <c r="C218" s="679">
        <v>107582</v>
      </c>
      <c r="D218" s="680">
        <f t="shared" si="6"/>
        <v>-3.0486128026023795E-3</v>
      </c>
      <c r="E218" s="691">
        <f t="shared" si="7"/>
        <v>8.738865447726285E-3</v>
      </c>
    </row>
    <row r="219" spans="1:5" ht="15.75" customHeight="1">
      <c r="A219" s="697" t="s">
        <v>300</v>
      </c>
      <c r="B219" s="678">
        <v>1293.67</v>
      </c>
      <c r="C219" s="679">
        <v>109910</v>
      </c>
      <c r="D219" s="680">
        <f t="shared" si="6"/>
        <v>1.9577090705610756E-2</v>
      </c>
      <c r="E219" s="691">
        <f t="shared" si="7"/>
        <v>2.1639307690877629E-2</v>
      </c>
    </row>
    <row r="220" spans="1:5" ht="15.75" customHeight="1">
      <c r="A220" s="697" t="s">
        <v>301</v>
      </c>
      <c r="B220" s="678">
        <v>1270.79</v>
      </c>
      <c r="C220" s="679">
        <v>108713</v>
      </c>
      <c r="D220" s="680">
        <f t="shared" si="6"/>
        <v>-1.7686117788926148E-2</v>
      </c>
      <c r="E220" s="691">
        <f t="shared" si="7"/>
        <v>-1.0890728778091163E-2</v>
      </c>
    </row>
    <row r="221" spans="1:5" ht="15.75" customHeight="1">
      <c r="A221" s="697" t="s">
        <v>302</v>
      </c>
      <c r="B221" s="678">
        <v>1273.29</v>
      </c>
      <c r="C221" s="679">
        <v>109511</v>
      </c>
      <c r="D221" s="680">
        <f t="shared" si="6"/>
        <v>1.9672801957837383E-3</v>
      </c>
      <c r="E221" s="691">
        <f t="shared" si="7"/>
        <v>7.340428467616622E-3</v>
      </c>
    </row>
    <row r="222" spans="1:5" ht="15.75" customHeight="1">
      <c r="A222" s="697" t="s">
        <v>303</v>
      </c>
      <c r="B222" s="678">
        <v>1243.51</v>
      </c>
      <c r="C222" s="679">
        <v>104122</v>
      </c>
      <c r="D222" s="680">
        <f t="shared" si="6"/>
        <v>-2.3388230489519213E-2</v>
      </c>
      <c r="E222" s="691">
        <f t="shared" si="7"/>
        <v>-4.9209668435134413E-2</v>
      </c>
    </row>
    <row r="223" spans="1:5" ht="15.75" customHeight="1">
      <c r="A223" s="697" t="s">
        <v>304</v>
      </c>
      <c r="B223" s="678">
        <v>1299.31</v>
      </c>
      <c r="C223" s="679">
        <v>111840</v>
      </c>
      <c r="D223" s="680">
        <f t="shared" si="6"/>
        <v>4.4872980514832905E-2</v>
      </c>
      <c r="E223" s="691">
        <f t="shared" si="7"/>
        <v>7.4124584621885869E-2</v>
      </c>
    </row>
    <row r="224" spans="1:5" ht="15.75" customHeight="1">
      <c r="A224" s="697" t="s">
        <v>305</v>
      </c>
      <c r="B224" s="678">
        <v>1293.92</v>
      </c>
      <c r="C224" s="679">
        <v>111174</v>
      </c>
      <c r="D224" s="680">
        <f t="shared" si="6"/>
        <v>-4.148355665699377E-3</v>
      </c>
      <c r="E224" s="691">
        <f t="shared" si="7"/>
        <v>-5.9549356223176364E-3</v>
      </c>
    </row>
    <row r="225" spans="1:5" ht="15.75" customHeight="1">
      <c r="A225" s="697" t="s">
        <v>306</v>
      </c>
      <c r="B225" s="678">
        <v>1279.9100000000001</v>
      </c>
      <c r="C225" s="679">
        <v>110775</v>
      </c>
      <c r="D225" s="680">
        <f t="shared" si="6"/>
        <v>-1.0827562755038933E-2</v>
      </c>
      <c r="E225" s="691">
        <f t="shared" si="7"/>
        <v>-3.588968643747692E-3</v>
      </c>
    </row>
    <row r="226" spans="1:5" ht="15.75" customHeight="1">
      <c r="A226" s="697" t="s">
        <v>307</v>
      </c>
      <c r="B226" s="678">
        <v>1297.54</v>
      </c>
      <c r="C226" s="679">
        <v>116430</v>
      </c>
      <c r="D226" s="680">
        <f t="shared" si="6"/>
        <v>1.3774406012922791E-2</v>
      </c>
      <c r="E226" s="691">
        <f t="shared" si="7"/>
        <v>5.1049424509140184E-2</v>
      </c>
    </row>
    <row r="227" spans="1:5" ht="15.75" customHeight="1">
      <c r="A227" s="696">
        <v>44537</v>
      </c>
      <c r="B227" s="678">
        <v>1296.3</v>
      </c>
      <c r="C227" s="679">
        <v>117495</v>
      </c>
      <c r="D227" s="680">
        <f t="shared" si="6"/>
        <v>-9.5565454629531477E-4</v>
      </c>
      <c r="E227" s="691">
        <f t="shared" si="7"/>
        <v>9.1471270291161311E-3</v>
      </c>
    </row>
    <row r="228" spans="1:5" ht="15.75" customHeight="1">
      <c r="A228" s="696">
        <v>44446</v>
      </c>
      <c r="B228" s="678">
        <v>1347.14</v>
      </c>
      <c r="C228" s="679">
        <v>117428</v>
      </c>
      <c r="D228" s="680">
        <f t="shared" si="6"/>
        <v>3.9219316516238667E-2</v>
      </c>
      <c r="E228" s="691">
        <f t="shared" si="7"/>
        <v>-5.7023703136305226E-4</v>
      </c>
    </row>
    <row r="229" spans="1:5" ht="15.75" customHeight="1">
      <c r="A229" s="696">
        <v>44415</v>
      </c>
      <c r="B229" s="678">
        <v>1374.68</v>
      </c>
      <c r="C229" s="679">
        <v>114767</v>
      </c>
      <c r="D229" s="680">
        <f t="shared" si="6"/>
        <v>2.0443309529818654E-2</v>
      </c>
      <c r="E229" s="691">
        <f t="shared" si="7"/>
        <v>-2.2660694212623955E-2</v>
      </c>
    </row>
    <row r="230" spans="1:5" ht="15.75" customHeight="1">
      <c r="A230" s="696">
        <v>44384</v>
      </c>
      <c r="B230" s="678">
        <v>1388.55</v>
      </c>
      <c r="C230" s="679">
        <v>110309</v>
      </c>
      <c r="D230" s="680">
        <f t="shared" si="6"/>
        <v>1.0089620857217652E-2</v>
      </c>
      <c r="E230" s="691">
        <f t="shared" si="7"/>
        <v>-3.8843918548014722E-2</v>
      </c>
    </row>
    <row r="231" spans="1:5" ht="15.75" customHeight="1">
      <c r="A231" s="696">
        <v>44354</v>
      </c>
      <c r="B231" s="678">
        <v>1354.79</v>
      </c>
      <c r="C231" s="679">
        <v>103124</v>
      </c>
      <c r="D231" s="680">
        <f t="shared" si="6"/>
        <v>-2.4313132404306659E-2</v>
      </c>
      <c r="E231" s="691">
        <f t="shared" si="7"/>
        <v>-6.5135211088850453E-2</v>
      </c>
    </row>
    <row r="232" spans="1:5" ht="15.75" customHeight="1">
      <c r="A232" s="696">
        <v>44323</v>
      </c>
      <c r="B232" s="678">
        <v>1411.13</v>
      </c>
      <c r="C232" s="679">
        <v>110775</v>
      </c>
      <c r="D232" s="680">
        <f t="shared" si="6"/>
        <v>4.1585780822120055E-2</v>
      </c>
      <c r="E232" s="691">
        <f t="shared" si="7"/>
        <v>7.4192234591365702E-2</v>
      </c>
    </row>
    <row r="233" spans="1:5" ht="15.75" customHeight="1">
      <c r="A233" s="696">
        <v>44234</v>
      </c>
      <c r="B233" s="678">
        <v>1420.27</v>
      </c>
      <c r="C233" s="679">
        <v>104322</v>
      </c>
      <c r="D233" s="680">
        <f t="shared" si="6"/>
        <v>6.4770786532777347E-3</v>
      </c>
      <c r="E233" s="691">
        <f t="shared" si="7"/>
        <v>-5.8253215978334438E-2</v>
      </c>
    </row>
    <row r="234" spans="1:5" ht="15.75" customHeight="1">
      <c r="A234" s="696">
        <v>44203</v>
      </c>
      <c r="B234" s="678">
        <v>1417.08</v>
      </c>
      <c r="C234" s="679">
        <v>100529</v>
      </c>
      <c r="D234" s="680">
        <f t="shared" si="6"/>
        <v>-2.2460518070508417E-3</v>
      </c>
      <c r="E234" s="691">
        <f t="shared" si="7"/>
        <v>-3.6358582082398727E-2</v>
      </c>
    </row>
    <row r="235" spans="1:5" ht="15.75" customHeight="1">
      <c r="A235" s="697" t="s">
        <v>308</v>
      </c>
      <c r="B235" s="678">
        <v>1408.55</v>
      </c>
      <c r="C235" s="679">
        <v>101128</v>
      </c>
      <c r="D235" s="680">
        <f t="shared" si="6"/>
        <v>-6.0194202162192623E-3</v>
      </c>
      <c r="E235" s="691">
        <f t="shared" si="7"/>
        <v>5.9584796426901399E-3</v>
      </c>
    </row>
    <row r="236" spans="1:5" ht="15.75" customHeight="1">
      <c r="A236" s="697" t="s">
        <v>309</v>
      </c>
      <c r="B236" s="678">
        <v>1410.04</v>
      </c>
      <c r="C236" s="679">
        <v>97802</v>
      </c>
      <c r="D236" s="680">
        <f t="shared" si="6"/>
        <v>1.0578254233075679E-3</v>
      </c>
      <c r="E236" s="691">
        <f t="shared" si="7"/>
        <v>-3.2889011945257507E-2</v>
      </c>
    </row>
    <row r="237" spans="1:5" ht="15.75" customHeight="1">
      <c r="A237" s="697" t="s">
        <v>310</v>
      </c>
      <c r="B237" s="678">
        <v>1405.81</v>
      </c>
      <c r="C237" s="679">
        <v>96804</v>
      </c>
      <c r="D237" s="680">
        <f t="shared" si="6"/>
        <v>-2.9999148960313526E-3</v>
      </c>
      <c r="E237" s="691">
        <f t="shared" si="7"/>
        <v>-1.0204290300811825E-2</v>
      </c>
    </row>
    <row r="238" spans="1:5" ht="15.75" customHeight="1">
      <c r="A238" s="697" t="s">
        <v>311</v>
      </c>
      <c r="B238" s="678">
        <v>1390.12</v>
      </c>
      <c r="C238" s="679">
        <v>95606</v>
      </c>
      <c r="D238" s="680">
        <f t="shared" si="6"/>
        <v>-1.1160825431601795E-2</v>
      </c>
      <c r="E238" s="691">
        <f t="shared" si="7"/>
        <v>-1.2375521672658207E-2</v>
      </c>
    </row>
    <row r="239" spans="1:5" ht="15.75" customHeight="1">
      <c r="A239" s="697" t="s">
        <v>312</v>
      </c>
      <c r="B239" s="678">
        <v>1379.72</v>
      </c>
      <c r="C239" s="679">
        <v>95806</v>
      </c>
      <c r="D239" s="680">
        <f t="shared" si="6"/>
        <v>-7.4813685149482945E-3</v>
      </c>
      <c r="E239" s="691">
        <f t="shared" si="7"/>
        <v>2.0919189172228236E-3</v>
      </c>
    </row>
    <row r="240" spans="1:5" ht="15.75" customHeight="1">
      <c r="A240" s="697" t="s">
        <v>313</v>
      </c>
      <c r="B240" s="678">
        <v>1376.87</v>
      </c>
      <c r="C240" s="679">
        <v>95806</v>
      </c>
      <c r="D240" s="680">
        <f t="shared" si="6"/>
        <v>-2.065636505957813E-3</v>
      </c>
      <c r="E240" s="691">
        <f t="shared" si="7"/>
        <v>0</v>
      </c>
    </row>
    <row r="241" spans="1:5" ht="15.75" customHeight="1">
      <c r="A241" s="697" t="s">
        <v>314</v>
      </c>
      <c r="B241" s="678">
        <v>1379.97</v>
      </c>
      <c r="C241" s="679">
        <v>97136</v>
      </c>
      <c r="D241" s="680">
        <f t="shared" si="6"/>
        <v>2.2514834370710446E-3</v>
      </c>
      <c r="E241" s="691">
        <f t="shared" si="7"/>
        <v>1.3882220320230454E-2</v>
      </c>
    </row>
    <row r="242" spans="1:5" ht="15.75" customHeight="1">
      <c r="A242" s="697" t="s">
        <v>315</v>
      </c>
      <c r="B242" s="678">
        <v>1372.63</v>
      </c>
      <c r="C242" s="679">
        <v>97003</v>
      </c>
      <c r="D242" s="680">
        <f t="shared" si="6"/>
        <v>-5.318956209192871E-3</v>
      </c>
      <c r="E242" s="691">
        <f t="shared" si="7"/>
        <v>-1.369214297479826E-3</v>
      </c>
    </row>
    <row r="243" spans="1:5" ht="15.75" customHeight="1">
      <c r="A243" s="697" t="s">
        <v>316</v>
      </c>
      <c r="B243" s="678">
        <v>1377.77</v>
      </c>
      <c r="C243" s="679">
        <v>93810</v>
      </c>
      <c r="D243" s="680">
        <f t="shared" si="6"/>
        <v>3.7446362093207508E-3</v>
      </c>
      <c r="E243" s="691">
        <f t="shared" si="7"/>
        <v>-3.2916507736874157E-2</v>
      </c>
    </row>
    <row r="244" spans="1:5" ht="15.75" customHeight="1">
      <c r="A244" s="697" t="s">
        <v>317</v>
      </c>
      <c r="B244" s="678">
        <v>1359.92</v>
      </c>
      <c r="C244" s="679">
        <v>92479</v>
      </c>
      <c r="D244" s="680">
        <f t="shared" si="6"/>
        <v>-1.2955718298409691E-2</v>
      </c>
      <c r="E244" s="691">
        <f t="shared" si="7"/>
        <v>-1.4188252851508376E-2</v>
      </c>
    </row>
    <row r="245" spans="1:5" ht="15.75" customHeight="1">
      <c r="A245" s="697" t="s">
        <v>318</v>
      </c>
      <c r="B245" s="678">
        <v>1356.52</v>
      </c>
      <c r="C245" s="679">
        <v>91148</v>
      </c>
      <c r="D245" s="680">
        <f t="shared" si="6"/>
        <v>-2.5001470674745896E-3</v>
      </c>
      <c r="E245" s="691">
        <f t="shared" si="7"/>
        <v>-1.4392456665837661E-2</v>
      </c>
    </row>
    <row r="246" spans="1:5" ht="15.75" customHeight="1">
      <c r="A246" s="697" t="s">
        <v>319</v>
      </c>
      <c r="B246" s="678">
        <v>1367.36</v>
      </c>
      <c r="C246" s="679">
        <v>91747</v>
      </c>
      <c r="D246" s="680">
        <f t="shared" si="6"/>
        <v>7.9910358859434094E-3</v>
      </c>
      <c r="E246" s="691">
        <f t="shared" si="7"/>
        <v>6.5717294948874905E-3</v>
      </c>
    </row>
    <row r="247" spans="1:5" ht="15.75" customHeight="1">
      <c r="A247" s="697" t="s">
        <v>320</v>
      </c>
      <c r="B247" s="678">
        <v>1361.72</v>
      </c>
      <c r="C247" s="679">
        <v>91880</v>
      </c>
      <c r="D247" s="680">
        <f t="shared" si="6"/>
        <v>-4.1247367189327644E-3</v>
      </c>
      <c r="E247" s="691">
        <f t="shared" si="7"/>
        <v>1.4496386802838046E-3</v>
      </c>
    </row>
    <row r="248" spans="1:5" ht="15.75" customHeight="1">
      <c r="A248" s="696">
        <v>44506</v>
      </c>
      <c r="B248" s="678">
        <v>1351.74</v>
      </c>
      <c r="C248" s="679">
        <v>91148</v>
      </c>
      <c r="D248" s="680">
        <f t="shared" si="6"/>
        <v>-7.3289663073172751E-3</v>
      </c>
      <c r="E248" s="691">
        <f t="shared" si="7"/>
        <v>-7.9669133652590096E-3</v>
      </c>
    </row>
    <row r="249" spans="1:5" ht="15.75" customHeight="1">
      <c r="A249" s="696">
        <v>44475</v>
      </c>
      <c r="B249" s="678">
        <v>1323.58</v>
      </c>
      <c r="C249" s="679">
        <v>90017</v>
      </c>
      <c r="D249" s="680">
        <f t="shared" si="6"/>
        <v>-2.0832408599286922E-2</v>
      </c>
      <c r="E249" s="691">
        <f t="shared" si="7"/>
        <v>-1.2408390749111375E-2</v>
      </c>
    </row>
    <row r="250" spans="1:5" ht="15.75" customHeight="1">
      <c r="A250" s="696">
        <v>44445</v>
      </c>
      <c r="B250" s="678">
        <v>1332.9</v>
      </c>
      <c r="C250" s="679">
        <v>90749</v>
      </c>
      <c r="D250" s="680">
        <f t="shared" si="6"/>
        <v>7.0415086356701018E-3</v>
      </c>
      <c r="E250" s="691">
        <f t="shared" si="7"/>
        <v>8.1317973271715083E-3</v>
      </c>
    </row>
    <row r="251" spans="1:5" ht="15.75" customHeight="1">
      <c r="A251" s="696">
        <v>44414</v>
      </c>
      <c r="B251" s="678">
        <v>1319.88</v>
      </c>
      <c r="C251" s="679">
        <v>90483</v>
      </c>
      <c r="D251" s="680">
        <f t="shared" si="6"/>
        <v>-9.7681746567633843E-3</v>
      </c>
      <c r="E251" s="691">
        <f t="shared" si="7"/>
        <v>-2.9311617758873698E-3</v>
      </c>
    </row>
    <row r="252" spans="1:5" ht="15.75" customHeight="1" thickBot="1">
      <c r="A252" s="698">
        <v>44383</v>
      </c>
      <c r="B252" s="692">
        <v>1358.78</v>
      </c>
      <c r="C252" s="693">
        <v>90550</v>
      </c>
      <c r="D252" s="694">
        <f t="shared" si="6"/>
        <v>2.9472376276631129E-2</v>
      </c>
      <c r="E252" s="695">
        <f t="shared" si="7"/>
        <v>7.4047058563486701E-4</v>
      </c>
    </row>
    <row r="253" spans="1:5" ht="15.75" customHeight="1"/>
    <row r="254" spans="1:5" ht="15.75" customHeight="1"/>
    <row r="255" spans="1:5" ht="15.75" customHeight="1"/>
    <row r="256" spans="1:5"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E47AA-E69D-4A0A-AC0D-9AE2B59198B8}">
  <dimension ref="A1:R42"/>
  <sheetViews>
    <sheetView topLeftCell="B26" workbookViewId="0">
      <selection activeCell="J44" sqref="J44"/>
    </sheetView>
  </sheetViews>
  <sheetFormatPr defaultRowHeight="15.75"/>
  <sheetData>
    <row r="1" spans="1:18">
      <c r="E1" t="s">
        <v>68</v>
      </c>
      <c r="F1" t="s">
        <v>69</v>
      </c>
      <c r="K1" t="s">
        <v>70</v>
      </c>
      <c r="L1">
        <v>2017</v>
      </c>
      <c r="M1">
        <v>2018</v>
      </c>
      <c r="N1">
        <v>2019</v>
      </c>
      <c r="O1">
        <v>2020</v>
      </c>
      <c r="P1">
        <v>2021</v>
      </c>
    </row>
    <row r="2" spans="1:18">
      <c r="A2" t="s">
        <v>71</v>
      </c>
      <c r="B2" t="s">
        <v>72</v>
      </c>
      <c r="C2" t="s">
        <v>73</v>
      </c>
      <c r="D2" t="s">
        <v>74</v>
      </c>
      <c r="E2" t="s">
        <v>75</v>
      </c>
      <c r="F2" t="s">
        <v>76</v>
      </c>
      <c r="G2" t="s">
        <v>77</v>
      </c>
      <c r="H2" t="s">
        <v>78</v>
      </c>
      <c r="I2" t="s">
        <v>79</v>
      </c>
      <c r="J2" t="s">
        <v>80</v>
      </c>
      <c r="K2" t="s">
        <v>321</v>
      </c>
      <c r="L2" t="s">
        <v>81</v>
      </c>
      <c r="M2" t="s">
        <v>82</v>
      </c>
      <c r="N2" t="s">
        <v>83</v>
      </c>
      <c r="O2" t="s">
        <v>84</v>
      </c>
      <c r="P2" t="s">
        <v>85</v>
      </c>
    </row>
    <row r="3" spans="1:18">
      <c r="A3">
        <v>1</v>
      </c>
      <c r="B3" t="s">
        <v>86</v>
      </c>
      <c r="C3" t="s">
        <v>87</v>
      </c>
      <c r="D3" t="s">
        <v>88</v>
      </c>
      <c r="E3">
        <v>0.57999999999999996</v>
      </c>
      <c r="F3">
        <v>6.8199999999999997E-2</v>
      </c>
      <c r="G3">
        <v>0.28079999999999999</v>
      </c>
      <c r="H3">
        <v>1.08</v>
      </c>
      <c r="I3">
        <v>13.85</v>
      </c>
      <c r="J3">
        <v>15.58</v>
      </c>
      <c r="K3">
        <v>1.1249097472924188</v>
      </c>
      <c r="L3">
        <v>10.58</v>
      </c>
      <c r="M3">
        <v>8.39</v>
      </c>
      <c r="N3">
        <v>5.81</v>
      </c>
      <c r="O3">
        <v>13.79</v>
      </c>
      <c r="P3">
        <v>16.559999999999999</v>
      </c>
      <c r="Q3" t="s">
        <v>89</v>
      </c>
      <c r="R3">
        <v>14.468848311625724</v>
      </c>
    </row>
    <row r="4" spans="1:18">
      <c r="A4">
        <v>2</v>
      </c>
      <c r="B4" t="s">
        <v>90</v>
      </c>
      <c r="C4" t="s">
        <v>91</v>
      </c>
      <c r="D4" t="s">
        <v>88</v>
      </c>
      <c r="E4">
        <v>6.4799999999999996E-2</v>
      </c>
      <c r="F4">
        <v>0.128</v>
      </c>
      <c r="G4">
        <v>0.18179999999999999</v>
      </c>
      <c r="H4">
        <v>1.77</v>
      </c>
      <c r="I4">
        <v>13.85</v>
      </c>
      <c r="J4">
        <v>20.86</v>
      </c>
      <c r="K4">
        <v>1.5061371841155236</v>
      </c>
      <c r="L4">
        <v>0</v>
      </c>
      <c r="M4">
        <v>14.49</v>
      </c>
      <c r="N4">
        <v>8.06</v>
      </c>
      <c r="O4">
        <v>120.3</v>
      </c>
      <c r="P4">
        <v>17.84</v>
      </c>
    </row>
    <row r="5" spans="1:18">
      <c r="A5">
        <v>3</v>
      </c>
      <c r="B5" t="s">
        <v>92</v>
      </c>
      <c r="C5" t="s">
        <v>93</v>
      </c>
      <c r="D5" t="s">
        <v>94</v>
      </c>
      <c r="E5">
        <v>0.22</v>
      </c>
      <c r="F5">
        <v>0.13100000000000001</v>
      </c>
      <c r="G5">
        <v>0.42199999999999999</v>
      </c>
      <c r="H5">
        <v>1.32</v>
      </c>
      <c r="I5">
        <v>19.88</v>
      </c>
      <c r="J5">
        <v>36.200000000000003</v>
      </c>
      <c r="K5">
        <v>1.8209255533199198</v>
      </c>
      <c r="L5">
        <v>31.96</v>
      </c>
      <c r="M5">
        <v>20.95</v>
      </c>
      <c r="N5">
        <v>26.24</v>
      </c>
      <c r="O5">
        <v>31.45</v>
      </c>
      <c r="P5">
        <v>37.33</v>
      </c>
      <c r="Q5" t="s">
        <v>2</v>
      </c>
      <c r="R5" t="s">
        <v>4</v>
      </c>
    </row>
    <row r="6" spans="1:18">
      <c r="A6">
        <v>4</v>
      </c>
      <c r="B6" t="s">
        <v>95</v>
      </c>
      <c r="C6" t="s">
        <v>96</v>
      </c>
      <c r="D6" t="s">
        <v>97</v>
      </c>
      <c r="E6">
        <v>0.14199999999999999</v>
      </c>
      <c r="F6">
        <v>0.1</v>
      </c>
      <c r="G6">
        <v>0.114</v>
      </c>
      <c r="H6">
        <v>1.67</v>
      </c>
      <c r="I6">
        <v>13.92</v>
      </c>
      <c r="J6">
        <v>8.31</v>
      </c>
      <c r="K6">
        <v>0.59698275862068972</v>
      </c>
      <c r="L6">
        <v>6.28</v>
      </c>
      <c r="M6">
        <v>8.0299999999999994</v>
      </c>
      <c r="N6">
        <v>19.510000000000002</v>
      </c>
      <c r="O6">
        <v>11.46</v>
      </c>
      <c r="P6">
        <v>9.3800000000000008</v>
      </c>
      <c r="Q6" t="s">
        <v>98</v>
      </c>
      <c r="R6">
        <v>6740.9</v>
      </c>
    </row>
    <row r="7" spans="1:18">
      <c r="A7">
        <v>5</v>
      </c>
      <c r="B7" t="s">
        <v>99</v>
      </c>
      <c r="C7" t="s">
        <v>100</v>
      </c>
      <c r="D7" t="s">
        <v>101</v>
      </c>
      <c r="E7">
        <v>0.47149999999999997</v>
      </c>
      <c r="F7">
        <v>0.45900000000000002</v>
      </c>
      <c r="G7">
        <v>0.218</v>
      </c>
      <c r="H7">
        <v>0.7</v>
      </c>
      <c r="I7">
        <v>10.93</v>
      </c>
      <c r="J7">
        <v>10.52</v>
      </c>
      <c r="K7">
        <v>0.96248856358645929</v>
      </c>
      <c r="L7">
        <v>14.43</v>
      </c>
      <c r="M7">
        <v>10.89</v>
      </c>
      <c r="N7">
        <v>12.41</v>
      </c>
      <c r="O7">
        <v>9</v>
      </c>
      <c r="P7">
        <v>7.67</v>
      </c>
      <c r="Q7" t="s">
        <v>102</v>
      </c>
      <c r="R7">
        <v>-2300</v>
      </c>
    </row>
    <row r="8" spans="1:18">
      <c r="C8" t="s">
        <v>103</v>
      </c>
      <c r="E8">
        <v>0.29565999999999998</v>
      </c>
      <c r="F8">
        <v>0.17724000000000001</v>
      </c>
      <c r="G8">
        <v>0.24332000000000004</v>
      </c>
      <c r="H8">
        <v>1.3080000000000001</v>
      </c>
      <c r="K8">
        <v>1.2022887613870021</v>
      </c>
      <c r="L8">
        <v>0.82858275932927139</v>
      </c>
      <c r="M8">
        <v>0.85580333219029348</v>
      </c>
      <c r="N8">
        <v>0.97167023130321595</v>
      </c>
      <c r="O8">
        <v>2.582055607272808</v>
      </c>
      <c r="P8">
        <v>1.1474220043607595</v>
      </c>
      <c r="Q8" t="s">
        <v>104</v>
      </c>
      <c r="R8">
        <v>9040.9</v>
      </c>
    </row>
    <row r="9" spans="1:18">
      <c r="C9" t="s">
        <v>105</v>
      </c>
      <c r="D9">
        <v>0.98597141831129764</v>
      </c>
      <c r="E9">
        <v>1.2729247914761666</v>
      </c>
      <c r="F9">
        <v>0.97158734525447044</v>
      </c>
      <c r="G9">
        <v>0.97908896960311254</v>
      </c>
      <c r="H9">
        <v>1.0810304449648713</v>
      </c>
      <c r="I9" t="s">
        <v>106</v>
      </c>
      <c r="J9">
        <v>13.85</v>
      </c>
      <c r="Q9" t="s">
        <v>107</v>
      </c>
      <c r="R9">
        <v>731854815</v>
      </c>
    </row>
    <row r="10" spans="1:18">
      <c r="C10" t="s">
        <v>71</v>
      </c>
      <c r="E10">
        <v>1.7860606279392455E-2</v>
      </c>
      <c r="F10">
        <v>0.21166666666666667</v>
      </c>
      <c r="G10">
        <v>0.2698743817980066</v>
      </c>
      <c r="H10">
        <v>0.95</v>
      </c>
      <c r="I10" t="s">
        <v>108</v>
      </c>
      <c r="J10">
        <v>1.32</v>
      </c>
      <c r="Q10" t="s">
        <v>109</v>
      </c>
      <c r="R10">
        <v>12353.406460815591</v>
      </c>
    </row>
    <row r="11" spans="1:18">
      <c r="C11" t="s">
        <v>110</v>
      </c>
      <c r="E11" t="s">
        <v>106</v>
      </c>
      <c r="F11">
        <v>13.85</v>
      </c>
      <c r="K11">
        <v>16.65169934520998</v>
      </c>
      <c r="L11">
        <v>11.475871216710409</v>
      </c>
      <c r="M11">
        <v>11.852876150835565</v>
      </c>
      <c r="N11">
        <v>13.457632703549541</v>
      </c>
      <c r="O11">
        <v>35.761470160728393</v>
      </c>
      <c r="P11">
        <v>15.891794760396518</v>
      </c>
      <c r="Q11" t="s">
        <v>111</v>
      </c>
      <c r="R11">
        <v>178739.56421339797</v>
      </c>
    </row>
    <row r="12" spans="1:18">
      <c r="C12" t="s">
        <v>112</v>
      </c>
      <c r="J12">
        <v>0.98597141831129764</v>
      </c>
    </row>
    <row r="13" spans="1:18">
      <c r="C13" t="s">
        <v>113</v>
      </c>
      <c r="K13">
        <v>16.41809962068999</v>
      </c>
      <c r="L13">
        <v>11.31488101989776</v>
      </c>
      <c r="M13">
        <v>11.686597109507495</v>
      </c>
      <c r="N13">
        <v>13.268841203831244</v>
      </c>
      <c r="O13">
        <v>35.259787455270526</v>
      </c>
      <c r="P13">
        <v>15.668855419420204</v>
      </c>
    </row>
    <row r="16" spans="1:18">
      <c r="A16" t="s">
        <v>114</v>
      </c>
      <c r="B16" t="s">
        <v>72</v>
      </c>
      <c r="C16" t="s">
        <v>73</v>
      </c>
      <c r="D16" t="s">
        <v>74</v>
      </c>
      <c r="E16" t="s">
        <v>75</v>
      </c>
      <c r="F16" t="s">
        <v>115</v>
      </c>
      <c r="G16" t="s">
        <v>78</v>
      </c>
      <c r="H16" t="s">
        <v>79</v>
      </c>
      <c r="I16" t="s">
        <v>116</v>
      </c>
      <c r="J16" t="s">
        <v>146</v>
      </c>
      <c r="K16" t="s">
        <v>117</v>
      </c>
      <c r="L16" t="s">
        <v>118</v>
      </c>
      <c r="M16" t="s">
        <v>119</v>
      </c>
      <c r="N16" t="s">
        <v>120</v>
      </c>
      <c r="O16" t="s">
        <v>121</v>
      </c>
      <c r="Q16" t="s">
        <v>122</v>
      </c>
    </row>
    <row r="17" spans="1:18">
      <c r="A17">
        <v>1</v>
      </c>
      <c r="B17" t="s">
        <v>123</v>
      </c>
      <c r="C17" t="s">
        <v>124</v>
      </c>
      <c r="D17" t="s">
        <v>125</v>
      </c>
      <c r="E17">
        <v>0.5403</v>
      </c>
      <c r="F17">
        <v>0.2581</v>
      </c>
      <c r="G17">
        <v>0.8</v>
      </c>
      <c r="H17">
        <v>13.85</v>
      </c>
      <c r="I17">
        <v>1.97</v>
      </c>
      <c r="J17">
        <v>0.14223826714801444</v>
      </c>
      <c r="K17">
        <v>2.14</v>
      </c>
      <c r="L17">
        <v>2.19</v>
      </c>
      <c r="M17">
        <v>1.76</v>
      </c>
      <c r="N17">
        <v>1.35</v>
      </c>
      <c r="O17">
        <v>2.27</v>
      </c>
      <c r="Q17" t="s">
        <v>126</v>
      </c>
      <c r="R17">
        <v>0.54749999999999999</v>
      </c>
    </row>
    <row r="18" spans="1:18">
      <c r="A18">
        <v>2</v>
      </c>
      <c r="B18" t="s">
        <v>127</v>
      </c>
      <c r="C18" t="s">
        <v>128</v>
      </c>
      <c r="D18" t="s">
        <v>125</v>
      </c>
      <c r="E18">
        <v>0.04</v>
      </c>
      <c r="F18">
        <v>0.45569999999999999</v>
      </c>
      <c r="G18">
        <v>0.7</v>
      </c>
      <c r="H18">
        <v>13.85</v>
      </c>
      <c r="I18">
        <v>2.38</v>
      </c>
      <c r="J18">
        <v>0.17184115523465704</v>
      </c>
      <c r="K18">
        <v>5.93</v>
      </c>
      <c r="L18">
        <v>3.98</v>
      </c>
      <c r="M18">
        <v>3.6</v>
      </c>
      <c r="N18">
        <v>3.81</v>
      </c>
      <c r="O18">
        <v>2.96</v>
      </c>
      <c r="Q18" t="s">
        <v>129</v>
      </c>
      <c r="R18">
        <v>0</v>
      </c>
    </row>
    <row r="19" spans="1:18">
      <c r="A19">
        <v>3</v>
      </c>
      <c r="B19" t="s">
        <v>130</v>
      </c>
      <c r="C19" t="s">
        <v>131</v>
      </c>
      <c r="D19" t="s">
        <v>97</v>
      </c>
      <c r="E19">
        <v>7.8700000000000006E-2</v>
      </c>
      <c r="F19">
        <v>0.2036</v>
      </c>
      <c r="G19">
        <v>0.38</v>
      </c>
      <c r="H19">
        <v>13.92</v>
      </c>
      <c r="I19">
        <v>0.87</v>
      </c>
      <c r="J19">
        <v>6.25E-2</v>
      </c>
      <c r="K19">
        <v>0.41</v>
      </c>
      <c r="L19">
        <v>0.57999999999999996</v>
      </c>
      <c r="M19">
        <v>0.5</v>
      </c>
      <c r="N19">
        <v>0.44</v>
      </c>
      <c r="O19">
        <v>0.59</v>
      </c>
      <c r="Q19" t="s">
        <v>46</v>
      </c>
      <c r="R19">
        <v>0</v>
      </c>
    </row>
    <row r="20" spans="1:18">
      <c r="A20">
        <v>4</v>
      </c>
      <c r="B20" t="s">
        <v>132</v>
      </c>
      <c r="C20" t="s">
        <v>133</v>
      </c>
      <c r="D20" t="s">
        <v>134</v>
      </c>
      <c r="E20">
        <v>3.7400000000000003E-2</v>
      </c>
      <c r="F20">
        <v>0.36420000000000002</v>
      </c>
      <c r="G20">
        <v>0.31</v>
      </c>
      <c r="H20">
        <v>11.96</v>
      </c>
      <c r="I20">
        <v>0.51</v>
      </c>
      <c r="J20">
        <v>4.2642140468227424E-2</v>
      </c>
      <c r="K20">
        <v>0.62</v>
      </c>
      <c r="L20">
        <v>0.66</v>
      </c>
      <c r="M20">
        <v>0.63</v>
      </c>
      <c r="N20">
        <v>0.69</v>
      </c>
      <c r="O20">
        <v>0.66</v>
      </c>
      <c r="Q20" t="s">
        <v>135</v>
      </c>
      <c r="R20">
        <v>0.54749999999999999</v>
      </c>
    </row>
    <row r="21" spans="1:18">
      <c r="C21" t="s">
        <v>103</v>
      </c>
      <c r="E21">
        <v>0.1741</v>
      </c>
      <c r="F21">
        <v>0.32040000000000002</v>
      </c>
      <c r="G21">
        <v>0.54749999999999999</v>
      </c>
      <c r="H21">
        <v>13.395</v>
      </c>
      <c r="J21">
        <v>0.10480539071272474</v>
      </c>
      <c r="K21">
        <v>0.16599124200396329</v>
      </c>
      <c r="L21">
        <v>0.13558449444397491</v>
      </c>
      <c r="M21">
        <v>0.11889968390561734</v>
      </c>
      <c r="N21">
        <v>0.11546616999747836</v>
      </c>
      <c r="O21">
        <v>0.11879658311985358</v>
      </c>
      <c r="Q21" t="s">
        <v>136</v>
      </c>
      <c r="R21">
        <v>0.69682500000000003</v>
      </c>
    </row>
    <row r="22" spans="1:18">
      <c r="C22" t="s">
        <v>105</v>
      </c>
      <c r="D22">
        <v>0.96690554524840111</v>
      </c>
      <c r="E22">
        <v>0.72396813410761851</v>
      </c>
      <c r="F22">
        <v>1.0740780911062906</v>
      </c>
      <c r="G22">
        <v>0.9119974069217508</v>
      </c>
      <c r="I22" t="s">
        <v>106</v>
      </c>
      <c r="J22">
        <v>13.85</v>
      </c>
    </row>
    <row r="23" spans="1:18">
      <c r="C23" t="s">
        <v>137</v>
      </c>
      <c r="E23">
        <v>0.62175646231615622</v>
      </c>
      <c r="F23">
        <v>0.22933333333333331</v>
      </c>
      <c r="G23">
        <v>0.69682500000000003</v>
      </c>
      <c r="Q23" t="s">
        <v>138</v>
      </c>
      <c r="R23">
        <v>31981295.96882499</v>
      </c>
    </row>
    <row r="24" spans="1:18">
      <c r="C24" t="s">
        <v>139</v>
      </c>
      <c r="K24">
        <v>2.2989787017548915</v>
      </c>
      <c r="L24">
        <v>1.8778452480490524</v>
      </c>
      <c r="M24">
        <v>1.6467606220928002</v>
      </c>
      <c r="N24">
        <v>1.5992064544650753</v>
      </c>
      <c r="O24">
        <v>1.645332676209972</v>
      </c>
      <c r="Q24" t="s">
        <v>140</v>
      </c>
      <c r="R24">
        <v>731854815</v>
      </c>
    </row>
    <row r="25" spans="1:18">
      <c r="C25" t="s">
        <v>112</v>
      </c>
      <c r="J25">
        <v>0.96690554524840111</v>
      </c>
      <c r="Q25" t="s">
        <v>89</v>
      </c>
      <c r="R25">
        <v>1.5922619771982351</v>
      </c>
    </row>
    <row r="26" spans="1:18">
      <c r="C26" t="s">
        <v>141</v>
      </c>
      <c r="K26">
        <v>2.2228952551347745</v>
      </c>
      <c r="L26">
        <v>1.8156989834569881</v>
      </c>
      <c r="M26">
        <v>1.5922619771982351</v>
      </c>
      <c r="N26">
        <v>1.546281588819316</v>
      </c>
      <c r="O26">
        <v>1.5908812884058141</v>
      </c>
      <c r="Q26" t="s">
        <v>142</v>
      </c>
      <c r="R26">
        <v>22883.838594702476</v>
      </c>
    </row>
    <row r="27" spans="1:18">
      <c r="Q27" t="s">
        <v>143</v>
      </c>
      <c r="R27">
        <v>1.5922619771982351</v>
      </c>
    </row>
    <row r="28" spans="1:18">
      <c r="Q28" t="s">
        <v>47</v>
      </c>
      <c r="R28">
        <v>36437.066086686245</v>
      </c>
    </row>
    <row r="31" spans="1:18">
      <c r="A31" t="s">
        <v>145</v>
      </c>
      <c r="B31" t="s">
        <v>72</v>
      </c>
      <c r="C31" t="s">
        <v>73</v>
      </c>
      <c r="D31" t="s">
        <v>74</v>
      </c>
      <c r="E31" t="s">
        <v>75</v>
      </c>
      <c r="F31" t="s">
        <v>115</v>
      </c>
      <c r="G31" t="s">
        <v>78</v>
      </c>
      <c r="H31" t="s">
        <v>79</v>
      </c>
      <c r="I31" t="s">
        <v>116</v>
      </c>
      <c r="J31" t="s">
        <v>146</v>
      </c>
      <c r="K31" t="s">
        <v>117</v>
      </c>
      <c r="L31" t="s">
        <v>118</v>
      </c>
      <c r="M31" t="s">
        <v>119</v>
      </c>
      <c r="N31" t="s">
        <v>120</v>
      </c>
      <c r="O31" t="s">
        <v>121</v>
      </c>
      <c r="Q31" t="s">
        <v>138</v>
      </c>
      <c r="R31">
        <v>152966854.41872773</v>
      </c>
    </row>
    <row r="32" spans="1:18">
      <c r="A32">
        <v>1</v>
      </c>
      <c r="B32" t="s">
        <v>147</v>
      </c>
      <c r="C32" t="s">
        <v>148</v>
      </c>
      <c r="D32" t="s">
        <v>97</v>
      </c>
      <c r="E32">
        <v>0.16270000000000001</v>
      </c>
      <c r="F32">
        <v>0.36730000000000002</v>
      </c>
      <c r="G32">
        <v>-0.48</v>
      </c>
      <c r="H32">
        <v>13.92</v>
      </c>
      <c r="I32">
        <v>0.64</v>
      </c>
      <c r="J32">
        <v>4.5977011494252873E-2</v>
      </c>
      <c r="K32">
        <v>2.4500000000000002</v>
      </c>
      <c r="L32">
        <v>1.71</v>
      </c>
      <c r="M32">
        <v>0.74</v>
      </c>
      <c r="N32">
        <v>2.36</v>
      </c>
      <c r="O32">
        <v>1.05</v>
      </c>
      <c r="Q32" t="s">
        <v>140</v>
      </c>
      <c r="R32">
        <v>731854815</v>
      </c>
    </row>
    <row r="33" spans="1:18">
      <c r="A33">
        <v>2</v>
      </c>
      <c r="B33" t="s">
        <v>149</v>
      </c>
      <c r="C33" t="s">
        <v>150</v>
      </c>
      <c r="D33" t="s">
        <v>151</v>
      </c>
      <c r="E33">
        <v>-5.5999999999999999E-3</v>
      </c>
      <c r="F33">
        <v>0.2253</v>
      </c>
      <c r="G33">
        <v>0.5</v>
      </c>
      <c r="H33">
        <v>22.49</v>
      </c>
      <c r="I33">
        <v>0.53</v>
      </c>
      <c r="J33">
        <v>2.356602934637617E-2</v>
      </c>
      <c r="K33">
        <v>1.1599999999999999</v>
      </c>
      <c r="L33">
        <v>0.84</v>
      </c>
      <c r="M33">
        <v>0.77</v>
      </c>
      <c r="N33">
        <v>0.68</v>
      </c>
      <c r="O33">
        <v>0.65</v>
      </c>
      <c r="Q33" t="s">
        <v>142</v>
      </c>
      <c r="R33">
        <v>4784.4012860239545</v>
      </c>
    </row>
    <row r="34" spans="1:18">
      <c r="A34">
        <v>3</v>
      </c>
      <c r="B34" t="s">
        <v>152</v>
      </c>
      <c r="C34" t="s">
        <v>153</v>
      </c>
      <c r="D34" t="s">
        <v>97</v>
      </c>
      <c r="E34">
        <v>7.7100000000000002E-2</v>
      </c>
      <c r="F34">
        <v>0.44190000000000002</v>
      </c>
      <c r="G34">
        <v>0.62</v>
      </c>
      <c r="H34">
        <v>13.92</v>
      </c>
      <c r="I34">
        <v>2.7926000000000002</v>
      </c>
      <c r="J34">
        <v>0.20061781609195403</v>
      </c>
      <c r="K34">
        <v>3.1309999999999998</v>
      </c>
      <c r="L34">
        <v>2.7490000000000001</v>
      </c>
      <c r="M34">
        <v>2.8980000000000001</v>
      </c>
      <c r="N34">
        <v>2.4820000000000002</v>
      </c>
      <c r="O34">
        <v>2.16</v>
      </c>
      <c r="Q34" t="s">
        <v>154</v>
      </c>
      <c r="R34">
        <v>1.0350617656868828</v>
      </c>
    </row>
    <row r="35" spans="1:18">
      <c r="A35">
        <v>4</v>
      </c>
      <c r="B35" t="s">
        <v>155</v>
      </c>
      <c r="C35" t="s">
        <v>156</v>
      </c>
      <c r="D35" t="s">
        <v>157</v>
      </c>
      <c r="E35">
        <v>0.1</v>
      </c>
      <c r="F35">
        <v>0.1852</v>
      </c>
      <c r="G35">
        <v>1.1399999999999999</v>
      </c>
      <c r="H35">
        <v>12.34</v>
      </c>
      <c r="I35">
        <v>1.45</v>
      </c>
      <c r="J35">
        <v>0.11750405186385737</v>
      </c>
      <c r="K35">
        <v>1.99</v>
      </c>
      <c r="L35">
        <v>1.73</v>
      </c>
      <c r="M35">
        <v>1.69</v>
      </c>
      <c r="N35">
        <v>1.37</v>
      </c>
      <c r="O35">
        <v>1.49</v>
      </c>
      <c r="Q35" t="s">
        <v>143</v>
      </c>
      <c r="R35">
        <v>1.0350617656868828</v>
      </c>
    </row>
    <row r="36" spans="1:18">
      <c r="A36">
        <v>5</v>
      </c>
      <c r="B36" t="s">
        <v>158</v>
      </c>
      <c r="C36" t="s">
        <v>159</v>
      </c>
      <c r="D36" t="s">
        <v>157</v>
      </c>
      <c r="E36">
        <v>0.14000000000000001</v>
      </c>
      <c r="F36">
        <v>6.4899999999999999E-2</v>
      </c>
      <c r="G36">
        <v>1.05</v>
      </c>
      <c r="H36">
        <v>12.34</v>
      </c>
      <c r="I36">
        <v>0.11</v>
      </c>
      <c r="J36">
        <v>8.9141004862236632E-3</v>
      </c>
      <c r="K36">
        <v>0.19</v>
      </c>
      <c r="L36">
        <v>0.14000000000000001</v>
      </c>
      <c r="M36">
        <v>0.13</v>
      </c>
      <c r="N36">
        <v>0.12</v>
      </c>
      <c r="O36">
        <v>0.11</v>
      </c>
      <c r="Q36" t="s">
        <v>144</v>
      </c>
      <c r="R36">
        <v>4952.1508428665475</v>
      </c>
    </row>
    <row r="37" spans="1:18">
      <c r="C37" t="s">
        <v>103</v>
      </c>
      <c r="E37">
        <v>9.4840000000000008E-2</v>
      </c>
      <c r="F37">
        <v>0.25691999999999998</v>
      </c>
      <c r="G37">
        <v>0.56600000000000006</v>
      </c>
      <c r="J37">
        <v>7.9315801856532822E-2</v>
      </c>
      <c r="K37">
        <v>0.12583473031032891</v>
      </c>
      <c r="L37">
        <v>0.10184402026792157</v>
      </c>
      <c r="M37">
        <v>8.8615171596557588E-2</v>
      </c>
      <c r="N37">
        <v>9.9765206165885509E-2</v>
      </c>
      <c r="O37">
        <v>7.7832965163177767E-2</v>
      </c>
    </row>
    <row r="38" spans="1:18">
      <c r="C38" t="s">
        <v>105</v>
      </c>
      <c r="D38">
        <v>0.74909584579390942</v>
      </c>
      <c r="E38">
        <v>1.09484</v>
      </c>
      <c r="F38">
        <v>1.25692</v>
      </c>
      <c r="G38">
        <v>1.5660000000000001</v>
      </c>
      <c r="I38" t="s">
        <v>106</v>
      </c>
      <c r="J38">
        <v>13.85</v>
      </c>
      <c r="Q38" t="s">
        <v>322</v>
      </c>
      <c r="R38">
        <v>220128.78114295076</v>
      </c>
    </row>
    <row r="39" spans="1:18">
      <c r="C39" t="s">
        <v>13</v>
      </c>
      <c r="E39">
        <v>0</v>
      </c>
      <c r="F39">
        <v>0</v>
      </c>
      <c r="G39">
        <v>0</v>
      </c>
    </row>
    <row r="40" spans="1:18">
      <c r="C40" t="s">
        <v>139</v>
      </c>
      <c r="K40">
        <v>1.7428110147980553</v>
      </c>
      <c r="L40">
        <v>1.4105396807107136</v>
      </c>
      <c r="M40">
        <v>1.2273201266123226</v>
      </c>
      <c r="N40">
        <v>1.3817481053975142</v>
      </c>
      <c r="O40">
        <v>1.077986567510012</v>
      </c>
    </row>
    <row r="41" spans="1:18">
      <c r="C41" t="s">
        <v>112</v>
      </c>
      <c r="J41">
        <v>0.74909584579390942</v>
      </c>
    </row>
    <row r="42" spans="1:18">
      <c r="C42" t="s">
        <v>141</v>
      </c>
      <c r="K42">
        <v>1.3055324911890909</v>
      </c>
      <c r="L42">
        <v>1.056629415147863</v>
      </c>
      <c r="M42">
        <v>0.91938040830454582</v>
      </c>
      <c r="N42">
        <v>1.0350617656868828</v>
      </c>
      <c r="O42">
        <v>0.80751525954338566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Summary</vt:lpstr>
      <vt:lpstr>DATA</vt:lpstr>
      <vt:lpstr>ASSUMPTION</vt:lpstr>
      <vt:lpstr>DCF</vt:lpstr>
      <vt:lpstr>Financial Ratios</vt:lpstr>
      <vt:lpstr>M- Scores</vt:lpstr>
      <vt:lpstr>SALE</vt:lpstr>
      <vt:lpstr>IS</vt:lpstr>
      <vt:lpstr>BS</vt:lpstr>
      <vt:lpstr>CF</vt:lpstr>
      <vt:lpstr>FI&amp;FE</vt:lpstr>
      <vt:lpstr>CAPEX</vt:lpstr>
      <vt:lpstr>NWC</vt:lpstr>
      <vt:lpstr>EQUITY</vt:lpstr>
      <vt:lpstr>Multiple</vt:lpstr>
      <vt:lpstr>Beta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Nhung Phan Thi Hong</cp:lastModifiedBy>
  <dcterms:created xsi:type="dcterms:W3CDTF">2025-03-12T23:16:33Z</dcterms:created>
  <dcterms:modified xsi:type="dcterms:W3CDTF">2025-03-13T13:12:03Z</dcterms:modified>
</cp:coreProperties>
</file>