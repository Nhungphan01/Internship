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7d9f9caa68dd3/Documents/TCDL/Tiểu luận/"/>
    </mc:Choice>
  </mc:AlternateContent>
  <xr:revisionPtr revIDLastSave="17" documentId="8_{1356779B-1CF1-40E8-A7C3-AF46455F677B}" xr6:coauthVersionLast="47" xr6:coauthVersionMax="47" xr10:uidLastSave="{8CC03397-4869-4D8A-A823-96D939AC55AF}"/>
  <bookViews>
    <workbookView xWindow="-120" yWindow="-120" windowWidth="20730" windowHeight="11160" tabRatio="597" firstSheet="4" activeTab="5" xr2:uid="{AC23C331-2CCF-457E-AA8D-6992E4FAE377}"/>
  </bookViews>
  <sheets>
    <sheet name="Lịch sử giá" sheetId="2" r:id="rId1"/>
    <sheet name="TSSL" sheetId="3" r:id="rId2"/>
    <sheet name="Các chỉ tiêu cơ bản" sheetId="4" r:id="rId3"/>
    <sheet name="Các ma trận" sheetId="5" r:id="rId4"/>
    <sheet name="Mô hình CAPM &amp; SML" sheetId="6" r:id="rId5"/>
    <sheet name="DM tối ưu hóa" sheetId="7" r:id="rId6"/>
    <sheet name="DMĐT hiệu quả có bán khống" sheetId="8" r:id="rId7"/>
    <sheet name="DMĐT hiệu quả ko bán khống" sheetId="10" r:id="rId8"/>
  </sheets>
  <definedNames>
    <definedName name="solver_adj" localSheetId="5" hidden="1">'DM tối ưu hóa'!$B$26:$U$26</definedName>
    <definedName name="solver_adj" localSheetId="7" hidden="1">'DMĐT hiệu quả ko bán khống'!$C$26:$C$45</definedName>
    <definedName name="solver_cvg" localSheetId="5" hidden="1">"""""""""""""""""""""""""""""""0.0001"""""""""""""""""""""""""""""""</definedName>
    <definedName name="solver_cvg" localSheetId="7" hidden="1">"""""""0.0001"""""""</definedName>
    <definedName name="solver_drv" localSheetId="5" hidden="1">1</definedName>
    <definedName name="solver_drv" localSheetId="7" hidden="1">1</definedName>
    <definedName name="solver_eng" localSheetId="5" hidden="1">1</definedName>
    <definedName name="solver_eng" localSheetId="7" hidden="1">1</definedName>
    <definedName name="solver_est" localSheetId="5" hidden="1">1</definedName>
    <definedName name="solver_est" localSheetId="7" hidden="1">1</definedName>
    <definedName name="solver_itr" localSheetId="5" hidden="1">2147483647</definedName>
    <definedName name="solver_itr" localSheetId="7" hidden="1">2147483647</definedName>
    <definedName name="solver_lhs1" localSheetId="5" hidden="1">'DM tối ưu hóa'!$B$26:$U$26</definedName>
    <definedName name="solver_lhs1" localSheetId="7" hidden="1">'DMĐT hiệu quả ko bán khống'!$C$26:$C$45</definedName>
    <definedName name="solver_lhs2" localSheetId="5" hidden="1">'DM tối ưu hóa'!$B$26:$U$26</definedName>
    <definedName name="solver_lhs2" localSheetId="7" hidden="1">'DMĐT hiệu quả ko bán khống'!$C$46</definedName>
    <definedName name="solver_lhs3" localSheetId="5" hidden="1">'DM tối ưu hóa'!$V$26</definedName>
    <definedName name="solver_lhs4" localSheetId="5" hidden="1">'DM tối ưu hóa'!$V$28</definedName>
    <definedName name="solver_lhs5" localSheetId="5" hidden="1">'DM tối ưu hóa'!$V$28</definedName>
    <definedName name="solver_mip" localSheetId="5" hidden="1">2147483647</definedName>
    <definedName name="solver_mip" localSheetId="7" hidden="1">2147483647</definedName>
    <definedName name="solver_mni" localSheetId="5" hidden="1">30</definedName>
    <definedName name="solver_mni" localSheetId="7" hidden="1">30</definedName>
    <definedName name="solver_mrt" localSheetId="5" hidden="1">"""""""""""""""""""""""""""""""0.075"""""""""""""""""""""""""""""""</definedName>
    <definedName name="solver_mrt" localSheetId="7" hidden="1">"""""""0.075"""""""</definedName>
    <definedName name="solver_msl" localSheetId="5" hidden="1">2</definedName>
    <definedName name="solver_msl" localSheetId="7" hidden="1">2</definedName>
    <definedName name="solver_neg" localSheetId="5" hidden="1">2</definedName>
    <definedName name="solver_neg" localSheetId="7" hidden="1">2</definedName>
    <definedName name="solver_nod" localSheetId="5" hidden="1">2147483647</definedName>
    <definedName name="solver_nod" localSheetId="7" hidden="1">2147483647</definedName>
    <definedName name="solver_num" localSheetId="5" hidden="1">4</definedName>
    <definedName name="solver_num" localSheetId="7" hidden="1">2</definedName>
    <definedName name="solver_nwt" localSheetId="5" hidden="1">1</definedName>
    <definedName name="solver_nwt" localSheetId="7" hidden="1">1</definedName>
    <definedName name="solver_opt" localSheetId="5" hidden="1">'DM tối ưu hóa'!$W$26</definedName>
    <definedName name="solver_opt" localSheetId="7" hidden="1">'DMĐT hiệu quả ko bán khống'!$C$50</definedName>
    <definedName name="solver_pre" localSheetId="5" hidden="1">"""""""""""""""""""""""""""""""0.000001"""""""""""""""""""""""""""""""</definedName>
    <definedName name="solver_pre" localSheetId="7" hidden="1">"""""""0.000001"""""""</definedName>
    <definedName name="solver_rbv" localSheetId="5" hidden="1">1</definedName>
    <definedName name="solver_rbv" localSheetId="7" hidden="1">1</definedName>
    <definedName name="solver_rel1" localSheetId="5" hidden="1">1</definedName>
    <definedName name="solver_rel1" localSheetId="7" hidden="1">3</definedName>
    <definedName name="solver_rel2" localSheetId="5" hidden="1">3</definedName>
    <definedName name="solver_rel2" localSheetId="7" hidden="1">2</definedName>
    <definedName name="solver_rel3" localSheetId="5" hidden="1">2</definedName>
    <definedName name="solver_rel4" localSheetId="5" hidden="1">3</definedName>
    <definedName name="solver_rel5" localSheetId="5" hidden="1">3</definedName>
    <definedName name="solver_rhs1" localSheetId="5" hidden="1">40%</definedName>
    <definedName name="solver_rhs1" localSheetId="7" hidden="1">0</definedName>
    <definedName name="solver_rhs2" localSheetId="5" hidden="1">0</definedName>
    <definedName name="solver_rhs2" localSheetId="7" hidden="1">1</definedName>
    <definedName name="solver_rhs3" localSheetId="5" hidden="1">'DM tối ưu hóa'!$V$27</definedName>
    <definedName name="solver_rhs4" localSheetId="5" hidden="1">2%</definedName>
    <definedName name="solver_rhs5" localSheetId="5" hidden="1">2%</definedName>
    <definedName name="solver_rlx" localSheetId="5" hidden="1">2</definedName>
    <definedName name="solver_rlx" localSheetId="7" hidden="1">2</definedName>
    <definedName name="solver_rsd" localSheetId="5" hidden="1">0</definedName>
    <definedName name="solver_rsd" localSheetId="7" hidden="1">0</definedName>
    <definedName name="solver_scl" localSheetId="5" hidden="1">1</definedName>
    <definedName name="solver_scl" localSheetId="7" hidden="1">1</definedName>
    <definedName name="solver_sho" localSheetId="5" hidden="1">2</definedName>
    <definedName name="solver_sho" localSheetId="7" hidden="1">2</definedName>
    <definedName name="solver_ssz" localSheetId="5" hidden="1">100</definedName>
    <definedName name="solver_ssz" localSheetId="7" hidden="1">100</definedName>
    <definedName name="solver_tim" localSheetId="5" hidden="1">2147483647</definedName>
    <definedName name="solver_tim" localSheetId="7" hidden="1">2147483647</definedName>
    <definedName name="solver_tol" localSheetId="5" hidden="1">1</definedName>
    <definedName name="solver_tol" localSheetId="7" hidden="1">1</definedName>
    <definedName name="solver_typ" localSheetId="5" hidden="1">2</definedName>
    <definedName name="solver_typ" localSheetId="7" hidden="1">1</definedName>
    <definedName name="solver_val" localSheetId="5" hidden="1">0</definedName>
    <definedName name="solver_val" localSheetId="7" hidden="1">0</definedName>
    <definedName name="solver_ver" localSheetId="5" hidden="1">3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0" l="1"/>
  <c r="G29" i="10"/>
  <c r="G28" i="10"/>
  <c r="G27" i="10"/>
  <c r="G26" i="10"/>
  <c r="G25" i="10"/>
  <c r="C47" i="10" l="1"/>
  <c r="B24" i="8" l="1"/>
  <c r="F24" i="8"/>
  <c r="I33" i="7"/>
  <c r="I35" i="7"/>
  <c r="I34" i="7"/>
  <c r="I32" i="7"/>
  <c r="I31" i="7"/>
  <c r="I36" i="7" l="1"/>
  <c r="B27" i="5" a="1"/>
  <c r="D46" i="5" s="1"/>
  <c r="T46" i="5" l="1"/>
  <c r="P46" i="5"/>
  <c r="L46" i="5"/>
  <c r="H46" i="5"/>
  <c r="B27" i="5"/>
  <c r="F27" i="5"/>
  <c r="J27" i="5"/>
  <c r="N27" i="5"/>
  <c r="R27" i="5"/>
  <c r="B28" i="5"/>
  <c r="F28" i="5"/>
  <c r="J28" i="5"/>
  <c r="N28" i="5"/>
  <c r="R28" i="5"/>
  <c r="B29" i="5"/>
  <c r="F29" i="5"/>
  <c r="J29" i="5"/>
  <c r="N29" i="5"/>
  <c r="R29" i="5"/>
  <c r="B30" i="5"/>
  <c r="F30" i="5"/>
  <c r="J30" i="5"/>
  <c r="N30" i="5"/>
  <c r="R30" i="5"/>
  <c r="B31" i="5"/>
  <c r="F31" i="5"/>
  <c r="J31" i="5"/>
  <c r="N31" i="5"/>
  <c r="R31" i="5"/>
  <c r="B32" i="5"/>
  <c r="F32" i="5"/>
  <c r="J32" i="5"/>
  <c r="N32" i="5"/>
  <c r="R32" i="5"/>
  <c r="B33" i="5"/>
  <c r="F33" i="5"/>
  <c r="J33" i="5"/>
  <c r="N33" i="5"/>
  <c r="R33" i="5"/>
  <c r="B34" i="5"/>
  <c r="F34" i="5"/>
  <c r="J34" i="5"/>
  <c r="N34" i="5"/>
  <c r="R34" i="5"/>
  <c r="B35" i="5"/>
  <c r="F35" i="5"/>
  <c r="J35" i="5"/>
  <c r="N35" i="5"/>
  <c r="R35" i="5"/>
  <c r="B36" i="5"/>
  <c r="F36" i="5"/>
  <c r="J36" i="5"/>
  <c r="N36" i="5"/>
  <c r="R36" i="5"/>
  <c r="B37" i="5"/>
  <c r="F37" i="5"/>
  <c r="J37" i="5"/>
  <c r="N37" i="5"/>
  <c r="R37" i="5"/>
  <c r="B38" i="5"/>
  <c r="F38" i="5"/>
  <c r="J38" i="5"/>
  <c r="N38" i="5"/>
  <c r="R38" i="5"/>
  <c r="B39" i="5"/>
  <c r="F39" i="5"/>
  <c r="J39" i="5"/>
  <c r="N39" i="5"/>
  <c r="R39" i="5"/>
  <c r="B40" i="5"/>
  <c r="F40" i="5"/>
  <c r="J40" i="5"/>
  <c r="N40" i="5"/>
  <c r="R40" i="5"/>
  <c r="B41" i="5"/>
  <c r="F41" i="5"/>
  <c r="J41" i="5"/>
  <c r="N41" i="5"/>
  <c r="R41" i="5"/>
  <c r="B42" i="5"/>
  <c r="F42" i="5"/>
  <c r="J42" i="5"/>
  <c r="N42" i="5"/>
  <c r="R42" i="5"/>
  <c r="B43" i="5"/>
  <c r="F43" i="5"/>
  <c r="J43" i="5"/>
  <c r="N43" i="5"/>
  <c r="R43" i="5"/>
  <c r="D27" i="5"/>
  <c r="H27" i="5"/>
  <c r="L27" i="5"/>
  <c r="P27" i="5"/>
  <c r="T27" i="5"/>
  <c r="D28" i="5"/>
  <c r="H28" i="5"/>
  <c r="L28" i="5"/>
  <c r="P28" i="5"/>
  <c r="T28" i="5"/>
  <c r="D29" i="5"/>
  <c r="H29" i="5"/>
  <c r="L29" i="5"/>
  <c r="P29" i="5"/>
  <c r="T29" i="5"/>
  <c r="D30" i="5"/>
  <c r="H30" i="5"/>
  <c r="L30" i="5"/>
  <c r="P30" i="5"/>
  <c r="T30" i="5"/>
  <c r="D31" i="5"/>
  <c r="H31" i="5"/>
  <c r="L31" i="5"/>
  <c r="P31" i="5"/>
  <c r="T31" i="5"/>
  <c r="D32" i="5"/>
  <c r="H32" i="5"/>
  <c r="L32" i="5"/>
  <c r="P32" i="5"/>
  <c r="T32" i="5"/>
  <c r="D33" i="5"/>
  <c r="H33" i="5"/>
  <c r="L33" i="5"/>
  <c r="P33" i="5"/>
  <c r="T33" i="5"/>
  <c r="D34" i="5"/>
  <c r="H34" i="5"/>
  <c r="L34" i="5"/>
  <c r="P34" i="5"/>
  <c r="T34" i="5"/>
  <c r="D35" i="5"/>
  <c r="H35" i="5"/>
  <c r="L35" i="5"/>
  <c r="P35" i="5"/>
  <c r="T35" i="5"/>
  <c r="D36" i="5"/>
  <c r="H36" i="5"/>
  <c r="L36" i="5"/>
  <c r="P36" i="5"/>
  <c r="T36" i="5"/>
  <c r="D37" i="5"/>
  <c r="H37" i="5"/>
  <c r="L37" i="5"/>
  <c r="P37" i="5"/>
  <c r="T37" i="5"/>
  <c r="D38" i="5"/>
  <c r="H38" i="5"/>
  <c r="L38" i="5"/>
  <c r="P38" i="5"/>
  <c r="T38" i="5"/>
  <c r="D39" i="5"/>
  <c r="H39" i="5"/>
  <c r="L39" i="5"/>
  <c r="P39" i="5"/>
  <c r="T39" i="5"/>
  <c r="D40" i="5"/>
  <c r="H40" i="5"/>
  <c r="L40" i="5"/>
  <c r="P40" i="5"/>
  <c r="T40" i="5"/>
  <c r="D41" i="5"/>
  <c r="H41" i="5"/>
  <c r="L41" i="5"/>
  <c r="P41" i="5"/>
  <c r="T41" i="5"/>
  <c r="D42" i="5"/>
  <c r="H42" i="5"/>
  <c r="L42" i="5"/>
  <c r="P42" i="5"/>
  <c r="T42" i="5"/>
  <c r="D43" i="5"/>
  <c r="H43" i="5"/>
  <c r="S46" i="5"/>
  <c r="O46" i="5"/>
  <c r="K46" i="5"/>
  <c r="G46" i="5"/>
  <c r="C46" i="5"/>
  <c r="S45" i="5"/>
  <c r="O45" i="5"/>
  <c r="K45" i="5"/>
  <c r="G45" i="5"/>
  <c r="C45" i="5"/>
  <c r="S44" i="5"/>
  <c r="O44" i="5"/>
  <c r="K44" i="5"/>
  <c r="G44" i="5"/>
  <c r="C44" i="5"/>
  <c r="S43" i="5"/>
  <c r="M43" i="5"/>
  <c r="G43" i="5"/>
  <c r="S42" i="5"/>
  <c r="K42" i="5"/>
  <c r="C42" i="5"/>
  <c r="O41" i="5"/>
  <c r="G41" i="5"/>
  <c r="S40" i="5"/>
  <c r="K40" i="5"/>
  <c r="C40" i="5"/>
  <c r="O39" i="5"/>
  <c r="G39" i="5"/>
  <c r="S38" i="5"/>
  <c r="K38" i="5"/>
  <c r="C38" i="5"/>
  <c r="O37" i="5"/>
  <c r="G37" i="5"/>
  <c r="S36" i="5"/>
  <c r="K36" i="5"/>
  <c r="C36" i="5"/>
  <c r="O35" i="5"/>
  <c r="G35" i="5"/>
  <c r="S34" i="5"/>
  <c r="K34" i="5"/>
  <c r="C34" i="5"/>
  <c r="O33" i="5"/>
  <c r="G33" i="5"/>
  <c r="S32" i="5"/>
  <c r="K32" i="5"/>
  <c r="C32" i="5"/>
  <c r="O31" i="5"/>
  <c r="G31" i="5"/>
  <c r="S30" i="5"/>
  <c r="K30" i="5"/>
  <c r="C30" i="5"/>
  <c r="O29" i="5"/>
  <c r="G29" i="5"/>
  <c r="S28" i="5"/>
  <c r="K28" i="5"/>
  <c r="C28" i="5"/>
  <c r="O27" i="5"/>
  <c r="G27" i="5"/>
  <c r="T45" i="5"/>
  <c r="P45" i="5"/>
  <c r="L45" i="5"/>
  <c r="H45" i="5"/>
  <c r="D45" i="5"/>
  <c r="T44" i="5"/>
  <c r="P44" i="5"/>
  <c r="L44" i="5"/>
  <c r="H44" i="5"/>
  <c r="D44" i="5"/>
  <c r="T43" i="5"/>
  <c r="O43" i="5"/>
  <c r="I43" i="5"/>
  <c r="U42" i="5"/>
  <c r="M42" i="5"/>
  <c r="E42" i="5"/>
  <c r="Q41" i="5"/>
  <c r="I41" i="5"/>
  <c r="U40" i="5"/>
  <c r="M40" i="5"/>
  <c r="E40" i="5"/>
  <c r="Q39" i="5"/>
  <c r="I39" i="5"/>
  <c r="U38" i="5"/>
  <c r="M38" i="5"/>
  <c r="E38" i="5"/>
  <c r="Q37" i="5"/>
  <c r="I37" i="5"/>
  <c r="U36" i="5"/>
  <c r="M36" i="5"/>
  <c r="E36" i="5"/>
  <c r="Q35" i="5"/>
  <c r="I35" i="5"/>
  <c r="U34" i="5"/>
  <c r="M34" i="5"/>
  <c r="E34" i="5"/>
  <c r="Q33" i="5"/>
  <c r="I33" i="5"/>
  <c r="U32" i="5"/>
  <c r="M32" i="5"/>
  <c r="E32" i="5"/>
  <c r="Q31" i="5"/>
  <c r="I31" i="5"/>
  <c r="U30" i="5"/>
  <c r="M30" i="5"/>
  <c r="E30" i="5"/>
  <c r="Q29" i="5"/>
  <c r="I29" i="5"/>
  <c r="U28" i="5"/>
  <c r="M28" i="5"/>
  <c r="E28" i="5"/>
  <c r="Q27" i="5"/>
  <c r="I27" i="5"/>
  <c r="R46" i="5"/>
  <c r="N46" i="5"/>
  <c r="J46" i="5"/>
  <c r="F46" i="5"/>
  <c r="B46" i="5"/>
  <c r="R45" i="5"/>
  <c r="N45" i="5"/>
  <c r="J45" i="5"/>
  <c r="F45" i="5"/>
  <c r="B45" i="5"/>
  <c r="R44" i="5"/>
  <c r="N44" i="5"/>
  <c r="J44" i="5"/>
  <c r="F44" i="5"/>
  <c r="B44" i="5"/>
  <c r="Q43" i="5"/>
  <c r="L43" i="5"/>
  <c r="E43" i="5"/>
  <c r="Q42" i="5"/>
  <c r="I42" i="5"/>
  <c r="U41" i="5"/>
  <c r="M41" i="5"/>
  <c r="E41" i="5"/>
  <c r="Q40" i="5"/>
  <c r="I40" i="5"/>
  <c r="U39" i="5"/>
  <c r="M39" i="5"/>
  <c r="E39" i="5"/>
  <c r="Q38" i="5"/>
  <c r="I38" i="5"/>
  <c r="U37" i="5"/>
  <c r="M37" i="5"/>
  <c r="E37" i="5"/>
  <c r="Q36" i="5"/>
  <c r="I36" i="5"/>
  <c r="U35" i="5"/>
  <c r="M35" i="5"/>
  <c r="E35" i="5"/>
  <c r="Q34" i="5"/>
  <c r="I34" i="5"/>
  <c r="U33" i="5"/>
  <c r="M33" i="5"/>
  <c r="E33" i="5"/>
  <c r="Q32" i="5"/>
  <c r="I32" i="5"/>
  <c r="U31" i="5"/>
  <c r="M31" i="5"/>
  <c r="E31" i="5"/>
  <c r="Q30" i="5"/>
  <c r="I30" i="5"/>
  <c r="U29" i="5"/>
  <c r="M29" i="5"/>
  <c r="E29" i="5"/>
  <c r="Q28" i="5"/>
  <c r="I28" i="5"/>
  <c r="U27" i="5"/>
  <c r="M27" i="5"/>
  <c r="E27" i="5"/>
  <c r="U46" i="5"/>
  <c r="Q46" i="5"/>
  <c r="M46" i="5"/>
  <c r="I46" i="5"/>
  <c r="E46" i="5"/>
  <c r="U45" i="5"/>
  <c r="Q45" i="5"/>
  <c r="M45" i="5"/>
  <c r="I45" i="5"/>
  <c r="E45" i="5"/>
  <c r="U44" i="5"/>
  <c r="Q44" i="5"/>
  <c r="M44" i="5"/>
  <c r="I44" i="5"/>
  <c r="E44" i="5"/>
  <c r="U43" i="5"/>
  <c r="P43" i="5"/>
  <c r="K43" i="5"/>
  <c r="C43" i="5"/>
  <c r="O42" i="5"/>
  <c r="G42" i="5"/>
  <c r="S41" i="5"/>
  <c r="K41" i="5"/>
  <c r="C41" i="5"/>
  <c r="O40" i="5"/>
  <c r="G40" i="5"/>
  <c r="S39" i="5"/>
  <c r="K39" i="5"/>
  <c r="C39" i="5"/>
  <c r="O38" i="5"/>
  <c r="G38" i="5"/>
  <c r="S37" i="5"/>
  <c r="K37" i="5"/>
  <c r="C37" i="5"/>
  <c r="O36" i="5"/>
  <c r="G36" i="5"/>
  <c r="S35" i="5"/>
  <c r="K35" i="5"/>
  <c r="C35" i="5"/>
  <c r="O34" i="5"/>
  <c r="G34" i="5"/>
  <c r="S33" i="5"/>
  <c r="K33" i="5"/>
  <c r="C33" i="5"/>
  <c r="O32" i="5"/>
  <c r="G32" i="5"/>
  <c r="S31" i="5"/>
  <c r="K31" i="5"/>
  <c r="C31" i="5"/>
  <c r="O30" i="5"/>
  <c r="G30" i="5"/>
  <c r="S29" i="5"/>
  <c r="K29" i="5"/>
  <c r="C29" i="5"/>
  <c r="O28" i="5"/>
  <c r="G28" i="5"/>
  <c r="S27" i="5"/>
  <c r="K27" i="5"/>
  <c r="C27" i="5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2" i="3"/>
  <c r="C49" i="10" a="1"/>
  <c r="C49" i="10" s="1"/>
  <c r="C46" i="10"/>
  <c r="B62" i="8" l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V26" i="7" l="1"/>
  <c r="F5" i="4" l="1"/>
  <c r="J5" i="4"/>
  <c r="N5" i="4"/>
  <c r="S5" i="4"/>
  <c r="R2" i="4"/>
  <c r="V2" i="4"/>
  <c r="B3" i="3"/>
  <c r="C3" i="3"/>
  <c r="D3" i="3"/>
  <c r="D3" i="4" s="1"/>
  <c r="D4" i="4" s="1"/>
  <c r="E3" i="3"/>
  <c r="F3" i="3"/>
  <c r="G3" i="3"/>
  <c r="H3" i="3"/>
  <c r="H3" i="4" s="1"/>
  <c r="H4" i="4" s="1"/>
  <c r="I3" i="3"/>
  <c r="J3" i="3"/>
  <c r="K3" i="3"/>
  <c r="L3" i="3"/>
  <c r="L3" i="4" s="1"/>
  <c r="L4" i="4" s="1"/>
  <c r="M3" i="3"/>
  <c r="N3" i="3"/>
  <c r="O3" i="3"/>
  <c r="P3" i="3"/>
  <c r="P3" i="4" s="1"/>
  <c r="P4" i="4" s="1"/>
  <c r="R3" i="3"/>
  <c r="S3" i="3"/>
  <c r="T3" i="3"/>
  <c r="U3" i="3"/>
  <c r="V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R4" i="3"/>
  <c r="S4" i="3"/>
  <c r="T4" i="3"/>
  <c r="U4" i="3"/>
  <c r="V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R5" i="3"/>
  <c r="S5" i="3"/>
  <c r="T5" i="3"/>
  <c r="U5" i="3"/>
  <c r="V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R6" i="3"/>
  <c r="S6" i="3"/>
  <c r="T6" i="3"/>
  <c r="U6" i="3"/>
  <c r="V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R7" i="3"/>
  <c r="S7" i="3"/>
  <c r="T7" i="3"/>
  <c r="U7" i="3"/>
  <c r="V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R8" i="3"/>
  <c r="S8" i="3"/>
  <c r="T8" i="3"/>
  <c r="U8" i="3"/>
  <c r="V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R9" i="3"/>
  <c r="S9" i="3"/>
  <c r="T9" i="3"/>
  <c r="U9" i="3"/>
  <c r="V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R10" i="3"/>
  <c r="S10" i="3"/>
  <c r="T10" i="3"/>
  <c r="U10" i="3"/>
  <c r="V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R11" i="3"/>
  <c r="S11" i="3"/>
  <c r="T11" i="3"/>
  <c r="U11" i="3"/>
  <c r="V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R12" i="3"/>
  <c r="S12" i="3"/>
  <c r="T12" i="3"/>
  <c r="U12" i="3"/>
  <c r="V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R13" i="3"/>
  <c r="S13" i="3"/>
  <c r="T13" i="3"/>
  <c r="U13" i="3"/>
  <c r="V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R14" i="3"/>
  <c r="S14" i="3"/>
  <c r="T14" i="3"/>
  <c r="U14" i="3"/>
  <c r="V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R15" i="3"/>
  <c r="S15" i="3"/>
  <c r="T15" i="3"/>
  <c r="U15" i="3"/>
  <c r="V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R16" i="3"/>
  <c r="S16" i="3"/>
  <c r="T16" i="3"/>
  <c r="U16" i="3"/>
  <c r="V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R17" i="3"/>
  <c r="S17" i="3"/>
  <c r="T17" i="3"/>
  <c r="U17" i="3"/>
  <c r="V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R18" i="3"/>
  <c r="S18" i="3"/>
  <c r="T18" i="3"/>
  <c r="U18" i="3"/>
  <c r="V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R19" i="3"/>
  <c r="S19" i="3"/>
  <c r="T19" i="3"/>
  <c r="U19" i="3"/>
  <c r="V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R20" i="3"/>
  <c r="S20" i="3"/>
  <c r="T20" i="3"/>
  <c r="U20" i="3"/>
  <c r="V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R21" i="3"/>
  <c r="S21" i="3"/>
  <c r="T21" i="3"/>
  <c r="U21" i="3"/>
  <c r="V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R22" i="3"/>
  <c r="S22" i="3"/>
  <c r="T22" i="3"/>
  <c r="U22" i="3"/>
  <c r="V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R23" i="3"/>
  <c r="S23" i="3"/>
  <c r="T23" i="3"/>
  <c r="U23" i="3"/>
  <c r="V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V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R25" i="3"/>
  <c r="S25" i="3"/>
  <c r="T25" i="3"/>
  <c r="U25" i="3"/>
  <c r="V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R26" i="3"/>
  <c r="S26" i="3"/>
  <c r="T26" i="3"/>
  <c r="U26" i="3"/>
  <c r="V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R27" i="3"/>
  <c r="S27" i="3"/>
  <c r="T27" i="3"/>
  <c r="U27" i="3"/>
  <c r="V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R28" i="3"/>
  <c r="S28" i="3"/>
  <c r="T28" i="3"/>
  <c r="U28" i="3"/>
  <c r="V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R29" i="3"/>
  <c r="S29" i="3"/>
  <c r="T29" i="3"/>
  <c r="U29" i="3"/>
  <c r="V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R30" i="3"/>
  <c r="S30" i="3"/>
  <c r="T30" i="3"/>
  <c r="U30" i="3"/>
  <c r="V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R31" i="3"/>
  <c r="S31" i="3"/>
  <c r="T31" i="3"/>
  <c r="U31" i="3"/>
  <c r="V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R32" i="3"/>
  <c r="S32" i="3"/>
  <c r="T32" i="3"/>
  <c r="U32" i="3"/>
  <c r="V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R33" i="3"/>
  <c r="S33" i="3"/>
  <c r="T33" i="3"/>
  <c r="U33" i="3"/>
  <c r="V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R34" i="3"/>
  <c r="S34" i="3"/>
  <c r="T34" i="3"/>
  <c r="U34" i="3"/>
  <c r="V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R35" i="3"/>
  <c r="S35" i="3"/>
  <c r="T35" i="3"/>
  <c r="U35" i="3"/>
  <c r="V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R36" i="3"/>
  <c r="S36" i="3"/>
  <c r="T36" i="3"/>
  <c r="U36" i="3"/>
  <c r="V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R37" i="3"/>
  <c r="S37" i="3"/>
  <c r="T37" i="3"/>
  <c r="U37" i="3"/>
  <c r="V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R38" i="3"/>
  <c r="S38" i="3"/>
  <c r="T38" i="3"/>
  <c r="U38" i="3"/>
  <c r="V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R39" i="3"/>
  <c r="S39" i="3"/>
  <c r="T39" i="3"/>
  <c r="U39" i="3"/>
  <c r="V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R40" i="3"/>
  <c r="S40" i="3"/>
  <c r="T40" i="3"/>
  <c r="U40" i="3"/>
  <c r="V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R41" i="3"/>
  <c r="S41" i="3"/>
  <c r="T41" i="3"/>
  <c r="U41" i="3"/>
  <c r="V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R42" i="3"/>
  <c r="S42" i="3"/>
  <c r="T42" i="3"/>
  <c r="U42" i="3"/>
  <c r="V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R43" i="3"/>
  <c r="S43" i="3"/>
  <c r="T43" i="3"/>
  <c r="U43" i="3"/>
  <c r="V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R44" i="3"/>
  <c r="S44" i="3"/>
  <c r="T44" i="3"/>
  <c r="U44" i="3"/>
  <c r="V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R45" i="3"/>
  <c r="S45" i="3"/>
  <c r="T45" i="3"/>
  <c r="U45" i="3"/>
  <c r="V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R46" i="3"/>
  <c r="S46" i="3"/>
  <c r="T46" i="3"/>
  <c r="U46" i="3"/>
  <c r="V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R47" i="3"/>
  <c r="S47" i="3"/>
  <c r="T47" i="3"/>
  <c r="U47" i="3"/>
  <c r="V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R48" i="3"/>
  <c r="S48" i="3"/>
  <c r="T48" i="3"/>
  <c r="U48" i="3"/>
  <c r="V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R49" i="3"/>
  <c r="S49" i="3"/>
  <c r="T49" i="3"/>
  <c r="U49" i="3"/>
  <c r="V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R50" i="3"/>
  <c r="S50" i="3"/>
  <c r="T50" i="3"/>
  <c r="U50" i="3"/>
  <c r="V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R51" i="3"/>
  <c r="S51" i="3"/>
  <c r="T51" i="3"/>
  <c r="U51" i="3"/>
  <c r="V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R52" i="3"/>
  <c r="S52" i="3"/>
  <c r="T52" i="3"/>
  <c r="U52" i="3"/>
  <c r="V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R53" i="3"/>
  <c r="S53" i="3"/>
  <c r="T53" i="3"/>
  <c r="U53" i="3"/>
  <c r="V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R54" i="3"/>
  <c r="S54" i="3"/>
  <c r="T54" i="3"/>
  <c r="U54" i="3"/>
  <c r="V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R55" i="3"/>
  <c r="S55" i="3"/>
  <c r="T55" i="3"/>
  <c r="U55" i="3"/>
  <c r="V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R56" i="3"/>
  <c r="S56" i="3"/>
  <c r="T56" i="3"/>
  <c r="U56" i="3"/>
  <c r="V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R57" i="3"/>
  <c r="S57" i="3"/>
  <c r="T57" i="3"/>
  <c r="U57" i="3"/>
  <c r="V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R58" i="3"/>
  <c r="S58" i="3"/>
  <c r="T58" i="3"/>
  <c r="U58" i="3"/>
  <c r="V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R59" i="3"/>
  <c r="S59" i="3"/>
  <c r="T59" i="3"/>
  <c r="U59" i="3"/>
  <c r="V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R60" i="3"/>
  <c r="S60" i="3"/>
  <c r="T60" i="3"/>
  <c r="U60" i="3"/>
  <c r="V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R61" i="3"/>
  <c r="S61" i="3"/>
  <c r="T61" i="3"/>
  <c r="U61" i="3"/>
  <c r="V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R62" i="3"/>
  <c r="S62" i="3"/>
  <c r="T62" i="3"/>
  <c r="U62" i="3"/>
  <c r="V62" i="3"/>
  <c r="C2" i="3"/>
  <c r="C3" i="4" s="1"/>
  <c r="C4" i="4" s="1"/>
  <c r="D2" i="3"/>
  <c r="E2" i="3"/>
  <c r="F2" i="3"/>
  <c r="F3" i="4" s="1"/>
  <c r="F4" i="4" s="1"/>
  <c r="G2" i="3"/>
  <c r="G3" i="4" s="1"/>
  <c r="G4" i="4" s="1"/>
  <c r="H2" i="3"/>
  <c r="I2" i="3"/>
  <c r="I5" i="4" s="1"/>
  <c r="J2" i="3"/>
  <c r="J3" i="4" s="1"/>
  <c r="J4" i="4" s="1"/>
  <c r="K2" i="3"/>
  <c r="K3" i="4" s="1"/>
  <c r="K4" i="4" s="1"/>
  <c r="L2" i="3"/>
  <c r="M2" i="3"/>
  <c r="M5" i="4" s="1"/>
  <c r="N2" i="3"/>
  <c r="N3" i="4" s="1"/>
  <c r="N4" i="4" s="1"/>
  <c r="O2" i="3"/>
  <c r="O3" i="4" s="1"/>
  <c r="O4" i="4" s="1"/>
  <c r="P2" i="3"/>
  <c r="Q3" i="4"/>
  <c r="Q4" i="4" s="1"/>
  <c r="R2" i="3"/>
  <c r="R5" i="4" s="1"/>
  <c r="S2" i="3"/>
  <c r="T2" i="3"/>
  <c r="U2" i="3"/>
  <c r="U5" i="4" s="1"/>
  <c r="V2" i="3"/>
  <c r="B2" i="3"/>
  <c r="B5" i="4" s="1"/>
  <c r="E2" i="7" l="1"/>
  <c r="E6" i="6"/>
  <c r="E5" i="6"/>
  <c r="E4" i="6"/>
  <c r="B13" i="6" s="1"/>
  <c r="E3" i="6"/>
  <c r="C13" i="6" s="1"/>
  <c r="F43" i="8"/>
  <c r="B42" i="10"/>
  <c r="B43" i="8"/>
  <c r="I2" i="4"/>
  <c r="E2" i="4"/>
  <c r="T2" i="7"/>
  <c r="T6" i="6"/>
  <c r="T5" i="6"/>
  <c r="T4" i="6"/>
  <c r="B28" i="6" s="1"/>
  <c r="T3" i="6"/>
  <c r="C28" i="6" s="1"/>
  <c r="P2" i="7"/>
  <c r="P6" i="6"/>
  <c r="P5" i="6"/>
  <c r="P4" i="6"/>
  <c r="B24" i="6" s="1"/>
  <c r="P3" i="6"/>
  <c r="C24" i="6" s="1"/>
  <c r="L2" i="7"/>
  <c r="L6" i="6"/>
  <c r="L5" i="6"/>
  <c r="L4" i="6"/>
  <c r="B20" i="6" s="1"/>
  <c r="L3" i="6"/>
  <c r="C20" i="6" s="1"/>
  <c r="H2" i="7"/>
  <c r="H6" i="6"/>
  <c r="H5" i="6"/>
  <c r="H4" i="6"/>
  <c r="B16" i="6" s="1"/>
  <c r="H3" i="6"/>
  <c r="C16" i="6" s="1"/>
  <c r="D2" i="7"/>
  <c r="D6" i="6"/>
  <c r="D5" i="6"/>
  <c r="D4" i="6"/>
  <c r="B12" i="6" s="1"/>
  <c r="D3" i="6"/>
  <c r="C12" i="6" s="1"/>
  <c r="U2" i="4"/>
  <c r="P2" i="4"/>
  <c r="L2" i="4"/>
  <c r="H2" i="4"/>
  <c r="D2" i="4"/>
  <c r="T3" i="4"/>
  <c r="T4" i="4" s="1"/>
  <c r="E5" i="4"/>
  <c r="M2" i="7"/>
  <c r="M6" i="6"/>
  <c r="M5" i="6"/>
  <c r="M3" i="6"/>
  <c r="C21" i="6" s="1"/>
  <c r="M4" i="6"/>
  <c r="B21" i="6" s="1"/>
  <c r="M2" i="4"/>
  <c r="U3" i="4"/>
  <c r="U4" i="4" s="1"/>
  <c r="B2" i="7"/>
  <c r="B5" i="6"/>
  <c r="B6" i="6"/>
  <c r="B4" i="6"/>
  <c r="B10" i="6" s="1"/>
  <c r="B3" i="6"/>
  <c r="C10" i="6" s="1"/>
  <c r="S2" i="7"/>
  <c r="S6" i="6"/>
  <c r="S5" i="6"/>
  <c r="S4" i="6"/>
  <c r="B27" i="6" s="1"/>
  <c r="S3" i="6"/>
  <c r="C27" i="6" s="1"/>
  <c r="O2" i="7"/>
  <c r="O6" i="6"/>
  <c r="O5" i="6"/>
  <c r="O4" i="6"/>
  <c r="B23" i="6" s="1"/>
  <c r="O3" i="6"/>
  <c r="C23" i="6" s="1"/>
  <c r="K2" i="7"/>
  <c r="K6" i="6"/>
  <c r="K5" i="6"/>
  <c r="K4" i="6"/>
  <c r="B19" i="6" s="1"/>
  <c r="K3" i="6"/>
  <c r="C19" i="6" s="1"/>
  <c r="G2" i="7"/>
  <c r="G6" i="6"/>
  <c r="G5" i="6"/>
  <c r="G4" i="6"/>
  <c r="B15" i="6" s="1"/>
  <c r="G3" i="6"/>
  <c r="C15" i="6" s="1"/>
  <c r="C2" i="7"/>
  <c r="C6" i="6"/>
  <c r="C5" i="6"/>
  <c r="C4" i="6"/>
  <c r="B11" i="6" s="1"/>
  <c r="C3" i="6"/>
  <c r="C11" i="6" s="1"/>
  <c r="T2" i="4"/>
  <c r="O2" i="4"/>
  <c r="K2" i="4"/>
  <c r="G2" i="4"/>
  <c r="C2" i="4"/>
  <c r="S3" i="4"/>
  <c r="S4" i="4" s="1"/>
  <c r="P5" i="4"/>
  <c r="L5" i="4"/>
  <c r="H5" i="4"/>
  <c r="D5" i="4"/>
  <c r="U2" i="7"/>
  <c r="U6" i="6"/>
  <c r="U5" i="6"/>
  <c r="U4" i="6"/>
  <c r="B29" i="6" s="1"/>
  <c r="U3" i="6"/>
  <c r="C29" i="6" s="1"/>
  <c r="I2" i="7"/>
  <c r="I6" i="6"/>
  <c r="I5" i="6"/>
  <c r="I3" i="6"/>
  <c r="C17" i="6" s="1"/>
  <c r="I4" i="6"/>
  <c r="B17" i="6" s="1"/>
  <c r="Q5" i="4"/>
  <c r="V4" i="6"/>
  <c r="V5" i="6"/>
  <c r="V6" i="6"/>
  <c r="V3" i="6"/>
  <c r="R2" i="7"/>
  <c r="R6" i="6"/>
  <c r="R5" i="6"/>
  <c r="R4" i="6"/>
  <c r="B26" i="6" s="1"/>
  <c r="R3" i="6"/>
  <c r="C26" i="6" s="1"/>
  <c r="N2" i="7"/>
  <c r="N6" i="6"/>
  <c r="N5" i="6"/>
  <c r="N4" i="6"/>
  <c r="B22" i="6" s="1"/>
  <c r="N3" i="6"/>
  <c r="C22" i="6" s="1"/>
  <c r="J2" i="7"/>
  <c r="J6" i="6"/>
  <c r="J5" i="6"/>
  <c r="J3" i="6"/>
  <c r="C18" i="6" s="1"/>
  <c r="J4" i="6"/>
  <c r="B18" i="6" s="1"/>
  <c r="F2" i="7"/>
  <c r="F5" i="6"/>
  <c r="F6" i="6"/>
  <c r="F3" i="6"/>
  <c r="C14" i="6" s="1"/>
  <c r="F4" i="6"/>
  <c r="B14" i="6" s="1"/>
  <c r="B2" i="4"/>
  <c r="S2" i="4"/>
  <c r="N2" i="4"/>
  <c r="J2" i="4"/>
  <c r="F2" i="4"/>
  <c r="B3" i="4"/>
  <c r="B4" i="4" s="1"/>
  <c r="R3" i="4"/>
  <c r="R4" i="4" s="1"/>
  <c r="M3" i="4"/>
  <c r="M4" i="4" s="1"/>
  <c r="I3" i="4"/>
  <c r="I4" i="4" s="1"/>
  <c r="E3" i="4"/>
  <c r="E4" i="4" s="1"/>
  <c r="T5" i="4"/>
  <c r="O5" i="4"/>
  <c r="K5" i="4"/>
  <c r="G5" i="4"/>
  <c r="C5" i="4"/>
  <c r="Q2" i="7"/>
  <c r="Q6" i="6"/>
  <c r="Q5" i="6"/>
  <c r="Q4" i="6"/>
  <c r="B25" i="6" s="1"/>
  <c r="Q3" i="6"/>
  <c r="C25" i="6" s="1"/>
  <c r="Q2" i="4"/>
  <c r="V28" i="7" l="1"/>
  <c r="F28" i="8"/>
  <c r="B27" i="10"/>
  <c r="B28" i="8"/>
  <c r="F45" i="8"/>
  <c r="B44" i="10"/>
  <c r="B45" i="8"/>
  <c r="B37" i="10"/>
  <c r="F38" i="8"/>
  <c r="B38" i="8"/>
  <c r="B28" i="10"/>
  <c r="F29" i="8"/>
  <c r="B29" i="8"/>
  <c r="B45" i="10"/>
  <c r="F46" i="8"/>
  <c r="B46" i="8"/>
  <c r="F39" i="8"/>
  <c r="B38" i="10"/>
  <c r="B39" i="8"/>
  <c r="F32" i="8"/>
  <c r="B31" i="10"/>
  <c r="B32" i="8"/>
  <c r="B32" i="10"/>
  <c r="F33" i="8"/>
  <c r="B33" i="8"/>
  <c r="B43" i="10"/>
  <c r="F44" i="8"/>
  <c r="B44" i="8"/>
  <c r="F36" i="8"/>
  <c r="B35" i="10"/>
  <c r="B36" i="8"/>
  <c r="F37" i="8"/>
  <c r="B36" i="10"/>
  <c r="B37" i="8"/>
  <c r="F30" i="8"/>
  <c r="B29" i="10"/>
  <c r="B30" i="8"/>
  <c r="F35" i="8"/>
  <c r="B34" i="10"/>
  <c r="B35" i="8"/>
  <c r="B30" i="10"/>
  <c r="F31" i="8"/>
  <c r="B31" i="8"/>
  <c r="F27" i="8"/>
  <c r="B26" i="10"/>
  <c r="B27" i="8"/>
  <c r="F40" i="8"/>
  <c r="B39" i="10"/>
  <c r="B40" i="8"/>
  <c r="B40" i="10"/>
  <c r="F41" i="8"/>
  <c r="B41" i="8"/>
  <c r="F34" i="8"/>
  <c r="B33" i="10"/>
  <c r="B34" i="8"/>
  <c r="B41" i="10"/>
  <c r="F42" i="8"/>
  <c r="G27" i="8" s="1" a="1"/>
  <c r="B42" i="8"/>
  <c r="C27" i="8" s="1" a="1"/>
  <c r="B5" i="7" a="1"/>
  <c r="C48" i="10" l="1"/>
  <c r="C50" i="10" s="1"/>
  <c r="C27" i="8"/>
  <c r="C29" i="8"/>
  <c r="C38" i="8"/>
  <c r="C41" i="8"/>
  <c r="C40" i="8"/>
  <c r="C39" i="8"/>
  <c r="C28" i="8"/>
  <c r="C34" i="8"/>
  <c r="C37" i="8"/>
  <c r="C36" i="8"/>
  <c r="C35" i="8"/>
  <c r="C46" i="8"/>
  <c r="C30" i="8"/>
  <c r="C33" i="8"/>
  <c r="C32" i="8"/>
  <c r="C31" i="8"/>
  <c r="C42" i="8"/>
  <c r="C45" i="8"/>
  <c r="C44" i="8"/>
  <c r="C43" i="8"/>
  <c r="G27" i="8"/>
  <c r="G38" i="8"/>
  <c r="G43" i="8"/>
  <c r="G28" i="8"/>
  <c r="G46" i="8"/>
  <c r="G30" i="8"/>
  <c r="G33" i="8"/>
  <c r="G36" i="8"/>
  <c r="G35" i="8"/>
  <c r="G44" i="8"/>
  <c r="G37" i="8"/>
  <c r="G40" i="8"/>
  <c r="G42" i="8"/>
  <c r="G45" i="8"/>
  <c r="G29" i="8"/>
  <c r="G32" i="8"/>
  <c r="G31" i="8"/>
  <c r="G41" i="8"/>
  <c r="G34" i="8"/>
  <c r="G39" i="8"/>
  <c r="E5" i="7"/>
  <c r="R24" i="7"/>
  <c r="L23" i="7"/>
  <c r="E21" i="7"/>
  <c r="H18" i="7"/>
  <c r="L15" i="7"/>
  <c r="N12" i="7"/>
  <c r="E10" i="7"/>
  <c r="H7" i="7"/>
  <c r="U23" i="7"/>
  <c r="D22" i="7"/>
  <c r="H19" i="7"/>
  <c r="R16" i="7"/>
  <c r="U13" i="7"/>
  <c r="D11" i="7"/>
  <c r="M7" i="7"/>
  <c r="I23" i="7"/>
  <c r="H20" i="7"/>
  <c r="D17" i="7"/>
  <c r="T13" i="7"/>
  <c r="F9" i="7"/>
  <c r="F23" i="7"/>
  <c r="R20" i="7"/>
  <c r="U17" i="7"/>
  <c r="D15" i="7"/>
  <c r="H12" i="7"/>
  <c r="D9" i="7"/>
  <c r="L5" i="7"/>
  <c r="T22" i="7"/>
  <c r="I20" i="7"/>
  <c r="E17" i="7"/>
  <c r="H14" i="7"/>
  <c r="L11" i="7"/>
  <c r="U8" i="7"/>
  <c r="R6" i="7"/>
  <c r="J24" i="7"/>
  <c r="M22" i="7"/>
  <c r="N20" i="7"/>
  <c r="E18" i="7"/>
  <c r="N15" i="7"/>
  <c r="E13" i="7"/>
  <c r="B11" i="7"/>
  <c r="T8" i="7"/>
  <c r="D7" i="7"/>
  <c r="T24" i="7"/>
  <c r="R23" i="7"/>
  <c r="Q22" i="7"/>
  <c r="N21" i="7"/>
  <c r="E20" i="7"/>
  <c r="Q18" i="7"/>
  <c r="I17" i="7"/>
  <c r="T15" i="7"/>
  <c r="L14" i="7"/>
  <c r="D13" i="7"/>
  <c r="N11" i="7"/>
  <c r="F10" i="7"/>
  <c r="R8" i="7"/>
  <c r="I7" i="7"/>
  <c r="P5" i="7"/>
  <c r="O5" i="7"/>
  <c r="K6" i="7"/>
  <c r="G7" i="7"/>
  <c r="C8" i="7"/>
  <c r="S8" i="7"/>
  <c r="O9" i="7"/>
  <c r="K10" i="7"/>
  <c r="G11" i="7"/>
  <c r="C12" i="7"/>
  <c r="S12" i="7"/>
  <c r="O13" i="7"/>
  <c r="K14" i="7"/>
  <c r="G15" i="7"/>
  <c r="C16" i="7"/>
  <c r="S16" i="7"/>
  <c r="O17" i="7"/>
  <c r="K18" i="7"/>
  <c r="G19" i="7"/>
  <c r="C20" i="7"/>
  <c r="S20" i="7"/>
  <c r="O21" i="7"/>
  <c r="M5" i="7"/>
  <c r="N6" i="7"/>
  <c r="P7" i="7"/>
  <c r="Q8" i="7"/>
  <c r="R9" i="7"/>
  <c r="T10" i="7"/>
  <c r="M24" i="7"/>
  <c r="U22" i="7"/>
  <c r="J20" i="7"/>
  <c r="N17" i="7"/>
  <c r="Q14" i="7"/>
  <c r="T11" i="7"/>
  <c r="J9" i="7"/>
  <c r="M6" i="7"/>
  <c r="P23" i="7"/>
  <c r="J21" i="7"/>
  <c r="U18" i="7"/>
  <c r="D16" i="7"/>
  <c r="F13" i="7"/>
  <c r="J10" i="7"/>
  <c r="U5" i="7"/>
  <c r="R22" i="7"/>
  <c r="M19" i="7"/>
  <c r="B16" i="7"/>
  <c r="R12" i="7"/>
  <c r="R7" i="7"/>
  <c r="P22" i="7"/>
  <c r="D20" i="7"/>
  <c r="F17" i="7"/>
  <c r="J14" i="7"/>
  <c r="M11" i="7"/>
  <c r="I8" i="7"/>
  <c r="Q24" i="7"/>
  <c r="I22" i="7"/>
  <c r="N19" i="7"/>
  <c r="J16" i="7"/>
  <c r="N13" i="7"/>
  <c r="Q10" i="7"/>
  <c r="N8" i="7"/>
  <c r="L6" i="7"/>
  <c r="E24" i="7"/>
  <c r="H22" i="7"/>
  <c r="T19" i="7"/>
  <c r="J17" i="7"/>
  <c r="U14" i="7"/>
  <c r="J12" i="7"/>
  <c r="H10" i="7"/>
  <c r="M8" i="7"/>
  <c r="Q6" i="7"/>
  <c r="N24" i="7"/>
  <c r="M23" i="7"/>
  <c r="L22" i="7"/>
  <c r="F21" i="7"/>
  <c r="R19" i="7"/>
  <c r="J18" i="7"/>
  <c r="U16" i="7"/>
  <c r="M15" i="7"/>
  <c r="E14" i="7"/>
  <c r="P12" i="7"/>
  <c r="H11" i="7"/>
  <c r="T9" i="7"/>
  <c r="J8" i="7"/>
  <c r="B7" i="7"/>
  <c r="C5" i="7"/>
  <c r="S5" i="7"/>
  <c r="O6" i="7"/>
  <c r="K7" i="7"/>
  <c r="G8" i="7"/>
  <c r="C9" i="7"/>
  <c r="S9" i="7"/>
  <c r="O10" i="7"/>
  <c r="K11" i="7"/>
  <c r="G12" i="7"/>
  <c r="C13" i="7"/>
  <c r="S13" i="7"/>
  <c r="O14" i="7"/>
  <c r="K15" i="7"/>
  <c r="G16" i="7"/>
  <c r="C17" i="7"/>
  <c r="S17" i="7"/>
  <c r="O18" i="7"/>
  <c r="K19" i="7"/>
  <c r="G20" i="7"/>
  <c r="C21" i="7"/>
  <c r="S21" i="7"/>
  <c r="R5" i="7"/>
  <c r="T6" i="7"/>
  <c r="U7" i="7"/>
  <c r="B9" i="7"/>
  <c r="D10" i="7"/>
  <c r="E11" i="7"/>
  <c r="H24" i="7"/>
  <c r="Q19" i="7"/>
  <c r="B14" i="7"/>
  <c r="P8" i="7"/>
  <c r="E23" i="7"/>
  <c r="F18" i="7"/>
  <c r="M12" i="7"/>
  <c r="P24" i="7"/>
  <c r="R18" i="7"/>
  <c r="Q11" i="7"/>
  <c r="E22" i="7"/>
  <c r="M16" i="7"/>
  <c r="L10" i="7"/>
  <c r="F24" i="7"/>
  <c r="M18" i="7"/>
  <c r="T12" i="7"/>
  <c r="T7" i="7"/>
  <c r="N23" i="7"/>
  <c r="F19" i="7"/>
  <c r="F14" i="7"/>
  <c r="U9" i="7"/>
  <c r="H6" i="7"/>
  <c r="H23" i="7"/>
  <c r="T20" i="7"/>
  <c r="B18" i="7"/>
  <c r="F15" i="7"/>
  <c r="I12" i="7"/>
  <c r="L9" i="7"/>
  <c r="P6" i="7"/>
  <c r="C6" i="7"/>
  <c r="O7" i="7"/>
  <c r="G9" i="7"/>
  <c r="S10" i="7"/>
  <c r="K12" i="7"/>
  <c r="C14" i="7"/>
  <c r="O15" i="7"/>
  <c r="G17" i="7"/>
  <c r="S18" i="7"/>
  <c r="K20" i="7"/>
  <c r="B5" i="7"/>
  <c r="E7" i="7"/>
  <c r="H9" i="7"/>
  <c r="J11" i="7"/>
  <c r="L12" i="7"/>
  <c r="M13" i="7"/>
  <c r="N14" i="7"/>
  <c r="P15" i="7"/>
  <c r="Q16" i="7"/>
  <c r="R17" i="7"/>
  <c r="T18" i="7"/>
  <c r="U19" i="7"/>
  <c r="B21" i="7"/>
  <c r="C22" i="7"/>
  <c r="S22" i="7"/>
  <c r="O23" i="7"/>
  <c r="K24" i="7"/>
  <c r="I5" i="7"/>
  <c r="J6" i="7"/>
  <c r="T17" i="7"/>
  <c r="L18" i="7"/>
  <c r="L13" i="7"/>
  <c r="F5" i="7"/>
  <c r="B23" i="7"/>
  <c r="M20" i="7"/>
  <c r="R14" i="7"/>
  <c r="B12" i="7"/>
  <c r="E9" i="7"/>
  <c r="F6" i="7"/>
  <c r="S7" i="7"/>
  <c r="K9" i="7"/>
  <c r="C11" i="7"/>
  <c r="O12" i="7"/>
  <c r="S15" i="7"/>
  <c r="K17" i="7"/>
  <c r="O20" i="7"/>
  <c r="J7" i="7"/>
  <c r="P11" i="7"/>
  <c r="R13" i="7"/>
  <c r="U15" i="7"/>
  <c r="B17" i="7"/>
  <c r="F20" i="7"/>
  <c r="G22" i="7"/>
  <c r="S23" i="7"/>
  <c r="N5" i="7"/>
  <c r="J22" i="7"/>
  <c r="F11" i="7"/>
  <c r="P20" i="7"/>
  <c r="I9" i="7"/>
  <c r="H15" i="7"/>
  <c r="I19" i="7"/>
  <c r="N7" i="7"/>
  <c r="Q15" i="7"/>
  <c r="J5" i="7"/>
  <c r="P16" i="7"/>
  <c r="E8" i="7"/>
  <c r="F22" i="7"/>
  <c r="N16" i="7"/>
  <c r="U10" i="7"/>
  <c r="G5" i="7"/>
  <c r="K8" i="7"/>
  <c r="O11" i="7"/>
  <c r="S14" i="7"/>
  <c r="C18" i="7"/>
  <c r="G21" i="7"/>
  <c r="I10" i="7"/>
  <c r="F16" i="7"/>
  <c r="I18" i="7"/>
  <c r="L20" i="7"/>
  <c r="K22" i="7"/>
  <c r="C24" i="7"/>
  <c r="T5" i="7"/>
  <c r="E16" i="7"/>
  <c r="B20" i="7"/>
  <c r="H8" i="7"/>
  <c r="M14" i="7"/>
  <c r="P18" i="7"/>
  <c r="U6" i="7"/>
  <c r="B15" i="7"/>
  <c r="U24" i="7"/>
  <c r="I16" i="7"/>
  <c r="L7" i="7"/>
  <c r="U21" i="7"/>
  <c r="H16" i="7"/>
  <c r="M10" i="7"/>
  <c r="K5" i="7"/>
  <c r="O8" i="7"/>
  <c r="S11" i="7"/>
  <c r="C15" i="7"/>
  <c r="G18" i="7"/>
  <c r="K21" i="7"/>
  <c r="L8" i="7"/>
  <c r="F12" i="7"/>
  <c r="I14" i="7"/>
  <c r="L16" i="7"/>
  <c r="B24" i="7"/>
  <c r="B19" i="7"/>
  <c r="I13" i="7"/>
  <c r="B8" i="7"/>
  <c r="N22" i="7"/>
  <c r="L17" i="7"/>
  <c r="R11" i="7"/>
  <c r="T23" i="7"/>
  <c r="Q17" i="7"/>
  <c r="P10" i="7"/>
  <c r="L21" i="7"/>
  <c r="R15" i="7"/>
  <c r="Q9" i="7"/>
  <c r="J23" i="7"/>
  <c r="E12" i="7"/>
  <c r="F7" i="7"/>
  <c r="D23" i="7"/>
  <c r="N9" i="7"/>
  <c r="P17" i="7"/>
  <c r="G6" i="7"/>
  <c r="G14" i="7"/>
  <c r="C19" i="7"/>
  <c r="H5" i="7"/>
  <c r="M9" i="7"/>
  <c r="Q12" i="7"/>
  <c r="T14" i="7"/>
  <c r="D18" i="7"/>
  <c r="E19" i="7"/>
  <c r="H21" i="7"/>
  <c r="C23" i="7"/>
  <c r="O24" i="7"/>
  <c r="T16" i="7"/>
  <c r="B6" i="7"/>
  <c r="I15" i="7"/>
  <c r="B22" i="7"/>
  <c r="Q5" i="7"/>
  <c r="P13" i="7"/>
  <c r="Q21" i="7"/>
  <c r="B10" i="7"/>
  <c r="P21" i="7"/>
  <c r="D12" i="7"/>
  <c r="I24" i="7"/>
  <c r="L19" i="7"/>
  <c r="Q13" i="7"/>
  <c r="D8" i="7"/>
  <c r="S6" i="7"/>
  <c r="C10" i="7"/>
  <c r="G13" i="7"/>
  <c r="K16" i="7"/>
  <c r="O19" i="7"/>
  <c r="D6" i="7"/>
  <c r="F8" i="7"/>
  <c r="U11" i="7"/>
  <c r="B13" i="7"/>
  <c r="D14" i="7"/>
  <c r="E15" i="7"/>
  <c r="H17" i="7"/>
  <c r="J19" i="7"/>
  <c r="M21" i="7"/>
  <c r="G23" i="7"/>
  <c r="S24" i="7"/>
  <c r="T21" i="7"/>
  <c r="R10" i="7"/>
  <c r="L24" i="7"/>
  <c r="P14" i="7"/>
  <c r="I21" i="7"/>
  <c r="Q23" i="7"/>
  <c r="U12" i="7"/>
  <c r="D21" i="7"/>
  <c r="P9" i="7"/>
  <c r="U20" i="7"/>
  <c r="I11" i="7"/>
  <c r="D24" i="7"/>
  <c r="D19" i="7"/>
  <c r="J13" i="7"/>
  <c r="Q7" i="7"/>
  <c r="C7" i="7"/>
  <c r="G10" i="7"/>
  <c r="K13" i="7"/>
  <c r="O16" i="7"/>
  <c r="S19" i="7"/>
  <c r="I6" i="7"/>
  <c r="N10" i="7"/>
  <c r="H13" i="7"/>
  <c r="J15" i="7"/>
  <c r="M17" i="7"/>
  <c r="R21" i="7"/>
  <c r="D5" i="7"/>
  <c r="N18" i="7"/>
  <c r="O22" i="7"/>
  <c r="E6" i="7"/>
  <c r="P19" i="7"/>
  <c r="K23" i="7"/>
  <c r="Q20" i="7"/>
  <c r="G24" i="7"/>
  <c r="W26" i="7" l="1" a="1"/>
  <c r="W26" i="7" s="1"/>
  <c r="G49" i="8" a="1"/>
  <c r="G49" i="8" s="1"/>
  <c r="G50" i="8" s="1"/>
  <c r="G48" i="8"/>
  <c r="G47" i="8"/>
  <c r="D52" i="8" a="1"/>
  <c r="D52" i="8" s="1"/>
  <c r="C49" i="8" a="1"/>
  <c r="C49" i="8" s="1"/>
  <c r="C47" i="8"/>
  <c r="C48" i="8"/>
  <c r="D55" i="8" l="1"/>
  <c r="D60" i="8" s="1"/>
  <c r="D56" i="8"/>
  <c r="D57" i="8" s="1"/>
  <c r="C60" i="8" s="1"/>
  <c r="C50" i="8"/>
  <c r="D53" i="8" s="1"/>
</calcChain>
</file>

<file path=xl/sharedStrings.xml><?xml version="1.0" encoding="utf-8"?>
<sst xmlns="http://schemas.openxmlformats.org/spreadsheetml/2006/main" count="598" uniqueCount="102">
  <si>
    <t>CTG</t>
  </si>
  <si>
    <t>VCB</t>
  </si>
  <si>
    <t>NLG</t>
  </si>
  <si>
    <t>KDH</t>
  </si>
  <si>
    <t>MSN</t>
  </si>
  <si>
    <t>VNM</t>
  </si>
  <si>
    <t>HPG</t>
  </si>
  <si>
    <t>HSG</t>
  </si>
  <si>
    <t>NKG</t>
  </si>
  <si>
    <t>BID</t>
  </si>
  <si>
    <t>DXG</t>
  </si>
  <si>
    <t>SBT</t>
  </si>
  <si>
    <t>Ngày</t>
  </si>
  <si>
    <t>KBC</t>
  </si>
  <si>
    <t>PVD</t>
  </si>
  <si>
    <t>DCM</t>
  </si>
  <si>
    <t>FPT</t>
  </si>
  <si>
    <t>MWG</t>
  </si>
  <si>
    <t>PNJ</t>
  </si>
  <si>
    <t>GMD</t>
  </si>
  <si>
    <t>VNINDEX</t>
  </si>
  <si>
    <t>REE</t>
  </si>
  <si>
    <t>TSSL trung bình</t>
  </si>
  <si>
    <t>Phương sai</t>
  </si>
  <si>
    <t>Độ lệch chuẩn</t>
  </si>
  <si>
    <t>Beta</t>
  </si>
  <si>
    <t>MA TRẬN HỆ SỐ TƯƠNG QUAN</t>
  </si>
  <si>
    <t>Cách 1</t>
  </si>
  <si>
    <t>Cách 2</t>
  </si>
  <si>
    <t>Dùng hàm MMULT</t>
  </si>
  <si>
    <t>Dùng Covariance / Data analysis</t>
  </si>
  <si>
    <t>MA TRẬN PHƯƠNG SAI - HIỆP PHƯƠNG SAI</t>
  </si>
  <si>
    <t>Alpha</t>
  </si>
  <si>
    <t>R-squared</t>
  </si>
  <si>
    <t>MÔ HÌNH CAPM</t>
  </si>
  <si>
    <t>Mã chứng khoán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</si>
  <si>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</si>
  <si>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</si>
  <si>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</si>
  <si>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</si>
  <si>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</si>
  <si>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</si>
  <si>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</si>
  <si>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</si>
  <si>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</si>
  <si>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</si>
  <si>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</si>
  <si>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</si>
  <si>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</si>
  <si>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</si>
  <si>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</si>
  <si>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</si>
  <si>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</si>
  <si>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</si>
  <si>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</si>
  <si>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</si>
  <si>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</si>
  <si>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</si>
  <si>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</si>
  <si>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</si>
  <si>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Tỷ trọng đầu tư vào mỗi chứng khoán</t>
  </si>
  <si>
    <t>Tỷ suất sinh lợi trung bình</t>
  </si>
  <si>
    <t>Điều kiện ràng buộc</t>
  </si>
  <si>
    <t>Tỷ suất sinh lợi kỳ vọng</t>
  </si>
  <si>
    <t>Tổng</t>
  </si>
  <si>
    <t>Phương sai danh mục</t>
  </si>
  <si>
    <t>Các điều kiện ràng buộc như sau:</t>
  </si>
  <si>
    <t>(1) Danh mục đầu tư hết</t>
  </si>
  <si>
    <t>(3) Thị trường không cho bán khống chứng khoán</t>
  </si>
  <si>
    <t>&gt;=2%</t>
  </si>
  <si>
    <t>(2) TSSL của danh mục tối thiểu là 2%</t>
  </si>
  <si>
    <t xml:space="preserve">Hằng số c1 = </t>
  </si>
  <si>
    <t>Tỷ trọng đầu tư</t>
  </si>
  <si>
    <t>Hằng số c2 =</t>
  </si>
  <si>
    <t>E(x)</t>
  </si>
  <si>
    <t>Var(x)</t>
  </si>
  <si>
    <t>Sigma(x)</t>
  </si>
  <si>
    <t>E(y)</t>
  </si>
  <si>
    <t>Var(y)</t>
  </si>
  <si>
    <t>Sigma(y)</t>
  </si>
  <si>
    <t>DANH MỤC X</t>
  </si>
  <si>
    <t>DANH MỤC Y</t>
  </si>
  <si>
    <t>DANH MỤC KẾT HỢP XY</t>
  </si>
  <si>
    <t>Cov(x,y)</t>
  </si>
  <si>
    <t>Corr(x,y)</t>
  </si>
  <si>
    <t>Tỷ trọng đầu tư vào danh mục X</t>
  </si>
  <si>
    <t>Tỷ trọng đầu tư vào DM X</t>
  </si>
  <si>
    <t>Độ lệch chuẩn DM XY</t>
  </si>
  <si>
    <t>TSSL DM XY</t>
  </si>
  <si>
    <t>TSSL của danh mục</t>
  </si>
  <si>
    <r>
      <t>E(r</t>
    </r>
    <r>
      <rPr>
        <b/>
        <vertAlign val="subscript"/>
        <sz val="11"/>
        <color theme="1"/>
        <rFont val="Times  New Roman"/>
      </rPr>
      <t>p</t>
    </r>
    <r>
      <rPr>
        <b/>
        <sz val="11"/>
        <color theme="1"/>
        <rFont val="Times  New Roman"/>
      </rPr>
      <t>)</t>
    </r>
  </si>
  <si>
    <r>
      <rPr>
        <b/>
        <sz val="11"/>
        <color theme="1"/>
        <rFont val="Symbol"/>
        <family val="1"/>
        <charset val="2"/>
      </rPr>
      <t>s</t>
    </r>
    <r>
      <rPr>
        <b/>
        <vertAlign val="subscript"/>
        <sz val="11"/>
        <color theme="1"/>
        <rFont val="Arial"/>
        <family val="2"/>
      </rPr>
      <t>p</t>
    </r>
    <r>
      <rPr>
        <b/>
        <vertAlign val="superscript"/>
        <sz val="11"/>
        <color theme="1"/>
        <rFont val="Arial"/>
        <family val="2"/>
      </rPr>
      <t>2</t>
    </r>
  </si>
  <si>
    <r>
      <rPr>
        <b/>
        <sz val="11"/>
        <color theme="1"/>
        <rFont val="Symbol"/>
        <family val="1"/>
        <charset val="2"/>
      </rPr>
      <t>s</t>
    </r>
    <r>
      <rPr>
        <b/>
        <vertAlign val="subscript"/>
        <sz val="11"/>
        <color theme="1"/>
        <rFont val="Arial"/>
        <family val="2"/>
      </rPr>
      <t>p</t>
    </r>
  </si>
  <si>
    <t>Hằng số c</t>
  </si>
  <si>
    <t>Theta</t>
  </si>
  <si>
    <t>Độ lệch chuẩn của danh mục</t>
  </si>
  <si>
    <t>KIỂM ĐỊNH MÔ HÌNH CAPM</t>
  </si>
  <si>
    <t>?</t>
  </si>
  <si>
    <t>&lt;=40%</t>
  </si>
  <si>
    <t>(4) % Vốn đầu tư vào mỗi chứng khoán không được vượt quá 40%</t>
  </si>
  <si>
    <t>DANH MỤC ĐẦU TƯ HIỆU QUẢ KHÔNG BÁN KHỐNG</t>
  </si>
  <si>
    <t>DANH MỤC TỐI ƯU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</si>
</sst>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\-#,##0\ "/>
    <numFmt numFmtId="165" formatCode="#,##0.00_ ;\-#,##0.00\ "/>
    <numFmt numFmtId="166" formatCode="0.0000"/>
    <numFmt numFmtId="167" formatCode="0.000000"/>
    <numFmt numFmtId="168" formatCode="0.00000"/>
  </numFmts>
  <fonts count="3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4"/>
      <color theme="0"/>
      <name val="Times New Roman"/>
      <family val="1"/>
    </font>
    <font>
      <b/>
      <sz val="11"/>
      <color theme="0"/>
      <name val="Times  New Roman"/>
    </font>
    <font>
      <sz val="11"/>
      <color theme="1"/>
      <name val="Times  New Roman"/>
    </font>
    <font>
      <b/>
      <i/>
      <sz val="11"/>
      <color theme="1"/>
      <name val="Times  New Roman"/>
    </font>
    <font>
      <b/>
      <sz val="12"/>
      <color theme="0"/>
      <name val="Times  New Roman"/>
    </font>
    <font>
      <b/>
      <sz val="14"/>
      <color theme="0"/>
      <name val="Times  New Roman"/>
    </font>
    <font>
      <i/>
      <sz val="11"/>
      <color theme="1"/>
      <name val="Times  New Roman"/>
    </font>
    <font>
      <b/>
      <sz val="11"/>
      <color theme="1"/>
      <name val="Times  New Roman"/>
    </font>
    <font>
      <b/>
      <sz val="11"/>
      <name val="Times  New Roman"/>
    </font>
    <font>
      <b/>
      <vertAlign val="subscript"/>
      <sz val="11"/>
      <color theme="1"/>
      <name val="Times  New Roman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Symbol"/>
      <family val="1"/>
      <charset val="2"/>
    </font>
    <font>
      <b/>
      <vertAlign val="sub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11"/>
      <color theme="0"/>
      <name val="Times  New Roman"/>
    </font>
    <font>
      <sz val="14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i/>
      <sz val="12"/>
      <color theme="0"/>
      <name val="Times New Roman"/>
      <family val="1"/>
    </font>
    <font>
      <b/>
      <sz val="13"/>
      <color theme="0"/>
      <name val="Times New Roman"/>
      <family val="1"/>
    </font>
    <font>
      <b/>
      <i/>
      <sz val="11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250">
    <xf numFmtId="0" fontId="0" fillId="0" borderId="0" xfId="0"/>
    <xf numFmtId="0" fontId="0" fillId="3" borderId="0" xfId="0" applyFill="1"/>
    <xf numFmtId="0" fontId="5" fillId="4" borderId="12" xfId="0" applyFont="1" applyFill="1" applyBorder="1"/>
    <xf numFmtId="0" fontId="5" fillId="4" borderId="0" xfId="0" applyFont="1" applyFill="1" applyBorder="1"/>
    <xf numFmtId="0" fontId="5" fillId="4" borderId="7" xfId="0" applyFont="1" applyFill="1" applyBorder="1"/>
    <xf numFmtId="0" fontId="5" fillId="4" borderId="2" xfId="0" applyFont="1" applyFill="1" applyBorder="1"/>
    <xf numFmtId="0" fontId="5" fillId="4" borderId="9" xfId="0" applyFont="1" applyFill="1" applyBorder="1"/>
    <xf numFmtId="0" fontId="5" fillId="3" borderId="0" xfId="0" applyFont="1" applyFill="1"/>
    <xf numFmtId="0" fontId="9" fillId="4" borderId="3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10" fontId="5" fillId="4" borderId="0" xfId="0" applyNumberFormat="1" applyFont="1" applyFill="1" applyBorder="1"/>
    <xf numFmtId="10" fontId="5" fillId="4" borderId="7" xfId="0" applyNumberFormat="1" applyFont="1" applyFill="1" applyBorder="1"/>
    <xf numFmtId="2" fontId="5" fillId="4" borderId="0" xfId="0" applyNumberFormat="1" applyFont="1" applyFill="1" applyBorder="1"/>
    <xf numFmtId="2" fontId="5" fillId="4" borderId="7" xfId="0" applyNumberFormat="1" applyFont="1" applyFill="1" applyBorder="1"/>
    <xf numFmtId="166" fontId="5" fillId="4" borderId="0" xfId="0" applyNumberFormat="1" applyFont="1" applyFill="1" applyBorder="1"/>
    <xf numFmtId="166" fontId="5" fillId="4" borderId="7" xfId="0" applyNumberFormat="1" applyFont="1" applyFill="1" applyBorder="1"/>
    <xf numFmtId="2" fontId="5" fillId="4" borderId="2" xfId="1" applyNumberFormat="1" applyFont="1" applyFill="1" applyBorder="1"/>
    <xf numFmtId="2" fontId="5" fillId="4" borderId="9" xfId="1" applyNumberFormat="1" applyFont="1" applyFill="1" applyBorder="1"/>
    <xf numFmtId="0" fontId="3" fillId="5" borderId="17" xfId="0" applyFont="1" applyFill="1" applyBorder="1" applyAlignment="1">
      <alignment horizontal="center"/>
    </xf>
    <xf numFmtId="0" fontId="3" fillId="5" borderId="17" xfId="2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0" fillId="5" borderId="10" xfId="0" applyFont="1" applyFill="1" applyBorder="1"/>
    <xf numFmtId="0" fontId="10" fillId="5" borderId="11" xfId="0" applyFont="1" applyFill="1" applyBorder="1"/>
    <xf numFmtId="167" fontId="5" fillId="4" borderId="0" xfId="0" applyNumberFormat="1" applyFont="1" applyFill="1" applyBorder="1"/>
    <xf numFmtId="0" fontId="13" fillId="4" borderId="12" xfId="0" applyFont="1" applyFill="1" applyBorder="1"/>
    <xf numFmtId="0" fontId="14" fillId="4" borderId="3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3" fillId="4" borderId="0" xfId="0" applyFont="1" applyFill="1" applyBorder="1"/>
    <xf numFmtId="0" fontId="13" fillId="4" borderId="7" xfId="0" applyFont="1" applyFill="1" applyBorder="1"/>
    <xf numFmtId="0" fontId="14" fillId="4" borderId="11" xfId="0" applyFont="1" applyFill="1" applyBorder="1" applyAlignment="1">
      <alignment horizontal="center"/>
    </xf>
    <xf numFmtId="0" fontId="13" fillId="4" borderId="2" xfId="0" applyFont="1" applyFill="1" applyBorder="1"/>
    <xf numFmtId="0" fontId="13" fillId="4" borderId="9" xfId="0" applyFont="1" applyFill="1" applyBorder="1"/>
    <xf numFmtId="0" fontId="13" fillId="3" borderId="0" xfId="0" applyFont="1" applyFill="1"/>
    <xf numFmtId="10" fontId="13" fillId="3" borderId="0" xfId="1" applyNumberFormat="1" applyFont="1" applyFill="1" applyBorder="1"/>
    <xf numFmtId="10" fontId="13" fillId="3" borderId="7" xfId="1" applyNumberFormat="1" applyFont="1" applyFill="1" applyBorder="1"/>
    <xf numFmtId="10" fontId="13" fillId="3" borderId="2" xfId="1" applyNumberFormat="1" applyFont="1" applyFill="1" applyBorder="1"/>
    <xf numFmtId="10" fontId="13" fillId="3" borderId="9" xfId="1" applyNumberFormat="1" applyFont="1" applyFill="1" applyBorder="1"/>
    <xf numFmtId="0" fontId="14" fillId="6" borderId="4" xfId="0" applyFont="1" applyFill="1" applyBorder="1" applyAlignment="1">
      <alignment horizontal="center"/>
    </xf>
    <xf numFmtId="10" fontId="13" fillId="4" borderId="7" xfId="1" applyNumberFormat="1" applyFont="1" applyFill="1" applyBorder="1"/>
    <xf numFmtId="0" fontId="13" fillId="7" borderId="1" xfId="0" applyFont="1" applyFill="1" applyBorder="1"/>
    <xf numFmtId="10" fontId="13" fillId="7" borderId="16" xfId="0" applyNumberFormat="1" applyFont="1" applyFill="1" applyBorder="1"/>
    <xf numFmtId="0" fontId="13" fillId="7" borderId="0" xfId="0" applyFont="1" applyFill="1" applyBorder="1"/>
    <xf numFmtId="10" fontId="13" fillId="7" borderId="7" xfId="1" applyNumberFormat="1" applyFont="1" applyFill="1" applyBorder="1"/>
    <xf numFmtId="0" fontId="13" fillId="7" borderId="2" xfId="0" applyFont="1" applyFill="1" applyBorder="1"/>
    <xf numFmtId="0" fontId="13" fillId="3" borderId="10" xfId="0" applyFont="1" applyFill="1" applyBorder="1"/>
    <xf numFmtId="0" fontId="13" fillId="3" borderId="11" xfId="0" applyFont="1" applyFill="1" applyBorder="1"/>
    <xf numFmtId="0" fontId="13" fillId="8" borderId="1" xfId="0" applyFont="1" applyFill="1" applyBorder="1"/>
    <xf numFmtId="10" fontId="13" fillId="8" borderId="16" xfId="0" applyNumberFormat="1" applyFont="1" applyFill="1" applyBorder="1"/>
    <xf numFmtId="0" fontId="13" fillId="8" borderId="0" xfId="0" applyFont="1" applyFill="1" applyBorder="1"/>
    <xf numFmtId="10" fontId="13" fillId="8" borderId="7" xfId="1" applyNumberFormat="1" applyFont="1" applyFill="1" applyBorder="1"/>
    <xf numFmtId="0" fontId="13" fillId="8" borderId="7" xfId="0" applyFont="1" applyFill="1" applyBorder="1"/>
    <xf numFmtId="0" fontId="18" fillId="6" borderId="20" xfId="0" applyFont="1" applyFill="1" applyBorder="1" applyAlignment="1">
      <alignment horizontal="left" vertical="center"/>
    </xf>
    <xf numFmtId="0" fontId="18" fillId="6" borderId="10" xfId="0" applyFont="1" applyFill="1" applyBorder="1"/>
    <xf numFmtId="2" fontId="13" fillId="3" borderId="10" xfId="0" applyNumberFormat="1" applyFont="1" applyFill="1" applyBorder="1"/>
    <xf numFmtId="0" fontId="12" fillId="5" borderId="19" xfId="0" applyFont="1" applyFill="1" applyBorder="1" applyAlignment="1">
      <alignment horizontal="center"/>
    </xf>
    <xf numFmtId="0" fontId="12" fillId="5" borderId="17" xfId="0" applyFont="1" applyFill="1" applyBorder="1"/>
    <xf numFmtId="0" fontId="12" fillId="5" borderId="18" xfId="0" applyFont="1" applyFill="1" applyBorder="1"/>
    <xf numFmtId="0" fontId="25" fillId="5" borderId="10" xfId="0" applyFont="1" applyFill="1" applyBorder="1" applyAlignment="1">
      <alignment horizontal="center" vertical="center"/>
    </xf>
    <xf numFmtId="0" fontId="25" fillId="5" borderId="11" xfId="0" applyFont="1" applyFill="1" applyBorder="1" applyAlignment="1">
      <alignment horizontal="center" vertical="center"/>
    </xf>
    <xf numFmtId="10" fontId="13" fillId="4" borderId="0" xfId="0" applyNumberFormat="1" applyFont="1" applyFill="1" applyBorder="1"/>
    <xf numFmtId="0" fontId="18" fillId="6" borderId="10" xfId="0" applyFont="1" applyFill="1" applyBorder="1" applyAlignment="1">
      <alignment horizontal="left"/>
    </xf>
    <xf numFmtId="0" fontId="18" fillId="6" borderId="11" xfId="0" applyFont="1" applyFill="1" applyBorder="1"/>
    <xf numFmtId="10" fontId="13" fillId="7" borderId="9" xfId="0" applyNumberFormat="1" applyFont="1" applyFill="1" applyBorder="1"/>
    <xf numFmtId="0" fontId="5" fillId="3" borderId="7" xfId="0" applyFont="1" applyFill="1" applyBorder="1"/>
    <xf numFmtId="0" fontId="10" fillId="2" borderId="8" xfId="0" applyFont="1" applyFill="1" applyBorder="1"/>
    <xf numFmtId="10" fontId="5" fillId="3" borderId="2" xfId="0" applyNumberFormat="1" applyFont="1" applyFill="1" applyBorder="1"/>
    <xf numFmtId="10" fontId="5" fillId="3" borderId="9" xfId="0" applyNumberFormat="1" applyFont="1" applyFill="1" applyBorder="1"/>
    <xf numFmtId="0" fontId="8" fillId="6" borderId="13" xfId="0" applyFont="1" applyFill="1" applyBorder="1"/>
    <xf numFmtId="0" fontId="8" fillId="6" borderId="15" xfId="0" applyFont="1" applyFill="1" applyBorder="1"/>
    <xf numFmtId="9" fontId="5" fillId="3" borderId="6" xfId="0" applyNumberFormat="1" applyFont="1" applyFill="1" applyBorder="1"/>
    <xf numFmtId="9" fontId="5" fillId="3" borderId="0" xfId="0" quotePrefix="1" applyNumberFormat="1" applyFont="1" applyFill="1" applyBorder="1" applyAlignment="1">
      <alignment horizontal="right"/>
    </xf>
    <xf numFmtId="0" fontId="5" fillId="3" borderId="9" xfId="0" quotePrefix="1" applyFont="1" applyFill="1" applyBorder="1" applyAlignment="1">
      <alignment horizontal="right"/>
    </xf>
    <xf numFmtId="10" fontId="5" fillId="9" borderId="8" xfId="1" applyNumberFormat="1" applyFont="1" applyFill="1" applyBorder="1"/>
    <xf numFmtId="168" fontId="5" fillId="9" borderId="7" xfId="0" applyNumberFormat="1" applyFont="1" applyFill="1" applyBorder="1"/>
    <xf numFmtId="0" fontId="5" fillId="3" borderId="6" xfId="0" applyFont="1" applyFill="1" applyBorder="1"/>
    <xf numFmtId="0" fontId="8" fillId="7" borderId="4" xfId="0" applyFont="1" applyFill="1" applyBorder="1"/>
    <xf numFmtId="0" fontId="5" fillId="7" borderId="1" xfId="0" applyFont="1" applyFill="1" applyBorder="1"/>
    <xf numFmtId="0" fontId="5" fillId="7" borderId="16" xfId="0" applyFont="1" applyFill="1" applyBorder="1"/>
    <xf numFmtId="0" fontId="5" fillId="7" borderId="6" xfId="0" applyFont="1" applyFill="1" applyBorder="1"/>
    <xf numFmtId="0" fontId="5" fillId="7" borderId="0" xfId="0" applyFont="1" applyFill="1" applyBorder="1"/>
    <xf numFmtId="0" fontId="5" fillId="7" borderId="7" xfId="0" applyFont="1" applyFill="1" applyBorder="1"/>
    <xf numFmtId="0" fontId="5" fillId="7" borderId="2" xfId="0" applyFont="1" applyFill="1" applyBorder="1"/>
    <xf numFmtId="0" fontId="5" fillId="7" borderId="9" xfId="0" applyFont="1" applyFill="1" applyBorder="1"/>
    <xf numFmtId="9" fontId="5" fillId="7" borderId="1" xfId="0" applyNumberFormat="1" applyFont="1" applyFill="1" applyBorder="1"/>
    <xf numFmtId="9" fontId="5" fillId="7" borderId="16" xfId="0" applyNumberFormat="1" applyFont="1" applyFill="1" applyBorder="1"/>
    <xf numFmtId="0" fontId="5" fillId="7" borderId="8" xfId="0" applyFont="1" applyFill="1" applyBorder="1" applyAlignment="1">
      <alignment wrapText="1"/>
    </xf>
    <xf numFmtId="0" fontId="5" fillId="7" borderId="6" xfId="0" applyFont="1" applyFill="1" applyBorder="1" applyAlignment="1">
      <alignment wrapText="1"/>
    </xf>
    <xf numFmtId="164" fontId="4" fillId="4" borderId="0" xfId="0" applyNumberFormat="1" applyFont="1" applyFill="1" applyBorder="1"/>
    <xf numFmtId="164" fontId="4" fillId="4" borderId="0" xfId="2" applyNumberFormat="1" applyFont="1" applyFill="1" applyBorder="1" applyAlignment="1">
      <alignment wrapText="1"/>
    </xf>
    <xf numFmtId="165" fontId="4" fillId="4" borderId="7" xfId="0" applyNumberFormat="1" applyFont="1" applyFill="1" applyBorder="1"/>
    <xf numFmtId="164" fontId="4" fillId="4" borderId="2" xfId="0" applyNumberFormat="1" applyFont="1" applyFill="1" applyBorder="1" applyAlignment="1">
      <alignment horizontal="right"/>
    </xf>
    <xf numFmtId="164" fontId="4" fillId="4" borderId="2" xfId="0" applyNumberFormat="1" applyFont="1" applyFill="1" applyBorder="1"/>
    <xf numFmtId="164" fontId="4" fillId="4" borderId="2" xfId="2" applyNumberFormat="1" applyFont="1" applyFill="1" applyBorder="1" applyAlignment="1">
      <alignment wrapText="1"/>
    </xf>
    <xf numFmtId="165" fontId="4" fillId="4" borderId="9" xfId="0" applyNumberFormat="1" applyFont="1" applyFill="1" applyBorder="1" applyAlignment="1">
      <alignment horizontal="right"/>
    </xf>
    <xf numFmtId="0" fontId="27" fillId="3" borderId="0" xfId="0" applyFont="1" applyFill="1" applyAlignment="1">
      <alignment vertical="center"/>
    </xf>
    <xf numFmtId="14" fontId="4" fillId="3" borderId="6" xfId="0" applyNumberFormat="1" applyFont="1" applyFill="1" applyBorder="1"/>
    <xf numFmtId="14" fontId="4" fillId="3" borderId="8" xfId="0" applyNumberFormat="1" applyFont="1" applyFill="1" applyBorder="1" applyAlignment="1">
      <alignment horizontal="right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4" xfId="2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4" fillId="3" borderId="0" xfId="0" applyFont="1" applyFill="1"/>
    <xf numFmtId="10" fontId="4" fillId="4" borderId="0" xfId="1" applyNumberFormat="1" applyFont="1" applyFill="1" applyBorder="1"/>
    <xf numFmtId="10" fontId="4" fillId="4" borderId="7" xfId="1" applyNumberFormat="1" applyFont="1" applyFill="1" applyBorder="1"/>
    <xf numFmtId="10" fontId="4" fillId="4" borderId="2" xfId="1" applyNumberFormat="1" applyFont="1" applyFill="1" applyBorder="1"/>
    <xf numFmtId="10" fontId="4" fillId="4" borderId="9" xfId="1" applyNumberFormat="1" applyFont="1" applyFill="1" applyBorder="1"/>
    <xf numFmtId="0" fontId="28" fillId="5" borderId="10" xfId="0" applyFont="1" applyFill="1" applyBorder="1" applyAlignment="1">
      <alignment horizontal="center"/>
    </xf>
    <xf numFmtId="0" fontId="28" fillId="5" borderId="10" xfId="2" applyFont="1" applyFill="1" applyBorder="1" applyAlignment="1">
      <alignment horizontal="center" vertical="center"/>
    </xf>
    <xf numFmtId="0" fontId="28" fillId="5" borderId="11" xfId="0" applyFont="1" applyFill="1" applyBorder="1" applyAlignment="1">
      <alignment horizontal="center"/>
    </xf>
    <xf numFmtId="2" fontId="5" fillId="4" borderId="2" xfId="0" applyNumberFormat="1" applyFont="1" applyFill="1" applyBorder="1"/>
    <xf numFmtId="0" fontId="5" fillId="8" borderId="0" xfId="0" applyFont="1" applyFill="1" applyBorder="1" applyAlignment="1"/>
    <xf numFmtId="0" fontId="5" fillId="8" borderId="2" xfId="0" applyFont="1" applyFill="1" applyBorder="1" applyAlignment="1"/>
    <xf numFmtId="0" fontId="5" fillId="8" borderId="6" xfId="0" applyFont="1" applyFill="1" applyBorder="1" applyAlignment="1"/>
    <xf numFmtId="0" fontId="3" fillId="5" borderId="2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3" fontId="4" fillId="4" borderId="0" xfId="0" applyNumberFormat="1" applyFont="1" applyFill="1" applyBorder="1"/>
    <xf numFmtId="164" fontId="4" fillId="3" borderId="0" xfId="2" applyNumberFormat="1" applyFont="1" applyFill="1" applyBorder="1" applyAlignment="1">
      <alignment wrapText="1"/>
    </xf>
    <xf numFmtId="0" fontId="5" fillId="3" borderId="0" xfId="0" applyFont="1" applyFill="1" applyBorder="1" applyAlignment="1"/>
    <xf numFmtId="0" fontId="5" fillId="3" borderId="2" xfId="0" applyFont="1" applyFill="1" applyBorder="1" applyAlignment="1"/>
    <xf numFmtId="0" fontId="6" fillId="3" borderId="3" xfId="0" applyFont="1" applyFill="1" applyBorder="1" applyAlignment="1">
      <alignment horizontal="center"/>
    </xf>
    <xf numFmtId="0" fontId="5" fillId="3" borderId="0" xfId="0" applyFont="1" applyFill="1" applyBorder="1"/>
    <xf numFmtId="0" fontId="5" fillId="3" borderId="6" xfId="0" applyFont="1" applyFill="1" applyBorder="1" applyAlignment="1"/>
    <xf numFmtId="0" fontId="5" fillId="3" borderId="8" xfId="0" applyFont="1" applyFill="1" applyBorder="1" applyAlignment="1"/>
    <xf numFmtId="0" fontId="6" fillId="3" borderId="2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3" borderId="7" xfId="0" applyFont="1" applyFill="1" applyBorder="1" applyAlignment="1"/>
    <xf numFmtId="0" fontId="5" fillId="3" borderId="9" xfId="0" applyFont="1" applyFill="1" applyBorder="1" applyAlignment="1"/>
    <xf numFmtId="10" fontId="13" fillId="8" borderId="2" xfId="0" applyNumberFormat="1" applyFont="1" applyFill="1" applyBorder="1"/>
    <xf numFmtId="0" fontId="13" fillId="8" borderId="9" xfId="0" applyFont="1" applyFill="1" applyBorder="1"/>
    <xf numFmtId="9" fontId="5" fillId="8" borderId="2" xfId="0" applyNumberFormat="1" applyFont="1" applyFill="1" applyBorder="1"/>
    <xf numFmtId="0" fontId="5" fillId="8" borderId="9" xfId="0" applyFont="1" applyFill="1" applyBorder="1"/>
    <xf numFmtId="0" fontId="6" fillId="8" borderId="3" xfId="0" applyFont="1" applyFill="1" applyBorder="1" applyAlignment="1">
      <alignment horizontal="center"/>
    </xf>
    <xf numFmtId="0" fontId="5" fillId="3" borderId="0" xfId="0" applyFont="1" applyFill="1" applyAlignment="1">
      <alignment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9" fillId="4" borderId="1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9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8" fillId="5" borderId="15" xfId="0" applyFont="1" applyFill="1" applyBorder="1" applyAlignment="1">
      <alignment vertical="center"/>
    </xf>
    <xf numFmtId="0" fontId="3" fillId="5" borderId="8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/>
    </xf>
    <xf numFmtId="0" fontId="30" fillId="5" borderId="3" xfId="0" applyFont="1" applyFill="1" applyBorder="1" applyAlignment="1">
      <alignment horizontal="center"/>
    </xf>
    <xf numFmtId="0" fontId="30" fillId="5" borderId="5" xfId="0" applyFont="1" applyFill="1" applyBorder="1" applyAlignment="1">
      <alignment horizontal="center"/>
    </xf>
    <xf numFmtId="0" fontId="19" fillId="6" borderId="20" xfId="0" applyFont="1" applyFill="1" applyBorder="1" applyAlignment="1">
      <alignment horizontal="left" vertical="center"/>
    </xf>
    <xf numFmtId="0" fontId="19" fillId="6" borderId="10" xfId="0" applyFont="1" applyFill="1" applyBorder="1"/>
    <xf numFmtId="0" fontId="19" fillId="6" borderId="11" xfId="0" applyFont="1" applyFill="1" applyBorder="1"/>
    <xf numFmtId="0" fontId="10" fillId="2" borderId="6" xfId="0" applyFont="1" applyFill="1" applyBorder="1"/>
    <xf numFmtId="10" fontId="5" fillId="4" borderId="0" xfId="1" applyNumberFormat="1" applyFont="1" applyFill="1" applyBorder="1"/>
    <xf numFmtId="10" fontId="5" fillId="4" borderId="7" xfId="1" applyNumberFormat="1" applyFont="1" applyFill="1" applyBorder="1"/>
    <xf numFmtId="0" fontId="10" fillId="2" borderId="1" xfId="2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left" vertical="center"/>
    </xf>
    <xf numFmtId="0" fontId="25" fillId="5" borderId="0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10" fontId="5" fillId="4" borderId="0" xfId="0" applyNumberFormat="1" applyFont="1" applyFill="1" applyBorder="1" applyAlignment="1">
      <alignment horizontal="center"/>
    </xf>
    <xf numFmtId="10" fontId="5" fillId="4" borderId="7" xfId="0" applyNumberFormat="1" applyFont="1" applyFill="1" applyBorder="1" applyAlignment="1">
      <alignment horizontal="center"/>
    </xf>
    <xf numFmtId="10" fontId="5" fillId="4" borderId="2" xfId="0" applyNumberFormat="1" applyFont="1" applyFill="1" applyBorder="1" applyAlignment="1">
      <alignment horizontal="center"/>
    </xf>
    <xf numFmtId="10" fontId="5" fillId="4" borderId="9" xfId="0" applyNumberFormat="1" applyFont="1" applyFill="1" applyBorder="1" applyAlignment="1">
      <alignment horizontal="center"/>
    </xf>
    <xf numFmtId="10" fontId="5" fillId="4" borderId="1" xfId="0" applyNumberFormat="1" applyFont="1" applyFill="1" applyBorder="1" applyAlignment="1">
      <alignment horizontal="center"/>
    </xf>
    <xf numFmtId="10" fontId="5" fillId="4" borderId="16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30" fillId="5" borderId="6" xfId="0" applyFont="1" applyFill="1" applyBorder="1" applyAlignment="1">
      <alignment horizontal="center"/>
    </xf>
    <xf numFmtId="0" fontId="30" fillId="5" borderId="0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 vertical="center"/>
    </xf>
    <xf numFmtId="0" fontId="30" fillId="5" borderId="0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9" fontId="5" fillId="4" borderId="0" xfId="0" applyNumberFormat="1" applyFont="1" applyFill="1" applyBorder="1" applyAlignment="1">
      <alignment horizontal="center"/>
    </xf>
    <xf numFmtId="9" fontId="5" fillId="4" borderId="7" xfId="0" applyNumberFormat="1" applyFont="1" applyFill="1" applyBorder="1" applyAlignment="1">
      <alignment horizontal="center"/>
    </xf>
    <xf numFmtId="9" fontId="5" fillId="4" borderId="0" xfId="0" applyNumberFormat="1" applyFont="1" applyFill="1" applyBorder="1" applyAlignment="1">
      <alignment horizontal="center" vertical="center"/>
    </xf>
    <xf numFmtId="9" fontId="5" fillId="4" borderId="7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9" fontId="13" fillId="4" borderId="0" xfId="0" applyNumberFormat="1" applyFont="1" applyFill="1" applyBorder="1" applyAlignment="1">
      <alignment horizontal="center"/>
    </xf>
    <xf numFmtId="9" fontId="13" fillId="4" borderId="7" xfId="0" applyNumberFormat="1" applyFont="1" applyFill="1" applyBorder="1" applyAlignment="1">
      <alignment horizontal="center"/>
    </xf>
    <xf numFmtId="10" fontId="13" fillId="4" borderId="0" xfId="0" applyNumberFormat="1" applyFont="1" applyFill="1" applyBorder="1" applyAlignment="1">
      <alignment horizontal="center"/>
    </xf>
    <xf numFmtId="10" fontId="13" fillId="4" borderId="7" xfId="0" applyNumberFormat="1" applyFont="1" applyFill="1" applyBorder="1" applyAlignment="1">
      <alignment horizontal="center"/>
    </xf>
    <xf numFmtId="10" fontId="13" fillId="4" borderId="2" xfId="1" applyNumberFormat="1" applyFont="1" applyFill="1" applyBorder="1" applyAlignment="1">
      <alignment horizontal="center"/>
    </xf>
    <xf numFmtId="10" fontId="13" fillId="4" borderId="9" xfId="1" applyNumberFormat="1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18" fillId="5" borderId="0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21" fillId="5" borderId="0" xfId="0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6" borderId="16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513E4EEE-2985-455D-9512-ACDCDDE3364E}"/>
    <cellStyle name="Percent" xfId="1" builtinId="5"/>
  </cellStyles>
  <dxfs count="0"/>
  <tableStyles count="0" defaultTableStyle="TableStyleMedium2" defaultPivotStyle="PivotStyleLight16"/>
  <colors>
    <mruColors>
      <color rgb="FF71A0FF"/>
      <color rgb="FF3B7CFF"/>
      <color rgb="FF0041C4"/>
      <color rgb="FF002A7E"/>
      <color rgb="FF86A4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vi-VN" b="1">
                <a:solidFill>
                  <a:sysClr val="windowText" lastClr="000000"/>
                </a:solidFill>
              </a:rPr>
              <a:t>Đường SML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47292686294540109"/>
          <c:y val="2.29226361031518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09-4CE3-B0B2-239BABAF76C3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4784621640045E-2"/>
                  <c:y val="-0.51681970985718473"/>
                </c:manualLayout>
              </c:layout>
              <c:numFmt formatCode="General" sourceLinked="0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'Mô hình CAPM &amp; SML'!$B$10:$B$29</c:f>
              <c:numCache>
                <c:formatCode>0.00</c:formatCode>
                <c:ptCount val="20"/>
                <c:pt idx="0">
                  <c:v>1.179619500744514</c:v>
                </c:pt>
                <c:pt idx="1">
                  <c:v>1.7697067775495308</c:v>
                </c:pt>
                <c:pt idx="2">
                  <c:v>1.9193731623067043</c:v>
                </c:pt>
                <c:pt idx="3">
                  <c:v>0.73873949581585208</c:v>
                </c:pt>
                <c:pt idx="4">
                  <c:v>0.75869566837815317</c:v>
                </c:pt>
                <c:pt idx="5">
                  <c:v>1.3722148075799903</c:v>
                </c:pt>
                <c:pt idx="6">
                  <c:v>0.74791963777654336</c:v>
                </c:pt>
                <c:pt idx="7">
                  <c:v>0.86788928187615488</c:v>
                </c:pt>
                <c:pt idx="8">
                  <c:v>1.0212900033240753</c:v>
                </c:pt>
                <c:pt idx="9">
                  <c:v>0.83974117054972852</c:v>
                </c:pt>
                <c:pt idx="10">
                  <c:v>0.653590518081134</c:v>
                </c:pt>
                <c:pt idx="11">
                  <c:v>1.0790943698575615</c:v>
                </c:pt>
                <c:pt idx="12">
                  <c:v>0.8856279214212881</c:v>
                </c:pt>
                <c:pt idx="13">
                  <c:v>0.66771796899637426</c:v>
                </c:pt>
                <c:pt idx="14">
                  <c:v>1.3410599762430071</c:v>
                </c:pt>
                <c:pt idx="15">
                  <c:v>0.75171771556758116</c:v>
                </c:pt>
                <c:pt idx="16">
                  <c:v>1.1024732859988911</c:v>
                </c:pt>
                <c:pt idx="17">
                  <c:v>1.4021796343259378</c:v>
                </c:pt>
                <c:pt idx="18">
                  <c:v>1.500404541552909</c:v>
                </c:pt>
                <c:pt idx="19">
                  <c:v>1.7890225263760549</c:v>
                </c:pt>
              </c:numCache>
              <c:extLst xmlns:c15="http://schemas.microsoft.com/office/drawing/2012/chart"/>
            </c:numRef>
          </c:xVal>
          <c:yVal>
            <c:numRef>
              <c:f>'Mô hình CAPM &amp; SML'!$C$10:$C$29</c:f>
              <c:numCache>
                <c:formatCode>0.00%</c:formatCode>
                <c:ptCount val="20"/>
                <c:pt idx="0">
                  <c:v>3.0056316276991478E-3</c:v>
                </c:pt>
                <c:pt idx="1">
                  <c:v>-2.0595048033942925E-4</c:v>
                </c:pt>
                <c:pt idx="2">
                  <c:v>1.6297053927811975E-2</c:v>
                </c:pt>
                <c:pt idx="3">
                  <c:v>1.7304144249305951E-2</c:v>
                </c:pt>
                <c:pt idx="4">
                  <c:v>1.5445247735288071E-2</c:v>
                </c:pt>
                <c:pt idx="5">
                  <c:v>2.8375650625609986E-2</c:v>
                </c:pt>
                <c:pt idx="6">
                  <c:v>2.2425395684207896E-2</c:v>
                </c:pt>
                <c:pt idx="7">
                  <c:v>9.9147214873550066E-3</c:v>
                </c:pt>
                <c:pt idx="8">
                  <c:v>1.0267414022377809E-3</c:v>
                </c:pt>
                <c:pt idx="9">
                  <c:v>2.0322801425049428E-2</c:v>
                </c:pt>
                <c:pt idx="10">
                  <c:v>1.3445717414411402E-2</c:v>
                </c:pt>
                <c:pt idx="11">
                  <c:v>-7.0458184688976114E-4</c:v>
                </c:pt>
                <c:pt idx="12">
                  <c:v>1.3163613724633453E-2</c:v>
                </c:pt>
                <c:pt idx="13">
                  <c:v>-7.9187878632608986E-3</c:v>
                </c:pt>
                <c:pt idx="14">
                  <c:v>5.9744072845960327E-3</c:v>
                </c:pt>
                <c:pt idx="15">
                  <c:v>1.9659931384390116E-2</c:v>
                </c:pt>
                <c:pt idx="16">
                  <c:v>1.7261426829864836E-2</c:v>
                </c:pt>
                <c:pt idx="17">
                  <c:v>1.821804185955966E-2</c:v>
                </c:pt>
                <c:pt idx="18">
                  <c:v>1.2801304704463079E-2</c:v>
                </c:pt>
                <c:pt idx="19">
                  <c:v>1.8819730478435938E-3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00F-4C93-8302-DC9E2036294E}"/>
            </c:ext>
          </c:extLst>
        </c:ser>
        <c:ser>
          <c:idx val="2"/>
          <c:order val="2"/>
          <c:tx>
            <c:strRef>
              <c:f>'Mô hình CAPM &amp; SML'!$A$10</c:f>
              <c:strCache>
                <c:ptCount val="1"/>
                <c:pt idx="0">
                  <c:v>HPG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SML'!$B$10</c:f>
              <c:numCache>
                <c:formatCode>0.00</c:formatCode>
                <c:ptCount val="1"/>
                <c:pt idx="0">
                  <c:v>1.179619500744514</c:v>
                </c:pt>
              </c:numCache>
            </c:numRef>
          </c:xVal>
          <c:yVal>
            <c:numRef>
              <c:f>'Mô hình CAPM &amp; SML'!$C$10:$D$10</c:f>
              <c:numCache>
                <c:formatCode>0.00%</c:formatCode>
                <c:ptCount val="2"/>
                <c:pt idx="0">
                  <c:v>3.0056316276991478E-3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0F-4C93-8302-DC9E2036294E}"/>
            </c:ext>
          </c:extLst>
        </c:ser>
        <c:ser>
          <c:idx val="3"/>
          <c:order val="3"/>
          <c:tx>
            <c:strRef>
              <c:f>'Mô hình CAPM &amp; SML'!$A$11</c:f>
              <c:strCache>
                <c:ptCount val="1"/>
                <c:pt idx="0">
                  <c:v>HSG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8.6467802522245379E-3"/>
                  <c:y val="1.528175740210124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FA2-4EBC-BF4F-9D94FD22478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SML'!$B$11</c:f>
              <c:numCache>
                <c:formatCode>0.00</c:formatCode>
                <c:ptCount val="1"/>
                <c:pt idx="0">
                  <c:v>1.7697067775495308</c:v>
                </c:pt>
              </c:numCache>
            </c:numRef>
          </c:xVal>
          <c:yVal>
            <c:numRef>
              <c:f>'Mô hình CAPM &amp; SML'!$C$11:$D$11</c:f>
              <c:numCache>
                <c:formatCode>0.00%</c:formatCode>
                <c:ptCount val="2"/>
                <c:pt idx="0">
                  <c:v>-2.0595048033942925E-4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0F-4C93-8302-DC9E2036294E}"/>
            </c:ext>
          </c:extLst>
        </c:ser>
        <c:ser>
          <c:idx val="4"/>
          <c:order val="4"/>
          <c:tx>
            <c:strRef>
              <c:f>'Mô hình CAPM &amp; SML'!$A$12</c:f>
              <c:strCache>
                <c:ptCount val="1"/>
                <c:pt idx="0">
                  <c:v>NKG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SML'!$B$12</c:f>
              <c:numCache>
                <c:formatCode>0.00</c:formatCode>
                <c:ptCount val="1"/>
                <c:pt idx="0">
                  <c:v>1.9193731623067043</c:v>
                </c:pt>
              </c:numCache>
            </c:numRef>
          </c:xVal>
          <c:yVal>
            <c:numRef>
              <c:f>'Mô hình CAPM &amp; SML'!$C$12:$D$12</c:f>
              <c:numCache>
                <c:formatCode>0.00%</c:formatCode>
                <c:ptCount val="2"/>
                <c:pt idx="0">
                  <c:v>1.6297053927811975E-2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0F-4C93-8302-DC9E2036294E}"/>
            </c:ext>
          </c:extLst>
        </c:ser>
        <c:ser>
          <c:idx val="5"/>
          <c:order val="5"/>
          <c:tx>
            <c:strRef>
              <c:f>'Mô hình CAPM &amp; SML'!$A$13</c:f>
              <c:strCache>
                <c:ptCount val="1"/>
                <c:pt idx="0">
                  <c:v>KBC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6956344244798386E-2"/>
                  <c:y val="1.893858267716535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8725254889379769E-2"/>
                      <c:h val="6.38088577036752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FA2-4EBC-BF4F-9D94FD2247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SML'!$B$13</c:f>
              <c:numCache>
                <c:formatCode>0.00</c:formatCode>
                <c:ptCount val="1"/>
                <c:pt idx="0">
                  <c:v>0.73873949581585208</c:v>
                </c:pt>
              </c:numCache>
            </c:numRef>
          </c:xVal>
          <c:yVal>
            <c:numRef>
              <c:f>'Mô hình CAPM &amp; SML'!$C$13:$D$13</c:f>
              <c:numCache>
                <c:formatCode>0.00%</c:formatCode>
                <c:ptCount val="2"/>
                <c:pt idx="0">
                  <c:v>1.7304144249305951E-2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0F-4C93-8302-DC9E2036294E}"/>
            </c:ext>
          </c:extLst>
        </c:ser>
        <c:ser>
          <c:idx val="6"/>
          <c:order val="6"/>
          <c:tx>
            <c:strRef>
              <c:f>'Mô hình CAPM &amp; SML'!$A$14</c:f>
              <c:strCache>
                <c:ptCount val="1"/>
                <c:pt idx="0">
                  <c:v>NLG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880681513347222E-3"/>
                  <c:y val="2.0739407574052546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5082713602025338E-2"/>
                      <c:h val="5.75553700486579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4FA2-4EBC-BF4F-9D94FD2247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SML'!$B$14</c:f>
              <c:numCache>
                <c:formatCode>0.00</c:formatCode>
                <c:ptCount val="1"/>
                <c:pt idx="0">
                  <c:v>0.75869566837815317</c:v>
                </c:pt>
              </c:numCache>
            </c:numRef>
          </c:xVal>
          <c:yVal>
            <c:numRef>
              <c:f>'Mô hình CAPM &amp; SML'!$C$14:$D$14</c:f>
              <c:numCache>
                <c:formatCode>0.00%</c:formatCode>
                <c:ptCount val="2"/>
                <c:pt idx="0">
                  <c:v>1.5445247735288071E-2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00F-4C93-8302-DC9E2036294E}"/>
            </c:ext>
          </c:extLst>
        </c:ser>
        <c:ser>
          <c:idx val="7"/>
          <c:order val="7"/>
          <c:tx>
            <c:strRef>
              <c:f>'Mô hình CAPM &amp; SML'!$A$15</c:f>
              <c:strCache>
                <c:ptCount val="1"/>
                <c:pt idx="0">
                  <c:v>DXG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SML'!$B$15</c:f>
              <c:numCache>
                <c:formatCode>0.00</c:formatCode>
                <c:ptCount val="1"/>
                <c:pt idx="0">
                  <c:v>1.3722148075799903</c:v>
                </c:pt>
              </c:numCache>
            </c:numRef>
          </c:xVal>
          <c:yVal>
            <c:numRef>
              <c:f>'Mô hình CAPM &amp; SML'!$C$15:$D$15</c:f>
              <c:numCache>
                <c:formatCode>0.00%</c:formatCode>
                <c:ptCount val="2"/>
                <c:pt idx="0">
                  <c:v>2.8375650625609986E-2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0F-4C93-8302-DC9E2036294E}"/>
            </c:ext>
          </c:extLst>
        </c:ser>
        <c:ser>
          <c:idx val="8"/>
          <c:order val="8"/>
          <c:tx>
            <c:strRef>
              <c:f>'Mô hình CAPM &amp; SML'!$A$16</c:f>
              <c:strCache>
                <c:ptCount val="1"/>
                <c:pt idx="0">
                  <c:v>KDH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151325462902317E-2"/>
                  <c:y val="-5.73065902578796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4FA2-4EBC-BF4F-9D94FD2247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SML'!$B$16</c:f>
              <c:numCache>
                <c:formatCode>0.00</c:formatCode>
                <c:ptCount val="1"/>
                <c:pt idx="0">
                  <c:v>0.74791963777654336</c:v>
                </c:pt>
              </c:numCache>
            </c:numRef>
          </c:xVal>
          <c:yVal>
            <c:numRef>
              <c:f>'Mô hình CAPM &amp; SML'!$C$16:$D$16</c:f>
              <c:numCache>
                <c:formatCode>0.00%</c:formatCode>
                <c:ptCount val="2"/>
                <c:pt idx="0">
                  <c:v>2.2425395684207896E-2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00F-4C93-8302-DC9E2036294E}"/>
            </c:ext>
          </c:extLst>
        </c:ser>
        <c:ser>
          <c:idx val="9"/>
          <c:order val="9"/>
          <c:tx>
            <c:strRef>
              <c:f>'Mô hình CAPM &amp; SML'!$A$17</c:f>
              <c:strCache>
                <c:ptCount val="1"/>
                <c:pt idx="0">
                  <c:v>GMD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2.2922636103151792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A2-4EBC-BF4F-9D94FD22478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SML'!$B$17</c:f>
              <c:numCache>
                <c:formatCode>0.00</c:formatCode>
                <c:ptCount val="1"/>
                <c:pt idx="0">
                  <c:v>0.86788928187615488</c:v>
                </c:pt>
              </c:numCache>
            </c:numRef>
          </c:xVal>
          <c:yVal>
            <c:numRef>
              <c:f>'Mô hình CAPM &amp; SML'!$C$17:$D$17</c:f>
              <c:numCache>
                <c:formatCode>0.00%</c:formatCode>
                <c:ptCount val="2"/>
                <c:pt idx="0">
                  <c:v>9.9147214873550066E-3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00F-4C93-8302-DC9E2036294E}"/>
            </c:ext>
          </c:extLst>
        </c:ser>
        <c:ser>
          <c:idx val="10"/>
          <c:order val="10"/>
          <c:tx>
            <c:strRef>
              <c:f>'Mô hình CAPM &amp; SML'!$A$18</c:f>
              <c:strCache>
                <c:ptCount val="1"/>
                <c:pt idx="0">
                  <c:v>SBT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571552991690649E-2"/>
                  <c:y val="-2.292263610315186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4FA2-4EBC-BF4F-9D94FD2247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SML'!$B$18</c:f>
              <c:numCache>
                <c:formatCode>0.00</c:formatCode>
                <c:ptCount val="1"/>
                <c:pt idx="0">
                  <c:v>1.0212900033240753</c:v>
                </c:pt>
              </c:numCache>
            </c:numRef>
          </c:xVal>
          <c:yVal>
            <c:numRef>
              <c:f>'Mô hình CAPM &amp; SML'!$C$18:$D$18</c:f>
              <c:numCache>
                <c:formatCode>0.00%</c:formatCode>
                <c:ptCount val="2"/>
                <c:pt idx="0">
                  <c:v>1.0267414022377809E-3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00F-4C93-8302-DC9E2036294E}"/>
            </c:ext>
          </c:extLst>
        </c:ser>
        <c:ser>
          <c:idx val="11"/>
          <c:order val="11"/>
          <c:tx>
            <c:strRef>
              <c:f>'Mô hình CAPM &amp; SML'!$A$19</c:f>
              <c:strCache>
                <c:ptCount val="1"/>
                <c:pt idx="0">
                  <c:v>DCM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SML'!$B$19</c:f>
              <c:numCache>
                <c:formatCode>0.00</c:formatCode>
                <c:ptCount val="1"/>
                <c:pt idx="0">
                  <c:v>0.83974117054972852</c:v>
                </c:pt>
              </c:numCache>
            </c:numRef>
          </c:xVal>
          <c:yVal>
            <c:numRef>
              <c:f>'Mô hình CAPM &amp; SML'!$C$19:$D$19</c:f>
              <c:numCache>
                <c:formatCode>0.00%</c:formatCode>
                <c:ptCount val="2"/>
                <c:pt idx="0">
                  <c:v>2.0322801425049428E-2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00F-4C93-8302-DC9E2036294E}"/>
            </c:ext>
          </c:extLst>
        </c:ser>
        <c:ser>
          <c:idx val="12"/>
          <c:order val="12"/>
          <c:tx>
            <c:strRef>
              <c:f>'Mô hình CAPM &amp; SML'!$A$20</c:f>
              <c:strCache>
                <c:ptCount val="1"/>
                <c:pt idx="0">
                  <c:v>MSN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8798105715126919E-2"/>
                  <c:y val="4.570348706411698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4FA2-4EBC-BF4F-9D94FD2247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SML'!$B$20</c:f>
              <c:numCache>
                <c:formatCode>0.00</c:formatCode>
                <c:ptCount val="1"/>
                <c:pt idx="0">
                  <c:v>0.653590518081134</c:v>
                </c:pt>
              </c:numCache>
            </c:numRef>
          </c:xVal>
          <c:yVal>
            <c:numRef>
              <c:f>'Mô hình CAPM &amp; SML'!$C$20:$D$20</c:f>
              <c:numCache>
                <c:formatCode>0.00%</c:formatCode>
                <c:ptCount val="2"/>
                <c:pt idx="0">
                  <c:v>1.3445717414411402E-2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00F-4C93-8302-DC9E2036294E}"/>
            </c:ext>
          </c:extLst>
        </c:ser>
        <c:ser>
          <c:idx val="13"/>
          <c:order val="13"/>
          <c:tx>
            <c:strRef>
              <c:f>'Mô hình CAPM &amp; SML'!$A$21</c:f>
              <c:strCache>
                <c:ptCount val="1"/>
                <c:pt idx="0">
                  <c:v>MWG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669696807118584E-2"/>
                  <c:y val="5.348615090735434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FA2-4EBC-BF4F-9D94FD22478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SML'!$B$21</c:f>
              <c:numCache>
                <c:formatCode>0.00</c:formatCode>
                <c:ptCount val="1"/>
                <c:pt idx="0">
                  <c:v>1.0790943698575615</c:v>
                </c:pt>
              </c:numCache>
            </c:numRef>
          </c:xVal>
          <c:yVal>
            <c:numRef>
              <c:f>'Mô hình CAPM &amp; SML'!$C$21:$D$21</c:f>
              <c:numCache>
                <c:formatCode>0.00%</c:formatCode>
                <c:ptCount val="2"/>
                <c:pt idx="0">
                  <c:v>-7.0458184688976114E-4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00F-4C93-8302-DC9E2036294E}"/>
            </c:ext>
          </c:extLst>
        </c:ser>
        <c:ser>
          <c:idx val="14"/>
          <c:order val="14"/>
          <c:tx>
            <c:strRef>
              <c:f>'Mô hình CAPM &amp; SML'!$A$22</c:f>
              <c:strCache>
                <c:ptCount val="1"/>
                <c:pt idx="0">
                  <c:v>FPT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SML'!$B$22</c:f>
              <c:numCache>
                <c:formatCode>0.00</c:formatCode>
                <c:ptCount val="1"/>
                <c:pt idx="0">
                  <c:v>0.8856279214212881</c:v>
                </c:pt>
              </c:numCache>
            </c:numRef>
          </c:xVal>
          <c:yVal>
            <c:numRef>
              <c:f>'Mô hình CAPM &amp; SML'!$C$22:$D$22</c:f>
              <c:numCache>
                <c:formatCode>0.00%</c:formatCode>
                <c:ptCount val="2"/>
                <c:pt idx="0">
                  <c:v>1.3163613724633453E-2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00F-4C93-8302-DC9E2036294E}"/>
            </c:ext>
          </c:extLst>
        </c:ser>
        <c:ser>
          <c:idx val="15"/>
          <c:order val="15"/>
          <c:tx>
            <c:strRef>
              <c:f>'Mô hình CAPM &amp; SML'!$A$23</c:f>
              <c:strCache>
                <c:ptCount val="1"/>
                <c:pt idx="0">
                  <c:v>VNM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0409-4CE3-B0B2-239BABAF76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SML'!$B$23</c:f>
              <c:numCache>
                <c:formatCode>0.00</c:formatCode>
                <c:ptCount val="1"/>
                <c:pt idx="0">
                  <c:v>0.66771796899637426</c:v>
                </c:pt>
              </c:numCache>
            </c:numRef>
          </c:xVal>
          <c:yVal>
            <c:numRef>
              <c:f>'Mô hình CAPM &amp; SML'!$C$23:$D$23</c:f>
              <c:numCache>
                <c:formatCode>0.00%</c:formatCode>
                <c:ptCount val="2"/>
                <c:pt idx="0">
                  <c:v>-7.9187878632608986E-3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00F-4C93-8302-DC9E2036294E}"/>
            </c:ext>
          </c:extLst>
        </c:ser>
        <c:ser>
          <c:idx val="16"/>
          <c:order val="16"/>
          <c:tx>
            <c:strRef>
              <c:f>'Mô hình CAPM &amp; SML'!$A$24</c:f>
              <c:strCache>
                <c:ptCount val="1"/>
                <c:pt idx="0">
                  <c:v>PNJ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SML'!$B$24</c:f>
              <c:numCache>
                <c:formatCode>0.00</c:formatCode>
                <c:ptCount val="1"/>
                <c:pt idx="0">
                  <c:v>1.3410599762430071</c:v>
                </c:pt>
              </c:numCache>
            </c:numRef>
          </c:xVal>
          <c:yVal>
            <c:numRef>
              <c:f>'Mô hình CAPM &amp; SML'!$C$24:$D$24</c:f>
              <c:numCache>
                <c:formatCode>0.00%</c:formatCode>
                <c:ptCount val="2"/>
                <c:pt idx="0">
                  <c:v>5.9744072845960327E-3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00F-4C93-8302-DC9E2036294E}"/>
            </c:ext>
          </c:extLst>
        </c:ser>
        <c:ser>
          <c:idx val="17"/>
          <c:order val="17"/>
          <c:tx>
            <c:strRef>
              <c:f>'Mô hình CAPM &amp; SML'!$A$25</c:f>
              <c:strCache>
                <c:ptCount val="1"/>
                <c:pt idx="0">
                  <c:v>REE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0903598068241203E-2"/>
                  <c:y val="-1.904761904761911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09-4CE3-B0B2-239BABAF76C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SML'!$B$25</c:f>
              <c:numCache>
                <c:formatCode>0.00</c:formatCode>
                <c:ptCount val="1"/>
                <c:pt idx="0">
                  <c:v>0.75171771556758116</c:v>
                </c:pt>
              </c:numCache>
            </c:numRef>
          </c:xVal>
          <c:yVal>
            <c:numRef>
              <c:f>'Mô hình CAPM &amp; SML'!$C$25:$D$25</c:f>
              <c:numCache>
                <c:formatCode>0.00%</c:formatCode>
                <c:ptCount val="2"/>
                <c:pt idx="0">
                  <c:v>1.9659931384390116E-2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00F-4C93-8302-DC9E2036294E}"/>
            </c:ext>
          </c:extLst>
        </c:ser>
        <c:ser>
          <c:idx val="18"/>
          <c:order val="18"/>
          <c:tx>
            <c:strRef>
              <c:f>'Mô hình CAPM &amp; SML'!$A$26</c:f>
              <c:strCache>
                <c:ptCount val="1"/>
                <c:pt idx="0">
                  <c:v>VCB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101096520671786E-2"/>
                      <c:h val="5.75553700486579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FA2-4EBC-BF4F-9D94FD22478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SML'!$B$26</c:f>
              <c:numCache>
                <c:formatCode>0.00</c:formatCode>
                <c:ptCount val="1"/>
                <c:pt idx="0">
                  <c:v>1.1024732859988911</c:v>
                </c:pt>
              </c:numCache>
            </c:numRef>
          </c:xVal>
          <c:yVal>
            <c:numRef>
              <c:f>'Mô hình CAPM &amp; SML'!$C$26:$D$26</c:f>
              <c:numCache>
                <c:formatCode>0.00%</c:formatCode>
                <c:ptCount val="2"/>
                <c:pt idx="0">
                  <c:v>1.7261426829864836E-2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00F-4C93-8302-DC9E2036294E}"/>
            </c:ext>
          </c:extLst>
        </c:ser>
        <c:ser>
          <c:idx val="19"/>
          <c:order val="19"/>
          <c:tx>
            <c:strRef>
              <c:f>'Mô hình CAPM &amp; SML'!$A$27</c:f>
              <c:strCache>
                <c:ptCount val="1"/>
                <c:pt idx="0">
                  <c:v>BID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3.4587121008898148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A2-4EBC-BF4F-9D94FD22478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accent2"/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SML'!$B$27</c:f>
              <c:numCache>
                <c:formatCode>0.00</c:formatCode>
                <c:ptCount val="1"/>
                <c:pt idx="0">
                  <c:v>1.4021796343259378</c:v>
                </c:pt>
              </c:numCache>
            </c:numRef>
          </c:xVal>
          <c:yVal>
            <c:numRef>
              <c:f>'Mô hình CAPM &amp; SML'!$C$27:$D$27</c:f>
              <c:numCache>
                <c:formatCode>0.00%</c:formatCode>
                <c:ptCount val="2"/>
                <c:pt idx="0">
                  <c:v>1.821804185955966E-2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00F-4C93-8302-DC9E2036294E}"/>
            </c:ext>
          </c:extLst>
        </c:ser>
        <c:ser>
          <c:idx val="20"/>
          <c:order val="20"/>
          <c:tx>
            <c:strRef>
              <c:f>'Mô hình CAPM &amp; SML'!$A$28</c:f>
              <c:strCache>
                <c:ptCount val="1"/>
                <c:pt idx="0">
                  <c:v>CTG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ound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SML'!$B$28</c:f>
              <c:numCache>
                <c:formatCode>0.00</c:formatCode>
                <c:ptCount val="1"/>
                <c:pt idx="0">
                  <c:v>1.500404541552909</c:v>
                </c:pt>
              </c:numCache>
            </c:numRef>
          </c:xVal>
          <c:yVal>
            <c:numRef>
              <c:f>'Mô hình CAPM &amp; SML'!$C$28:$D$28</c:f>
              <c:numCache>
                <c:formatCode>0.00%</c:formatCode>
                <c:ptCount val="2"/>
                <c:pt idx="0">
                  <c:v>1.2801304704463079E-2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00F-4C93-8302-DC9E2036294E}"/>
            </c:ext>
          </c:extLst>
        </c:ser>
        <c:ser>
          <c:idx val="21"/>
          <c:order val="21"/>
          <c:tx>
            <c:strRef>
              <c:f>'Mô hình CAPM &amp; SML'!$A$29</c:f>
              <c:strCache>
                <c:ptCount val="1"/>
                <c:pt idx="0">
                  <c:v>PVD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775189160232871E-2"/>
                  <c:y val="-7.6408787010506213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ound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FA2-4EBC-BF4F-9D94FD2247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'Mô hình CAPM &amp; SML'!$B$29</c:f>
              <c:numCache>
                <c:formatCode>0.00</c:formatCode>
                <c:ptCount val="1"/>
                <c:pt idx="0">
                  <c:v>1.7890225263760549</c:v>
                </c:pt>
              </c:numCache>
            </c:numRef>
          </c:xVal>
          <c:yVal>
            <c:numRef>
              <c:f>'Mô hình CAPM &amp; SML'!$C$29:$D$29</c:f>
              <c:numCache>
                <c:formatCode>0.00%</c:formatCode>
                <c:ptCount val="2"/>
                <c:pt idx="0">
                  <c:v>1.8819730478435938E-3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00F-4C93-8302-DC9E2036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603968"/>
        <c:axId val="172860438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'Mô hình CAPM &amp; SML'!$B$10:$B$29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1.179619500744514</c:v>
                      </c:pt>
                      <c:pt idx="1">
                        <c:v>1.7697067775495308</c:v>
                      </c:pt>
                      <c:pt idx="2">
                        <c:v>1.9193731623067043</c:v>
                      </c:pt>
                      <c:pt idx="3">
                        <c:v>0.73873949581585208</c:v>
                      </c:pt>
                      <c:pt idx="4">
                        <c:v>0.75869566837815317</c:v>
                      </c:pt>
                      <c:pt idx="5">
                        <c:v>1.3722148075799903</c:v>
                      </c:pt>
                      <c:pt idx="6">
                        <c:v>0.74791963777654336</c:v>
                      </c:pt>
                      <c:pt idx="7">
                        <c:v>0.86788928187615488</c:v>
                      </c:pt>
                      <c:pt idx="8">
                        <c:v>1.0212900033240753</c:v>
                      </c:pt>
                      <c:pt idx="9">
                        <c:v>0.83974117054972852</c:v>
                      </c:pt>
                      <c:pt idx="10">
                        <c:v>0.653590518081134</c:v>
                      </c:pt>
                      <c:pt idx="11">
                        <c:v>1.0790943698575615</c:v>
                      </c:pt>
                      <c:pt idx="12">
                        <c:v>0.8856279214212881</c:v>
                      </c:pt>
                      <c:pt idx="13">
                        <c:v>0.66771796899637426</c:v>
                      </c:pt>
                      <c:pt idx="14">
                        <c:v>1.3410599762430071</c:v>
                      </c:pt>
                      <c:pt idx="15">
                        <c:v>0.75171771556758116</c:v>
                      </c:pt>
                      <c:pt idx="16">
                        <c:v>1.1024732859988911</c:v>
                      </c:pt>
                      <c:pt idx="17">
                        <c:v>1.4021796343259378</c:v>
                      </c:pt>
                      <c:pt idx="18">
                        <c:v>1.500404541552909</c:v>
                      </c:pt>
                      <c:pt idx="19">
                        <c:v>1.7890225263760549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'Mô hình CAPM &amp; SML'!$D$10:$D$29</c15:sqref>
                        </c15:formulaRef>
                      </c:ext>
                    </c:extLst>
                    <c:numCache>
                      <c:formatCode>0.00%</c:formatCode>
                      <c:ptCount val="20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00F-4C93-8302-DC9E2036294E}"/>
                  </c:ext>
                </c:extLst>
              </c15:ser>
            </c15:filteredScatterSeries>
          </c:ext>
        </c:extLst>
      </c:scatterChart>
      <c:valAx>
        <c:axId val="172860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vi-VN">
                    <a:solidFill>
                      <a:sysClr val="windowText" lastClr="000000"/>
                    </a:solidFill>
                  </a:rPr>
                  <a:t>Beta của từng chứng khoán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968877582561772"/>
              <c:y val="0.913486000496356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8604384"/>
        <c:crosses val="autoZero"/>
        <c:crossBetween val="midCat"/>
      </c:valAx>
      <c:valAx>
        <c:axId val="17286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vi-VN">
                    <a:solidFill>
                      <a:sysClr val="windowText" lastClr="000000"/>
                    </a:solidFill>
                  </a:rPr>
                  <a:t>Tỷ suất sinh lợi trung bình của chứng khoán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042399639152007E-3"/>
              <c:y val="0.119121298949379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28603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 New Roman"/>
                <a:ea typeface="+mn-ea"/>
                <a:cs typeface="+mn-cs"/>
              </a:defRPr>
            </a:pPr>
            <a:r>
              <a:rPr lang="vi-VN" b="1">
                <a:solidFill>
                  <a:sysClr val="windowText" lastClr="000000"/>
                </a:solidFill>
                <a:latin typeface="Times  New Roman"/>
              </a:rPr>
              <a:t>Danh mục tối ưu hóa</a:t>
            </a:r>
            <a:endParaRPr lang="en-US" b="1">
              <a:solidFill>
                <a:sysClr val="windowText" lastClr="000000"/>
              </a:solidFill>
              <a:latin typeface="Times  New Roman"/>
            </a:endParaRPr>
          </a:p>
        </c:rich>
      </c:tx>
      <c:layout>
        <c:manualLayout>
          <c:xMode val="edge"/>
          <c:yMode val="edge"/>
          <c:x val="0.20997486444209529"/>
          <c:y val="3.3862433862433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 New Roman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3A-421B-A128-0093051B9BCF}"/>
              </c:ext>
            </c:extLst>
          </c:dPt>
          <c:dPt>
            <c:idx val="1"/>
            <c:bubble3D val="0"/>
            <c:spPr>
              <a:solidFill>
                <a:srgbClr val="002A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3A-421B-A128-0093051B9BCF}"/>
              </c:ext>
            </c:extLst>
          </c:dPt>
          <c:dPt>
            <c:idx val="2"/>
            <c:bubble3D val="0"/>
            <c:spPr>
              <a:solidFill>
                <a:srgbClr val="0041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83A-421B-A128-0093051B9BCF}"/>
              </c:ext>
            </c:extLst>
          </c:dPt>
          <c:dPt>
            <c:idx val="3"/>
            <c:bubble3D val="0"/>
            <c:spPr>
              <a:solidFill>
                <a:srgbClr val="3B7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3A-421B-A128-0093051B9BCF}"/>
              </c:ext>
            </c:extLst>
          </c:dPt>
          <c:dPt>
            <c:idx val="4"/>
            <c:bubble3D val="0"/>
            <c:spPr>
              <a:solidFill>
                <a:srgbClr val="71A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83A-421B-A128-0093051B9BCF}"/>
              </c:ext>
            </c:extLst>
          </c:dPt>
          <c:dLbls>
            <c:delete val="1"/>
          </c:dLbls>
          <c:cat>
            <c:strRef>
              <c:f>'DM tối ưu hóa'!$G$31:$G$35</c:f>
              <c:strCache>
                <c:ptCount val="5"/>
                <c:pt idx="0">
                  <c:v>MSN</c:v>
                </c:pt>
                <c:pt idx="1">
                  <c:v>DCM</c:v>
                </c:pt>
                <c:pt idx="2">
                  <c:v>VCB</c:v>
                </c:pt>
                <c:pt idx="3">
                  <c:v>REE</c:v>
                </c:pt>
                <c:pt idx="4">
                  <c:v>KDH</c:v>
                </c:pt>
              </c:strCache>
            </c:strRef>
          </c:cat>
          <c:val>
            <c:numRef>
              <c:f>'DM tối ưu hóa'!$I$31:$I$35</c:f>
              <c:numCache>
                <c:formatCode>0%</c:formatCode>
                <c:ptCount val="5"/>
                <c:pt idx="0">
                  <c:v>4.6889665954651695E-2</c:v>
                </c:pt>
                <c:pt idx="1">
                  <c:v>0.13629786030635607</c:v>
                </c:pt>
                <c:pt idx="2">
                  <c:v>0.18244322678193506</c:v>
                </c:pt>
                <c:pt idx="3">
                  <c:v>0.27823934817655621</c:v>
                </c:pt>
                <c:pt idx="4">
                  <c:v>0.35492506351921077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A-421B-A128-0093051B9B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90592128968432"/>
          <c:y val="0.37083178297307301"/>
          <c:w val="0.11095805901582567"/>
          <c:h val="0.355022887107517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 New Roman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vi-VN" sz="1600" b="1"/>
              <a:t>Đường biên danh mục hiệu quả có bán khống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rgbClr val="0041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A7E"/>
              </a:solidFill>
              <a:ln w="9525">
                <a:solidFill>
                  <a:srgbClr val="002A7E"/>
                </a:solidFill>
              </a:ln>
              <a:effectLst/>
            </c:spPr>
          </c:marker>
          <c:xVal>
            <c:numRef>
              <c:f>'DMĐT hiệu quả có bán khống'!$C$61:$C$86</c:f>
              <c:numCache>
                <c:formatCode>0.00%</c:formatCode>
                <c:ptCount val="26"/>
                <c:pt idx="0">
                  <c:v>4.1523077798143973E-2</c:v>
                </c:pt>
                <c:pt idx="1">
                  <c:v>4.0006427994703046E-2</c:v>
                </c:pt>
                <c:pt idx="2">
                  <c:v>3.9519227935800615E-2</c:v>
                </c:pt>
                <c:pt idx="3">
                  <c:v>4.0099018405315337E-2</c:v>
                </c:pt>
                <c:pt idx="4">
                  <c:v>4.1701318710323385E-2</c:v>
                </c:pt>
                <c:pt idx="5">
                  <c:v>4.4215104794311962E-2</c:v>
                </c:pt>
                <c:pt idx="6">
                  <c:v>4.7495871467376501E-2</c:v>
                </c:pt>
                <c:pt idx="7">
                  <c:v>5.1396954438965477E-2</c:v>
                </c:pt>
                <c:pt idx="8">
                  <c:v>5.5788375576264974E-2</c:v>
                </c:pt>
                <c:pt idx="9">
                  <c:v>6.0563566423697146E-2</c:v>
                </c:pt>
                <c:pt idx="10">
                  <c:v>6.5638823200591126E-2</c:v>
                </c:pt>
                <c:pt idx="11">
                  <c:v>7.0949781176838145E-2</c:v>
                </c:pt>
                <c:pt idx="12">
                  <c:v>7.6447332141846444E-2</c:v>
                </c:pt>
                <c:pt idx="13">
                  <c:v>8.2093998190197845E-2</c:v>
                </c:pt>
                <c:pt idx="14">
                  <c:v>8.7861033972862018E-2</c:v>
                </c:pt>
                <c:pt idx="15">
                  <c:v>9.3726222837530571E-2</c:v>
                </c:pt>
                <c:pt idx="16">
                  <c:v>9.967223890674004E-2</c:v>
                </c:pt>
                <c:pt idx="17">
                  <c:v>0.1056854406938626</c:v>
                </c:pt>
                <c:pt idx="18">
                  <c:v>0.11175498353680441</c:v>
                </c:pt>
                <c:pt idx="19">
                  <c:v>0.11787216431646921</c:v>
                </c:pt>
                <c:pt idx="20">
                  <c:v>0.12402993469589439</c:v>
                </c:pt>
                <c:pt idx="21">
                  <c:v>0.13022253677980919</c:v>
                </c:pt>
                <c:pt idx="22">
                  <c:v>0.13644522811279075</c:v>
                </c:pt>
                <c:pt idx="23">
                  <c:v>0.14269407229740155</c:v>
                </c:pt>
                <c:pt idx="24">
                  <c:v>0.1489657781759369</c:v>
                </c:pt>
                <c:pt idx="25">
                  <c:v>0.15525757524510883</c:v>
                </c:pt>
              </c:numCache>
            </c:numRef>
          </c:xVal>
          <c:yVal>
            <c:numRef>
              <c:f>'DMĐT hiệu quả có bán khống'!$D$61:$D$86</c:f>
              <c:numCache>
                <c:formatCode>0.00%</c:formatCode>
                <c:ptCount val="26"/>
                <c:pt idx="0">
                  <c:v>3.1406531740679755E-3</c:v>
                </c:pt>
                <c:pt idx="1">
                  <c:v>7.8232172798964328E-3</c:v>
                </c:pt>
                <c:pt idx="2">
                  <c:v>1.2505781385724946E-2</c:v>
                </c:pt>
                <c:pt idx="3">
                  <c:v>1.7188345491553514E-2</c:v>
                </c:pt>
                <c:pt idx="4">
                  <c:v>2.1870909597382027E-2</c:v>
                </c:pt>
                <c:pt idx="5">
                  <c:v>2.6553473703210595E-2</c:v>
                </c:pt>
                <c:pt idx="6">
                  <c:v>3.1236037809039108E-2</c:v>
                </c:pt>
                <c:pt idx="7">
                  <c:v>3.5918601914867676E-2</c:v>
                </c:pt>
                <c:pt idx="8">
                  <c:v>4.0601166020696133E-2</c:v>
                </c:pt>
                <c:pt idx="9">
                  <c:v>4.5283730126524702E-2</c:v>
                </c:pt>
                <c:pt idx="10">
                  <c:v>4.9966294232353214E-2</c:v>
                </c:pt>
                <c:pt idx="11">
                  <c:v>5.4648858338181783E-2</c:v>
                </c:pt>
                <c:pt idx="12">
                  <c:v>5.9331422444010296E-2</c:v>
                </c:pt>
                <c:pt idx="13">
                  <c:v>6.4013986549838864E-2</c:v>
                </c:pt>
                <c:pt idx="14">
                  <c:v>6.8696550655667377E-2</c:v>
                </c:pt>
                <c:pt idx="15">
                  <c:v>7.3379114761495889E-2</c:v>
                </c:pt>
                <c:pt idx="16">
                  <c:v>7.8061678867324402E-2</c:v>
                </c:pt>
                <c:pt idx="17">
                  <c:v>8.274424297315297E-2</c:v>
                </c:pt>
                <c:pt idx="18">
                  <c:v>8.7426807078981483E-2</c:v>
                </c:pt>
                <c:pt idx="19">
                  <c:v>9.2109371184810024E-2</c:v>
                </c:pt>
                <c:pt idx="20">
                  <c:v>9.6791935290638509E-2</c:v>
                </c:pt>
                <c:pt idx="21">
                  <c:v>0.10147449939646706</c:v>
                </c:pt>
                <c:pt idx="22">
                  <c:v>0.1061570635022956</c:v>
                </c:pt>
                <c:pt idx="23">
                  <c:v>0.11083962760812413</c:v>
                </c:pt>
                <c:pt idx="24">
                  <c:v>0.11552219171395267</c:v>
                </c:pt>
                <c:pt idx="25">
                  <c:v>0.1202047558197812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5B-4927-81F3-99EAAE275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779008"/>
        <c:axId val="975785664"/>
      </c:scatterChart>
      <c:valAx>
        <c:axId val="975779008"/>
        <c:scaling>
          <c:orientation val="minMax"/>
          <c:min val="3.0000000000000006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vi-VN" sz="1050" b="1"/>
                  <a:t>Độ lệch chuẩn của danh mục</a:t>
                </a:r>
                <a:endParaRPr lang="en-US" sz="1050" b="1"/>
              </a:p>
            </c:rich>
          </c:tx>
          <c:layout>
            <c:manualLayout>
              <c:xMode val="edge"/>
              <c:yMode val="edge"/>
              <c:x val="0.40525954061433422"/>
              <c:y val="0.91266376880517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5785664"/>
        <c:crosses val="autoZero"/>
        <c:crossBetween val="midCat"/>
      </c:valAx>
      <c:valAx>
        <c:axId val="97578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vi-VN" sz="1050" b="1"/>
                  <a:t>Tỷ suất sinh lợi của danh mục kết hợp</a:t>
                </a:r>
                <a:endParaRPr lang="en-US" sz="105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577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vi-VN" b="1"/>
              <a:t>Danh mục đầu tư hiệu quả không bán khống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7715915431831"/>
          <c:y val="0.24472636815920398"/>
          <c:w val="0.5137707786526684"/>
          <c:h val="0.7303980099502487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9DE-4737-A537-5017FE94CBA8}"/>
              </c:ext>
            </c:extLst>
          </c:dPt>
          <c:dPt>
            <c:idx val="1"/>
            <c:bubble3D val="0"/>
            <c:spPr>
              <a:solidFill>
                <a:srgbClr val="002A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DE-4737-A537-5017FE94CBA8}"/>
              </c:ext>
            </c:extLst>
          </c:dPt>
          <c:dPt>
            <c:idx val="2"/>
            <c:bubble3D val="0"/>
            <c:spPr>
              <a:solidFill>
                <a:srgbClr val="0041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9DE-4737-A537-5017FE94CBA8}"/>
              </c:ext>
            </c:extLst>
          </c:dPt>
          <c:dPt>
            <c:idx val="3"/>
            <c:bubble3D val="0"/>
            <c:spPr>
              <a:solidFill>
                <a:srgbClr val="3B7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DE-4737-A537-5017FE94CBA8}"/>
              </c:ext>
            </c:extLst>
          </c:dPt>
          <c:dPt>
            <c:idx val="4"/>
            <c:bubble3D val="0"/>
            <c:spPr>
              <a:solidFill>
                <a:srgbClr val="71A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E3-48BB-9C42-5D3AA8C81D1E}"/>
              </c:ext>
            </c:extLst>
          </c:dPt>
          <c:dLbls>
            <c:delete val="1"/>
          </c:dLbls>
          <c:cat>
            <c:strRef>
              <c:f>'DMĐT hiệu quả ko bán khống'!$F$25:$F$29</c:f>
              <c:strCache>
                <c:ptCount val="5"/>
                <c:pt idx="0">
                  <c:v>DXG</c:v>
                </c:pt>
                <c:pt idx="1">
                  <c:v>VCB</c:v>
                </c:pt>
                <c:pt idx="2">
                  <c:v>DCM</c:v>
                </c:pt>
                <c:pt idx="3">
                  <c:v>REE</c:v>
                </c:pt>
                <c:pt idx="4">
                  <c:v>KDH</c:v>
                </c:pt>
              </c:strCache>
            </c:strRef>
          </c:cat>
          <c:val>
            <c:numRef>
              <c:f>'DMĐT hiệu quả ko bán khống'!$G$25:$G$29</c:f>
              <c:numCache>
                <c:formatCode>0.00%</c:formatCode>
                <c:ptCount val="5"/>
                <c:pt idx="0">
                  <c:v>2.4135657802330332E-2</c:v>
                </c:pt>
                <c:pt idx="1">
                  <c:v>0.12818095473236718</c:v>
                </c:pt>
                <c:pt idx="2">
                  <c:v>0.1466161452812173</c:v>
                </c:pt>
                <c:pt idx="3">
                  <c:v>0.27192038197792495</c:v>
                </c:pt>
                <c:pt idx="4">
                  <c:v>0.42914686524736539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E-4737-A537-5017FE94CBA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86939467570727"/>
          <c:y val="0.41477259372429193"/>
          <c:w val="0.12414188383932324"/>
          <c:h val="0.37045481255141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390526</xdr:colOff>
      <xdr:row>27</xdr:row>
      <xdr:rowOff>85724</xdr:rowOff>
    </xdr:from>
    <xdr:to>
      <xdr:col>12</xdr:col>
      <xdr:colOff>542925</xdr:colOff>
      <xdr:row>44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A19BE-65CA-462A-9806-828996B9B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261937</xdr:colOff>
      <xdr:row>28</xdr:row>
      <xdr:rowOff>152400</xdr:rowOff>
    </xdr:from>
    <xdr:to>
      <xdr:col>17</xdr:col>
      <xdr:colOff>400050</xdr:colOff>
      <xdr:row>42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655C2-6B5C-4BEE-8974-FDD3C513C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58</xdr:row>
      <xdr:rowOff>23812</xdr:rowOff>
    </xdr:from>
    <xdr:to>
      <xdr:col>10</xdr:col>
      <xdr:colOff>438150</xdr:colOff>
      <xdr:row>74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5A01D9-D02A-4A4C-BFD4-0A77CE0E9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123824</xdr:colOff>
      <xdr:row>22</xdr:row>
      <xdr:rowOff>133350</xdr:rowOff>
    </xdr:from>
    <xdr:to>
      <xdr:col>13</xdr:col>
      <xdr:colOff>514349</xdr:colOff>
      <xdr:row>35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2E9F9-34EC-45FC-8080-20DC26C10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550D-6838-4837-9B11-8F78CD187678}">
  <dimension ref="A1:V64"/>
  <sheetViews>
    <sheetView zoomScale="90" zoomScaleNormal="9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J66" sqref="J66"/>
    </sheetView>
  </sheetViews>
  <sheetFormatPr defaultRowHeight="15"/>
  <cols>
    <col min="1" max="1" width="12.42578125" style="1" bestFit="1" customWidth="1"/>
    <col min="2" max="11" width="8.7109375" style="1" bestFit="1" customWidth="1"/>
    <col min="12" max="13" width="10" style="1" bestFit="1" customWidth="1"/>
    <col min="14" max="14" width="8.7109375" style="1" bestFit="1" customWidth="1"/>
    <col min="15" max="16" width="10" style="1" bestFit="1" customWidth="1"/>
    <col min="17" max="17" width="8.7109375" style="1" bestFit="1" customWidth="1"/>
    <col min="18" max="18" width="10" style="1" bestFit="1" customWidth="1"/>
    <col min="19" max="21" width="8.7109375" style="1" bestFit="1" customWidth="1"/>
    <col min="22" max="22" width="14" style="1" bestFit="1" customWidth="1"/>
    <col min="23" max="16384" width="9.140625" style="1"/>
  </cols>
  <sheetData>
    <row r="1" spans="1:22" s="108" customFormat="1" ht="24" customHeight="1" thickBot="1">
      <c r="A1" s="126" t="s">
        <v>12</v>
      </c>
      <c r="B1" s="127" t="s">
        <v>6</v>
      </c>
      <c r="C1" s="127" t="s">
        <v>7</v>
      </c>
      <c r="D1" s="127" t="s">
        <v>8</v>
      </c>
      <c r="E1" s="127" t="s">
        <v>13</v>
      </c>
      <c r="F1" s="127" t="s">
        <v>2</v>
      </c>
      <c r="G1" s="127" t="s">
        <v>10</v>
      </c>
      <c r="H1" s="127" t="s">
        <v>3</v>
      </c>
      <c r="I1" s="127" t="s">
        <v>19</v>
      </c>
      <c r="J1" s="127" t="s">
        <v>11</v>
      </c>
      <c r="K1" s="127" t="s">
        <v>15</v>
      </c>
      <c r="L1" s="127" t="s">
        <v>4</v>
      </c>
      <c r="M1" s="127" t="s">
        <v>17</v>
      </c>
      <c r="N1" s="127" t="s">
        <v>16</v>
      </c>
      <c r="O1" s="127" t="s">
        <v>5</v>
      </c>
      <c r="P1" s="127" t="s">
        <v>18</v>
      </c>
      <c r="Q1" s="106" t="s">
        <v>21</v>
      </c>
      <c r="R1" s="127" t="s">
        <v>1</v>
      </c>
      <c r="S1" s="127" t="s">
        <v>9</v>
      </c>
      <c r="T1" s="127" t="s">
        <v>0</v>
      </c>
      <c r="U1" s="127" t="s">
        <v>14</v>
      </c>
      <c r="V1" s="128" t="s">
        <v>20</v>
      </c>
    </row>
    <row r="2" spans="1:22" ht="15.75">
      <c r="A2" s="102">
        <v>42674</v>
      </c>
      <c r="B2" s="94">
        <v>40750</v>
      </c>
      <c r="C2" s="94">
        <v>40050</v>
      </c>
      <c r="D2" s="94">
        <v>15912.1</v>
      </c>
      <c r="E2" s="94">
        <v>17400</v>
      </c>
      <c r="F2" s="94">
        <v>21750</v>
      </c>
      <c r="G2" s="94">
        <v>5791.9</v>
      </c>
      <c r="H2" s="94">
        <v>11827.5</v>
      </c>
      <c r="I2" s="94">
        <v>27200</v>
      </c>
      <c r="J2" s="94">
        <v>23012.6</v>
      </c>
      <c r="K2" s="94">
        <v>11000</v>
      </c>
      <c r="L2" s="94">
        <v>65700</v>
      </c>
      <c r="M2" s="94">
        <v>145000</v>
      </c>
      <c r="N2" s="94">
        <v>43500</v>
      </c>
      <c r="O2" s="94">
        <v>142000</v>
      </c>
      <c r="P2" s="94">
        <v>68000</v>
      </c>
      <c r="Q2" s="130">
        <v>21250</v>
      </c>
      <c r="R2" s="94">
        <v>34507</v>
      </c>
      <c r="S2" s="94">
        <v>14613.4</v>
      </c>
      <c r="T2" s="94">
        <v>15366</v>
      </c>
      <c r="U2" s="94">
        <v>24250</v>
      </c>
      <c r="V2" s="96">
        <v>675.8</v>
      </c>
    </row>
    <row r="3" spans="1:22" ht="15.75">
      <c r="A3" s="102">
        <v>42704</v>
      </c>
      <c r="B3" s="94">
        <v>42100</v>
      </c>
      <c r="C3" s="94">
        <v>48600</v>
      </c>
      <c r="D3" s="94">
        <v>16263.7</v>
      </c>
      <c r="E3" s="94">
        <v>14300</v>
      </c>
      <c r="F3" s="94">
        <v>23000</v>
      </c>
      <c r="G3" s="94">
        <v>6790.5</v>
      </c>
      <c r="H3" s="94">
        <v>11325.3</v>
      </c>
      <c r="I3" s="94">
        <v>27200</v>
      </c>
      <c r="J3" s="94">
        <v>21262.6</v>
      </c>
      <c r="K3" s="94">
        <v>10750</v>
      </c>
      <c r="L3" s="94">
        <v>64100</v>
      </c>
      <c r="M3" s="94">
        <v>165000</v>
      </c>
      <c r="N3" s="94">
        <v>43350</v>
      </c>
      <c r="O3" s="94">
        <v>138000</v>
      </c>
      <c r="P3" s="94">
        <v>68900</v>
      </c>
      <c r="Q3" s="95">
        <v>22200</v>
      </c>
      <c r="R3" s="94">
        <v>33740</v>
      </c>
      <c r="S3" s="94">
        <v>14099.6</v>
      </c>
      <c r="T3" s="94">
        <v>14682</v>
      </c>
      <c r="U3" s="94">
        <v>21900</v>
      </c>
      <c r="V3" s="96">
        <v>665.07</v>
      </c>
    </row>
    <row r="4" spans="1:22" ht="15.75">
      <c r="A4" s="102">
        <v>42734</v>
      </c>
      <c r="B4" s="94">
        <v>43150</v>
      </c>
      <c r="C4" s="94">
        <v>50900</v>
      </c>
      <c r="D4" s="94">
        <v>15384.6</v>
      </c>
      <c r="E4" s="94">
        <v>13850</v>
      </c>
      <c r="F4" s="94">
        <v>22200</v>
      </c>
      <c r="G4" s="94">
        <v>6241.3</v>
      </c>
      <c r="H4" s="94">
        <v>11158</v>
      </c>
      <c r="I4" s="94">
        <v>27000</v>
      </c>
      <c r="J4" s="94">
        <v>21437.599999999999</v>
      </c>
      <c r="K4" s="94">
        <v>10150</v>
      </c>
      <c r="L4" s="94">
        <v>64800</v>
      </c>
      <c r="M4" s="94">
        <v>156000</v>
      </c>
      <c r="N4" s="94">
        <v>44000</v>
      </c>
      <c r="O4" s="94">
        <v>125600</v>
      </c>
      <c r="P4" s="94">
        <v>66500</v>
      </c>
      <c r="Q4" s="95">
        <v>24650</v>
      </c>
      <c r="R4" s="94">
        <v>33980</v>
      </c>
      <c r="S4" s="94">
        <v>13085.9</v>
      </c>
      <c r="T4" s="94">
        <v>13725</v>
      </c>
      <c r="U4" s="94">
        <v>20700</v>
      </c>
      <c r="V4" s="96">
        <v>664.87</v>
      </c>
    </row>
    <row r="5" spans="1:22" ht="15.75">
      <c r="A5" s="102">
        <v>42760</v>
      </c>
      <c r="B5" s="94">
        <v>42300</v>
      </c>
      <c r="C5" s="94">
        <v>49700</v>
      </c>
      <c r="D5" s="94">
        <v>15516.5</v>
      </c>
      <c r="E5" s="94">
        <v>13650</v>
      </c>
      <c r="F5" s="94">
        <v>23000</v>
      </c>
      <c r="G5" s="94">
        <v>6715.6</v>
      </c>
      <c r="H5" s="94">
        <v>10990.6</v>
      </c>
      <c r="I5" s="94">
        <v>28300</v>
      </c>
      <c r="J5" s="94">
        <v>21262.6</v>
      </c>
      <c r="K5" s="94">
        <v>9670</v>
      </c>
      <c r="L5" s="94">
        <v>41250</v>
      </c>
      <c r="M5" s="94">
        <v>160000</v>
      </c>
      <c r="N5" s="94">
        <v>45100</v>
      </c>
      <c r="O5" s="94">
        <v>129000</v>
      </c>
      <c r="P5" s="94">
        <v>69000</v>
      </c>
      <c r="Q5" s="95">
        <v>25700</v>
      </c>
      <c r="R5" s="94">
        <v>37670</v>
      </c>
      <c r="S5" s="94">
        <v>15574.1</v>
      </c>
      <c r="T5" s="94">
        <v>17630</v>
      </c>
      <c r="U5" s="94">
        <v>21000</v>
      </c>
      <c r="V5" s="96">
        <v>697.28</v>
      </c>
    </row>
    <row r="6" spans="1:22" ht="15.75">
      <c r="A6" s="102">
        <v>42794</v>
      </c>
      <c r="B6" s="94">
        <v>40000</v>
      </c>
      <c r="C6" s="94">
        <v>47250</v>
      </c>
      <c r="D6" s="94">
        <v>16043.9</v>
      </c>
      <c r="E6" s="94">
        <v>14400</v>
      </c>
      <c r="F6" s="94">
        <v>22600</v>
      </c>
      <c r="G6" s="94">
        <v>8238.5</v>
      </c>
      <c r="H6" s="94">
        <v>12218</v>
      </c>
      <c r="I6" s="94">
        <v>34700</v>
      </c>
      <c r="J6" s="94">
        <v>21000.1</v>
      </c>
      <c r="K6" s="94">
        <v>10900</v>
      </c>
      <c r="L6" s="94">
        <v>41000</v>
      </c>
      <c r="M6" s="94">
        <v>167100</v>
      </c>
      <c r="N6" s="94">
        <v>45850</v>
      </c>
      <c r="O6" s="94">
        <v>131400</v>
      </c>
      <c r="P6" s="94">
        <v>75000</v>
      </c>
      <c r="Q6" s="95">
        <v>25100</v>
      </c>
      <c r="R6" s="94">
        <v>35849</v>
      </c>
      <c r="S6" s="94">
        <v>15159.4</v>
      </c>
      <c r="T6" s="94">
        <v>17345</v>
      </c>
      <c r="U6" s="94">
        <v>22200</v>
      </c>
      <c r="V6" s="96">
        <v>710.79</v>
      </c>
    </row>
    <row r="7" spans="1:22" ht="15.75">
      <c r="A7" s="102">
        <v>42825</v>
      </c>
      <c r="B7" s="94">
        <v>30550</v>
      </c>
      <c r="C7" s="94">
        <v>49500</v>
      </c>
      <c r="D7" s="94">
        <v>17802.2</v>
      </c>
      <c r="E7" s="94">
        <v>15000</v>
      </c>
      <c r="F7" s="94">
        <v>26500</v>
      </c>
      <c r="G7" s="94">
        <v>10285.6</v>
      </c>
      <c r="H7" s="94">
        <v>14142.7</v>
      </c>
      <c r="I7" s="94">
        <v>34600</v>
      </c>
      <c r="J7" s="94">
        <v>21612.6</v>
      </c>
      <c r="K7" s="94">
        <v>10450</v>
      </c>
      <c r="L7" s="94">
        <v>47050</v>
      </c>
      <c r="M7" s="94">
        <v>168300</v>
      </c>
      <c r="N7" s="94">
        <v>47300</v>
      </c>
      <c r="O7" s="94">
        <v>143300</v>
      </c>
      <c r="P7" s="94">
        <v>75800</v>
      </c>
      <c r="Q7" s="95">
        <v>27300</v>
      </c>
      <c r="R7" s="94">
        <v>35370</v>
      </c>
      <c r="S7" s="94">
        <v>16173.1</v>
      </c>
      <c r="T7" s="94">
        <v>17202</v>
      </c>
      <c r="U7" s="94">
        <v>20050</v>
      </c>
      <c r="V7" s="96">
        <v>722.31</v>
      </c>
    </row>
    <row r="8" spans="1:22" ht="15.75">
      <c r="A8" s="102">
        <v>42853</v>
      </c>
      <c r="B8" s="94">
        <v>29400</v>
      </c>
      <c r="C8" s="94">
        <v>48350</v>
      </c>
      <c r="D8" s="94">
        <v>18681.3</v>
      </c>
      <c r="E8" s="94">
        <v>14850</v>
      </c>
      <c r="F8" s="94">
        <v>28000</v>
      </c>
      <c r="G8" s="94">
        <v>10809.9</v>
      </c>
      <c r="H8" s="94">
        <v>13947.5</v>
      </c>
      <c r="I8" s="94">
        <v>34850</v>
      </c>
      <c r="J8" s="94">
        <v>23887.599999999999</v>
      </c>
      <c r="K8" s="94">
        <v>13150</v>
      </c>
      <c r="L8" s="94">
        <v>44450</v>
      </c>
      <c r="M8" s="94">
        <v>167000</v>
      </c>
      <c r="N8" s="94">
        <v>46450</v>
      </c>
      <c r="O8" s="94">
        <v>148000</v>
      </c>
      <c r="P8" s="94">
        <v>87900</v>
      </c>
      <c r="Q8" s="95">
        <v>27850</v>
      </c>
      <c r="R8" s="94">
        <v>33645</v>
      </c>
      <c r="S8" s="94">
        <v>15297.6</v>
      </c>
      <c r="T8" s="94">
        <v>16489</v>
      </c>
      <c r="U8" s="94">
        <v>17700</v>
      </c>
      <c r="V8" s="96">
        <v>717.73</v>
      </c>
    </row>
    <row r="9" spans="1:22" ht="15.75">
      <c r="A9" s="102">
        <v>42886</v>
      </c>
      <c r="B9" s="94">
        <v>30400</v>
      </c>
      <c r="C9" s="94">
        <v>32800</v>
      </c>
      <c r="D9" s="94">
        <v>23202.2</v>
      </c>
      <c r="E9" s="94">
        <v>15800</v>
      </c>
      <c r="F9" s="94">
        <v>27900</v>
      </c>
      <c r="G9" s="94">
        <v>9882.1</v>
      </c>
      <c r="H9" s="94">
        <v>15509.6</v>
      </c>
      <c r="I9" s="94">
        <v>40000</v>
      </c>
      <c r="J9" s="94">
        <v>26293.9</v>
      </c>
      <c r="K9" s="94">
        <v>12900</v>
      </c>
      <c r="L9" s="94">
        <v>43200</v>
      </c>
      <c r="M9" s="94">
        <v>93500</v>
      </c>
      <c r="N9" s="94">
        <v>43000</v>
      </c>
      <c r="O9" s="94">
        <v>149700</v>
      </c>
      <c r="P9" s="94">
        <v>95300</v>
      </c>
      <c r="Q9" s="95">
        <v>31650</v>
      </c>
      <c r="R9" s="94">
        <v>34699</v>
      </c>
      <c r="S9" s="94">
        <v>17002.5</v>
      </c>
      <c r="T9" s="94">
        <v>17867</v>
      </c>
      <c r="U9" s="94">
        <v>15600</v>
      </c>
      <c r="V9" s="96">
        <v>737.82</v>
      </c>
    </row>
    <row r="10" spans="1:22" ht="15.75">
      <c r="A10" s="102">
        <v>42916</v>
      </c>
      <c r="B10" s="94">
        <v>32000</v>
      </c>
      <c r="C10" s="94">
        <v>32400</v>
      </c>
      <c r="D10" s="94">
        <v>22588</v>
      </c>
      <c r="E10" s="94">
        <v>16850</v>
      </c>
      <c r="F10" s="94">
        <v>28500</v>
      </c>
      <c r="G10" s="94">
        <v>9968.6</v>
      </c>
      <c r="H10" s="94">
        <v>15537.5</v>
      </c>
      <c r="I10" s="94">
        <v>43000</v>
      </c>
      <c r="J10" s="94">
        <v>30668.9</v>
      </c>
      <c r="K10" s="94">
        <v>14250</v>
      </c>
      <c r="L10" s="94">
        <v>42000</v>
      </c>
      <c r="M10" s="94">
        <v>102900</v>
      </c>
      <c r="N10" s="94">
        <v>46850</v>
      </c>
      <c r="O10" s="94">
        <v>157600</v>
      </c>
      <c r="P10" s="94">
        <v>101800</v>
      </c>
      <c r="Q10" s="95">
        <v>36900</v>
      </c>
      <c r="R10" s="94">
        <v>36904</v>
      </c>
      <c r="S10" s="94">
        <v>18799.5</v>
      </c>
      <c r="T10" s="94">
        <v>19245</v>
      </c>
      <c r="U10" s="94">
        <v>13850</v>
      </c>
      <c r="V10" s="96">
        <v>776.47</v>
      </c>
    </row>
    <row r="11" spans="1:22" ht="15.75">
      <c r="A11" s="102">
        <v>42947</v>
      </c>
      <c r="B11" s="94">
        <v>32300</v>
      </c>
      <c r="C11" s="94">
        <v>28000</v>
      </c>
      <c r="D11" s="94">
        <v>21700.9</v>
      </c>
      <c r="E11" s="94">
        <v>14650</v>
      </c>
      <c r="F11" s="94">
        <v>30350</v>
      </c>
      <c r="G11" s="94">
        <v>11005.7</v>
      </c>
      <c r="H11" s="94">
        <v>15621.2</v>
      </c>
      <c r="I11" s="94">
        <v>40500</v>
      </c>
      <c r="J11" s="94">
        <v>35393.9</v>
      </c>
      <c r="K11" s="94">
        <v>13600</v>
      </c>
      <c r="L11" s="94">
        <v>42800</v>
      </c>
      <c r="M11" s="94">
        <v>100500</v>
      </c>
      <c r="N11" s="94">
        <v>48350</v>
      </c>
      <c r="O11" s="94">
        <v>152600</v>
      </c>
      <c r="P11" s="94">
        <v>103900</v>
      </c>
      <c r="Q11" s="95">
        <v>37200</v>
      </c>
      <c r="R11" s="94">
        <v>36185</v>
      </c>
      <c r="S11" s="94">
        <v>20458.2</v>
      </c>
      <c r="T11" s="94">
        <v>19388</v>
      </c>
      <c r="U11" s="94">
        <v>13300</v>
      </c>
      <c r="V11" s="96">
        <v>783.55</v>
      </c>
    </row>
    <row r="12" spans="1:22" ht="15.75">
      <c r="A12" s="102">
        <v>42978</v>
      </c>
      <c r="B12" s="94">
        <v>35050</v>
      </c>
      <c r="C12" s="94">
        <v>29850</v>
      </c>
      <c r="D12" s="94">
        <v>22553.9</v>
      </c>
      <c r="E12" s="94">
        <v>15100</v>
      </c>
      <c r="F12" s="94">
        <v>28150</v>
      </c>
      <c r="G12" s="94">
        <v>11754.8</v>
      </c>
      <c r="H12" s="94">
        <v>15621.2</v>
      </c>
      <c r="I12" s="94">
        <v>42600</v>
      </c>
      <c r="J12" s="94">
        <v>28131.4</v>
      </c>
      <c r="K12" s="94">
        <v>13550</v>
      </c>
      <c r="L12" s="94">
        <v>47500</v>
      </c>
      <c r="M12" s="94">
        <v>109400</v>
      </c>
      <c r="N12" s="94">
        <v>48500</v>
      </c>
      <c r="O12" s="94">
        <v>148400</v>
      </c>
      <c r="P12" s="94">
        <v>107500</v>
      </c>
      <c r="Q12" s="95">
        <v>35150</v>
      </c>
      <c r="R12" s="94">
        <v>35562</v>
      </c>
      <c r="S12" s="94">
        <v>19685.7</v>
      </c>
      <c r="T12" s="94">
        <v>18105</v>
      </c>
      <c r="U12" s="94">
        <v>13800</v>
      </c>
      <c r="V12" s="96">
        <v>782.76</v>
      </c>
    </row>
    <row r="13" spans="1:22" ht="15.75">
      <c r="A13" s="102">
        <v>43007</v>
      </c>
      <c r="B13" s="94">
        <v>38900</v>
      </c>
      <c r="C13" s="94">
        <v>28600</v>
      </c>
      <c r="D13" s="94">
        <v>24055.200000000001</v>
      </c>
      <c r="E13" s="94">
        <v>14600</v>
      </c>
      <c r="F13" s="94">
        <v>27050</v>
      </c>
      <c r="G13" s="94">
        <v>12100.6</v>
      </c>
      <c r="H13" s="94">
        <v>15993.1</v>
      </c>
      <c r="I13" s="94">
        <v>43750</v>
      </c>
      <c r="J13" s="94">
        <v>22750.1</v>
      </c>
      <c r="K13" s="94">
        <v>13650</v>
      </c>
      <c r="L13" s="94">
        <v>55100</v>
      </c>
      <c r="M13" s="94">
        <v>116300</v>
      </c>
      <c r="N13" s="94">
        <v>48750</v>
      </c>
      <c r="O13" s="94">
        <v>149200</v>
      </c>
      <c r="P13" s="94">
        <v>113800</v>
      </c>
      <c r="Q13" s="95">
        <v>35100</v>
      </c>
      <c r="R13" s="94">
        <v>36822</v>
      </c>
      <c r="S13" s="94">
        <v>18639.599999999999</v>
      </c>
      <c r="T13" s="94">
        <v>18239</v>
      </c>
      <c r="U13" s="94">
        <v>14150</v>
      </c>
      <c r="V13" s="96">
        <v>804.42</v>
      </c>
    </row>
    <row r="14" spans="1:22" ht="15.75">
      <c r="A14" s="102">
        <v>43039</v>
      </c>
      <c r="B14" s="94">
        <v>37000</v>
      </c>
      <c r="C14" s="94">
        <v>23150</v>
      </c>
      <c r="D14" s="94">
        <v>23645.7</v>
      </c>
      <c r="E14" s="94">
        <v>12850</v>
      </c>
      <c r="F14" s="94">
        <v>26750</v>
      </c>
      <c r="G14" s="94">
        <v>10799.7</v>
      </c>
      <c r="H14" s="94">
        <v>17292.5</v>
      </c>
      <c r="I14" s="94">
        <v>40500</v>
      </c>
      <c r="J14" s="94">
        <v>18112.599999999999</v>
      </c>
      <c r="K14" s="94">
        <v>12500</v>
      </c>
      <c r="L14" s="94">
        <v>59500</v>
      </c>
      <c r="M14" s="94">
        <v>128500</v>
      </c>
      <c r="N14" s="94">
        <v>50400</v>
      </c>
      <c r="O14" s="94">
        <v>151000</v>
      </c>
      <c r="P14" s="94">
        <v>107600</v>
      </c>
      <c r="Q14" s="95">
        <v>34200</v>
      </c>
      <c r="R14" s="94">
        <v>40544</v>
      </c>
      <c r="S14" s="94">
        <v>20779.3</v>
      </c>
      <c r="T14" s="94">
        <v>18485</v>
      </c>
      <c r="U14" s="94">
        <v>14900</v>
      </c>
      <c r="V14" s="96">
        <v>837.28</v>
      </c>
    </row>
    <row r="15" spans="1:22" ht="15.75">
      <c r="A15" s="102">
        <v>43069</v>
      </c>
      <c r="B15" s="94">
        <v>41200</v>
      </c>
      <c r="C15" s="94">
        <v>23800</v>
      </c>
      <c r="D15" s="94">
        <v>26990.5</v>
      </c>
      <c r="E15" s="94">
        <v>13800</v>
      </c>
      <c r="F15" s="94">
        <v>29400</v>
      </c>
      <c r="G15" s="94">
        <v>11919</v>
      </c>
      <c r="H15" s="94">
        <v>19658.2</v>
      </c>
      <c r="I15" s="94">
        <v>42800</v>
      </c>
      <c r="J15" s="94">
        <v>17675.099999999999</v>
      </c>
      <c r="K15" s="94">
        <v>12750</v>
      </c>
      <c r="L15" s="94">
        <v>67100</v>
      </c>
      <c r="M15" s="94">
        <v>135000</v>
      </c>
      <c r="N15" s="94">
        <v>58400</v>
      </c>
      <c r="O15" s="94">
        <v>186700</v>
      </c>
      <c r="P15" s="94">
        <v>124600</v>
      </c>
      <c r="Q15" s="95">
        <v>39800</v>
      </c>
      <c r="R15" s="94">
        <v>47497</v>
      </c>
      <c r="S15" s="94">
        <v>24393.1</v>
      </c>
      <c r="T15" s="94">
        <v>23957</v>
      </c>
      <c r="U15" s="94">
        <v>18750</v>
      </c>
      <c r="V15" s="96">
        <v>949.93</v>
      </c>
    </row>
    <row r="16" spans="1:22" ht="15.75">
      <c r="A16" s="102">
        <v>43098</v>
      </c>
      <c r="B16" s="94">
        <v>46850</v>
      </c>
      <c r="C16" s="94">
        <v>24500</v>
      </c>
      <c r="D16" s="94">
        <v>27165.5</v>
      </c>
      <c r="E16" s="94">
        <v>13400</v>
      </c>
      <c r="F16" s="94">
        <v>30100</v>
      </c>
      <c r="G16" s="94">
        <v>13038.3</v>
      </c>
      <c r="H16" s="94">
        <v>18258.8</v>
      </c>
      <c r="I16" s="94">
        <v>40150</v>
      </c>
      <c r="J16" s="94">
        <v>18200.099999999999</v>
      </c>
      <c r="K16" s="94">
        <v>13600</v>
      </c>
      <c r="L16" s="94">
        <v>76700</v>
      </c>
      <c r="M16" s="94">
        <v>131000</v>
      </c>
      <c r="N16" s="94">
        <v>57100</v>
      </c>
      <c r="O16" s="94">
        <v>208600</v>
      </c>
      <c r="P16" s="94">
        <v>137000</v>
      </c>
      <c r="Q16" s="95">
        <v>41500</v>
      </c>
      <c r="R16" s="94">
        <v>53177</v>
      </c>
      <c r="S16" s="94">
        <v>24250.400000000001</v>
      </c>
      <c r="T16" s="94">
        <v>23858</v>
      </c>
      <c r="U16" s="94">
        <v>23350</v>
      </c>
      <c r="V16" s="96">
        <v>984.24</v>
      </c>
    </row>
    <row r="17" spans="1:22" ht="15.75">
      <c r="A17" s="102">
        <v>43131</v>
      </c>
      <c r="B17" s="94">
        <v>62300</v>
      </c>
      <c r="C17" s="94">
        <v>26100</v>
      </c>
      <c r="D17" s="94">
        <v>28985.9</v>
      </c>
      <c r="E17" s="94">
        <v>14050</v>
      </c>
      <c r="F17" s="94">
        <v>34900</v>
      </c>
      <c r="G17" s="94">
        <v>18453.3</v>
      </c>
      <c r="H17" s="94">
        <v>22990.1</v>
      </c>
      <c r="I17" s="94">
        <v>43900</v>
      </c>
      <c r="J17" s="94">
        <v>17893.8</v>
      </c>
      <c r="K17" s="94">
        <v>13450</v>
      </c>
      <c r="L17" s="94">
        <v>92100</v>
      </c>
      <c r="M17" s="94">
        <v>125500</v>
      </c>
      <c r="N17" s="94">
        <v>62900</v>
      </c>
      <c r="O17" s="94">
        <v>203500</v>
      </c>
      <c r="P17" s="94">
        <v>149000</v>
      </c>
      <c r="Q17" s="95">
        <v>42650</v>
      </c>
      <c r="R17" s="94">
        <v>65222</v>
      </c>
      <c r="S17" s="94">
        <v>32524.1</v>
      </c>
      <c r="T17" s="94">
        <v>26816</v>
      </c>
      <c r="U17" s="94">
        <v>27450</v>
      </c>
      <c r="V17" s="96">
        <v>1110.3599999999999</v>
      </c>
    </row>
    <row r="18" spans="1:22" ht="15.75">
      <c r="A18" s="102">
        <v>43159</v>
      </c>
      <c r="B18" s="94">
        <v>66000</v>
      </c>
      <c r="C18" s="94">
        <v>24300</v>
      </c>
      <c r="D18" s="94">
        <v>23524.799999999999</v>
      </c>
      <c r="E18" s="94">
        <v>12950</v>
      </c>
      <c r="F18" s="94">
        <v>32000</v>
      </c>
      <c r="G18" s="94">
        <v>20147.400000000001</v>
      </c>
      <c r="H18" s="94">
        <v>22990.1</v>
      </c>
      <c r="I18" s="94">
        <v>41600</v>
      </c>
      <c r="J18" s="94">
        <v>15662.6</v>
      </c>
      <c r="K18" s="94">
        <v>12100</v>
      </c>
      <c r="L18" s="94">
        <v>89200</v>
      </c>
      <c r="M18" s="94">
        <v>124000</v>
      </c>
      <c r="N18" s="94">
        <v>59800</v>
      </c>
      <c r="O18" s="94">
        <v>196000</v>
      </c>
      <c r="P18" s="94">
        <v>166700</v>
      </c>
      <c r="Q18" s="95">
        <v>38500</v>
      </c>
      <c r="R18" s="94">
        <v>72273</v>
      </c>
      <c r="S18" s="94">
        <v>37088.9</v>
      </c>
      <c r="T18" s="94">
        <v>33125</v>
      </c>
      <c r="U18" s="94">
        <v>23000</v>
      </c>
      <c r="V18" s="96">
        <v>1121.54</v>
      </c>
    </row>
    <row r="19" spans="1:22" ht="15.75">
      <c r="A19" s="102">
        <v>43189</v>
      </c>
      <c r="B19" s="94">
        <v>60400</v>
      </c>
      <c r="C19" s="94">
        <v>22800</v>
      </c>
      <c r="D19" s="94">
        <v>22194.5</v>
      </c>
      <c r="E19" s="94">
        <v>13350</v>
      </c>
      <c r="F19" s="94">
        <v>36900</v>
      </c>
      <c r="G19" s="94">
        <v>22023</v>
      </c>
      <c r="H19" s="94">
        <v>24156.3</v>
      </c>
      <c r="I19" s="94">
        <v>30750</v>
      </c>
      <c r="J19" s="94">
        <v>15400.1</v>
      </c>
      <c r="K19" s="94">
        <v>12250</v>
      </c>
      <c r="L19" s="94">
        <v>113500</v>
      </c>
      <c r="M19" s="94">
        <v>112800</v>
      </c>
      <c r="N19" s="94">
        <v>60700</v>
      </c>
      <c r="O19" s="94">
        <v>203000</v>
      </c>
      <c r="P19" s="94">
        <v>206000</v>
      </c>
      <c r="Q19" s="95">
        <v>37700</v>
      </c>
      <c r="R19" s="94">
        <v>69042</v>
      </c>
      <c r="S19" s="94">
        <v>41273.300000000003</v>
      </c>
      <c r="T19" s="94">
        <v>34111</v>
      </c>
      <c r="U19" s="94">
        <v>19100</v>
      </c>
      <c r="V19" s="96">
        <v>1174.46</v>
      </c>
    </row>
    <row r="20" spans="1:22" ht="15.75">
      <c r="A20" s="102">
        <v>43217</v>
      </c>
      <c r="B20" s="94">
        <v>53800</v>
      </c>
      <c r="C20" s="94">
        <v>16750</v>
      </c>
      <c r="D20" s="94">
        <v>16103.3</v>
      </c>
      <c r="E20" s="94">
        <v>13300</v>
      </c>
      <c r="F20" s="94">
        <v>36000</v>
      </c>
      <c r="G20" s="94">
        <v>19905.400000000001</v>
      </c>
      <c r="H20" s="94">
        <v>24322.9</v>
      </c>
      <c r="I20" s="94">
        <v>26500</v>
      </c>
      <c r="J20" s="94">
        <v>15837.6</v>
      </c>
      <c r="K20" s="94">
        <v>12000</v>
      </c>
      <c r="L20" s="94">
        <v>91800</v>
      </c>
      <c r="M20" s="94">
        <v>102000</v>
      </c>
      <c r="N20" s="94">
        <v>57000</v>
      </c>
      <c r="O20" s="94">
        <v>185000</v>
      </c>
      <c r="P20" s="94">
        <v>171000</v>
      </c>
      <c r="Q20" s="95">
        <v>35900</v>
      </c>
      <c r="R20" s="94">
        <v>58759</v>
      </c>
      <c r="S20" s="94">
        <v>34331</v>
      </c>
      <c r="T20" s="94">
        <v>28886</v>
      </c>
      <c r="U20" s="94">
        <v>17000</v>
      </c>
      <c r="V20" s="96">
        <v>1050.26</v>
      </c>
    </row>
    <row r="21" spans="1:22" ht="15.75">
      <c r="A21" s="102">
        <v>43251</v>
      </c>
      <c r="B21" s="94">
        <v>56100</v>
      </c>
      <c r="C21" s="94">
        <v>10600</v>
      </c>
      <c r="D21" s="94">
        <v>14282.9</v>
      </c>
      <c r="E21" s="94">
        <v>12600</v>
      </c>
      <c r="F21" s="94">
        <v>29900</v>
      </c>
      <c r="G21" s="94">
        <v>21023.200000000001</v>
      </c>
      <c r="H21" s="94">
        <v>22090.5</v>
      </c>
      <c r="I21" s="94">
        <v>25550</v>
      </c>
      <c r="J21" s="94">
        <v>12906.3</v>
      </c>
      <c r="K21" s="94">
        <v>10400</v>
      </c>
      <c r="L21" s="94">
        <v>81000</v>
      </c>
      <c r="M21" s="94">
        <v>106200</v>
      </c>
      <c r="N21" s="94">
        <v>46000</v>
      </c>
      <c r="O21" s="94">
        <v>164200</v>
      </c>
      <c r="P21" s="94">
        <v>167000</v>
      </c>
      <c r="Q21" s="95">
        <v>32950</v>
      </c>
      <c r="R21" s="94">
        <v>52981</v>
      </c>
      <c r="S21" s="94">
        <v>27816.7</v>
      </c>
      <c r="T21" s="94">
        <v>26717</v>
      </c>
      <c r="U21" s="94">
        <v>13450</v>
      </c>
      <c r="V21" s="96">
        <v>971.25</v>
      </c>
    </row>
    <row r="22" spans="1:22" ht="15.75">
      <c r="A22" s="102">
        <v>43280</v>
      </c>
      <c r="B22" s="94">
        <v>38400</v>
      </c>
      <c r="C22" s="94">
        <v>12100</v>
      </c>
      <c r="D22" s="94">
        <v>15291.1</v>
      </c>
      <c r="E22" s="94">
        <v>11950</v>
      </c>
      <c r="F22" s="94">
        <v>28000</v>
      </c>
      <c r="G22" s="94">
        <v>18561.900000000001</v>
      </c>
      <c r="H22" s="94">
        <v>20657.8</v>
      </c>
      <c r="I22" s="94">
        <v>25050</v>
      </c>
      <c r="J22" s="94">
        <v>13562.6</v>
      </c>
      <c r="K22" s="94">
        <v>10550</v>
      </c>
      <c r="L22" s="94">
        <v>79000</v>
      </c>
      <c r="M22" s="94">
        <v>114000</v>
      </c>
      <c r="N22" s="94">
        <v>41500</v>
      </c>
      <c r="O22" s="94">
        <v>170000</v>
      </c>
      <c r="P22" s="94">
        <v>87000</v>
      </c>
      <c r="Q22" s="95">
        <v>31900</v>
      </c>
      <c r="R22" s="94">
        <v>56800</v>
      </c>
      <c r="S22" s="94">
        <v>24725.9</v>
      </c>
      <c r="T22" s="94">
        <v>23907</v>
      </c>
      <c r="U22" s="94">
        <v>13650</v>
      </c>
      <c r="V22" s="96">
        <v>960.78</v>
      </c>
    </row>
    <row r="23" spans="1:22" ht="15.75">
      <c r="A23" s="102">
        <v>43312</v>
      </c>
      <c r="B23" s="94">
        <v>37350</v>
      </c>
      <c r="C23" s="94">
        <v>11250</v>
      </c>
      <c r="D23" s="94">
        <v>13918.8</v>
      </c>
      <c r="E23" s="94">
        <v>11950</v>
      </c>
      <c r="F23" s="94">
        <v>30600</v>
      </c>
      <c r="G23" s="94">
        <v>17775.7</v>
      </c>
      <c r="H23" s="94">
        <v>20058</v>
      </c>
      <c r="I23" s="94">
        <v>26300</v>
      </c>
      <c r="J23" s="94">
        <v>14612.6</v>
      </c>
      <c r="K23" s="94">
        <v>10350</v>
      </c>
      <c r="L23" s="94">
        <v>84200</v>
      </c>
      <c r="M23" s="94">
        <v>116800</v>
      </c>
      <c r="N23" s="94">
        <v>42800</v>
      </c>
      <c r="O23" s="94">
        <v>168200</v>
      </c>
      <c r="P23" s="94">
        <v>96500</v>
      </c>
      <c r="Q23" s="95">
        <v>35300</v>
      </c>
      <c r="R23" s="94">
        <v>57290</v>
      </c>
      <c r="S23" s="94">
        <v>25011.200000000001</v>
      </c>
      <c r="T23" s="94">
        <v>23267</v>
      </c>
      <c r="U23" s="94">
        <v>13150</v>
      </c>
      <c r="V23" s="96">
        <v>956.39</v>
      </c>
    </row>
    <row r="24" spans="1:22" ht="15.75">
      <c r="A24" s="102">
        <v>43343</v>
      </c>
      <c r="B24" s="94">
        <v>39950</v>
      </c>
      <c r="C24" s="94">
        <v>10800</v>
      </c>
      <c r="D24" s="94">
        <v>13085.6</v>
      </c>
      <c r="E24" s="94">
        <v>12100</v>
      </c>
      <c r="F24" s="94">
        <v>31000</v>
      </c>
      <c r="G24" s="94">
        <v>19416.5</v>
      </c>
      <c r="H24" s="94">
        <v>21324.1</v>
      </c>
      <c r="I24" s="94">
        <v>26450</v>
      </c>
      <c r="J24" s="94">
        <v>16625.099999999999</v>
      </c>
      <c r="K24" s="94">
        <v>10150</v>
      </c>
      <c r="L24" s="94">
        <v>95000</v>
      </c>
      <c r="M24" s="94">
        <v>120000</v>
      </c>
      <c r="N24" s="94">
        <v>44200</v>
      </c>
      <c r="O24" s="94">
        <v>156700</v>
      </c>
      <c r="P24" s="94">
        <v>103100</v>
      </c>
      <c r="Q24" s="95">
        <v>35800</v>
      </c>
      <c r="R24" s="94">
        <v>61207</v>
      </c>
      <c r="S24" s="94">
        <v>32714.3</v>
      </c>
      <c r="T24" s="94">
        <v>26767</v>
      </c>
      <c r="U24" s="94">
        <v>15450</v>
      </c>
      <c r="V24" s="96">
        <v>989.54</v>
      </c>
    </row>
    <row r="25" spans="1:22" ht="15.75">
      <c r="A25" s="102">
        <v>43371</v>
      </c>
      <c r="B25" s="94">
        <v>42300</v>
      </c>
      <c r="C25" s="94">
        <v>12650</v>
      </c>
      <c r="D25" s="94">
        <v>14605</v>
      </c>
      <c r="E25" s="94">
        <v>12700</v>
      </c>
      <c r="F25" s="94">
        <v>32600</v>
      </c>
      <c r="G25" s="94">
        <v>20578.8</v>
      </c>
      <c r="H25" s="94">
        <v>24122.2</v>
      </c>
      <c r="I25" s="94">
        <v>26900</v>
      </c>
      <c r="J25" s="94">
        <v>18550.099999999999</v>
      </c>
      <c r="K25" s="94">
        <v>11000</v>
      </c>
      <c r="L25" s="94">
        <v>92800</v>
      </c>
      <c r="M25" s="94">
        <v>127200</v>
      </c>
      <c r="N25" s="94">
        <v>46300</v>
      </c>
      <c r="O25" s="94">
        <v>137300</v>
      </c>
      <c r="P25" s="94">
        <v>105500</v>
      </c>
      <c r="Q25" s="95">
        <v>36900</v>
      </c>
      <c r="R25" s="94">
        <v>61697</v>
      </c>
      <c r="S25" s="94">
        <v>33475.1</v>
      </c>
      <c r="T25" s="94">
        <v>27161</v>
      </c>
      <c r="U25" s="94">
        <v>20700</v>
      </c>
      <c r="V25" s="96">
        <v>1017.13</v>
      </c>
    </row>
    <row r="26" spans="1:22" ht="15.75">
      <c r="A26" s="102">
        <v>43404</v>
      </c>
      <c r="B26" s="94">
        <v>40250</v>
      </c>
      <c r="C26" s="94">
        <v>9230</v>
      </c>
      <c r="D26" s="94">
        <v>9762.7999999999993</v>
      </c>
      <c r="E26" s="94">
        <v>12100</v>
      </c>
      <c r="F26" s="94">
        <v>28800</v>
      </c>
      <c r="G26" s="94">
        <v>16613.5</v>
      </c>
      <c r="H26" s="94">
        <v>22845.200000000001</v>
      </c>
      <c r="I26" s="94">
        <v>27450</v>
      </c>
      <c r="J26" s="94">
        <v>18112.599999999999</v>
      </c>
      <c r="K26" s="94">
        <v>9800</v>
      </c>
      <c r="L26" s="94">
        <v>83000</v>
      </c>
      <c r="M26" s="94">
        <v>112800</v>
      </c>
      <c r="N26" s="94">
        <v>41950</v>
      </c>
      <c r="O26" s="94">
        <v>116100</v>
      </c>
      <c r="P26" s="94">
        <v>97000</v>
      </c>
      <c r="Q26" s="95">
        <v>31500</v>
      </c>
      <c r="R26" s="94">
        <v>55150</v>
      </c>
      <c r="S26" s="94">
        <v>28054.400000000001</v>
      </c>
      <c r="T26" s="94">
        <v>23069</v>
      </c>
      <c r="U26" s="94">
        <v>16650</v>
      </c>
      <c r="V26" s="96">
        <v>914.76</v>
      </c>
    </row>
    <row r="27" spans="1:22" ht="15.75">
      <c r="A27" s="102">
        <v>43434</v>
      </c>
      <c r="B27" s="94">
        <v>33200</v>
      </c>
      <c r="C27" s="94">
        <v>6620</v>
      </c>
      <c r="D27" s="94">
        <v>7449.5</v>
      </c>
      <c r="E27" s="94">
        <v>12700</v>
      </c>
      <c r="F27" s="94">
        <v>28500</v>
      </c>
      <c r="G27" s="94">
        <v>16579.3</v>
      </c>
      <c r="H27" s="94">
        <v>21319.8</v>
      </c>
      <c r="I27" s="94">
        <v>27700</v>
      </c>
      <c r="J27" s="94">
        <v>18462.599999999999</v>
      </c>
      <c r="K27" s="94">
        <v>10400</v>
      </c>
      <c r="L27" s="94">
        <v>80000</v>
      </c>
      <c r="M27" s="94">
        <v>84500</v>
      </c>
      <c r="N27" s="94">
        <v>42900</v>
      </c>
      <c r="O27" s="94">
        <v>128000</v>
      </c>
      <c r="P27" s="94">
        <v>92100</v>
      </c>
      <c r="Q27" s="95">
        <v>31800</v>
      </c>
      <c r="R27" s="94">
        <v>54952</v>
      </c>
      <c r="S27" s="94">
        <v>29861.3</v>
      </c>
      <c r="T27" s="94">
        <v>22675</v>
      </c>
      <c r="U27" s="94">
        <v>15850</v>
      </c>
      <c r="V27" s="96">
        <v>926.54</v>
      </c>
    </row>
    <row r="28" spans="1:22" ht="15.75">
      <c r="A28" s="102">
        <v>43462</v>
      </c>
      <c r="B28" s="94">
        <v>30950</v>
      </c>
      <c r="C28" s="94">
        <v>6510</v>
      </c>
      <c r="D28" s="94">
        <v>7753.4</v>
      </c>
      <c r="E28" s="94">
        <v>13150</v>
      </c>
      <c r="F28" s="94">
        <v>25800</v>
      </c>
      <c r="G28" s="94">
        <v>16271.6</v>
      </c>
      <c r="H28" s="94">
        <v>23412.7</v>
      </c>
      <c r="I28" s="94">
        <v>26150</v>
      </c>
      <c r="J28" s="94">
        <v>18562.3</v>
      </c>
      <c r="K28" s="94">
        <v>10300</v>
      </c>
      <c r="L28" s="94">
        <v>77500</v>
      </c>
      <c r="M28" s="94">
        <v>87000</v>
      </c>
      <c r="N28" s="94">
        <v>42200</v>
      </c>
      <c r="O28" s="94">
        <v>120000</v>
      </c>
      <c r="P28" s="94">
        <v>93200</v>
      </c>
      <c r="Q28" s="95">
        <v>30800</v>
      </c>
      <c r="R28" s="94">
        <v>53067</v>
      </c>
      <c r="S28" s="94">
        <v>32714.3</v>
      </c>
      <c r="T28" s="94">
        <v>19027</v>
      </c>
      <c r="U28" s="94">
        <v>14600</v>
      </c>
      <c r="V28" s="96">
        <v>892.54</v>
      </c>
    </row>
    <row r="29" spans="1:22" ht="15.75">
      <c r="A29" s="102">
        <v>43496</v>
      </c>
      <c r="B29" s="94">
        <v>27700</v>
      </c>
      <c r="C29" s="94">
        <v>6600</v>
      </c>
      <c r="D29" s="94">
        <v>5989</v>
      </c>
      <c r="E29" s="94">
        <v>14100</v>
      </c>
      <c r="F29" s="94">
        <v>26150</v>
      </c>
      <c r="G29" s="94">
        <v>15827.2</v>
      </c>
      <c r="H29" s="94">
        <v>21355.3</v>
      </c>
      <c r="I29" s="94">
        <v>25800</v>
      </c>
      <c r="J29" s="94">
        <v>18824.7</v>
      </c>
      <c r="K29" s="94">
        <v>8900</v>
      </c>
      <c r="L29" s="94">
        <v>77700</v>
      </c>
      <c r="M29" s="94">
        <v>83000</v>
      </c>
      <c r="N29" s="94">
        <v>43200</v>
      </c>
      <c r="O29" s="94">
        <v>135000</v>
      </c>
      <c r="P29" s="94">
        <v>95000</v>
      </c>
      <c r="Q29" s="95">
        <v>33700</v>
      </c>
      <c r="R29" s="94">
        <v>56341</v>
      </c>
      <c r="S29" s="94">
        <v>29956.400000000001</v>
      </c>
      <c r="T29" s="94">
        <v>19422</v>
      </c>
      <c r="U29" s="94">
        <v>16300</v>
      </c>
      <c r="V29" s="96">
        <v>910.65</v>
      </c>
    </row>
    <row r="30" spans="1:22" ht="15.75">
      <c r="A30" s="102">
        <v>43524</v>
      </c>
      <c r="B30" s="94">
        <v>33600</v>
      </c>
      <c r="C30" s="94">
        <v>8710</v>
      </c>
      <c r="D30" s="94">
        <v>7547.5</v>
      </c>
      <c r="E30" s="94">
        <v>14550</v>
      </c>
      <c r="F30" s="94">
        <v>26400</v>
      </c>
      <c r="G30" s="94">
        <v>16750.2</v>
      </c>
      <c r="H30" s="94">
        <v>21851.9</v>
      </c>
      <c r="I30" s="94">
        <v>27500</v>
      </c>
      <c r="J30" s="94">
        <v>18682.8</v>
      </c>
      <c r="K30" s="94">
        <v>8950</v>
      </c>
      <c r="L30" s="94">
        <v>88900</v>
      </c>
      <c r="M30" s="94">
        <v>86800</v>
      </c>
      <c r="N30" s="94">
        <v>44200</v>
      </c>
      <c r="O30" s="94">
        <v>141100</v>
      </c>
      <c r="P30" s="94">
        <v>96400</v>
      </c>
      <c r="Q30" s="95">
        <v>33050</v>
      </c>
      <c r="R30" s="94">
        <v>60011</v>
      </c>
      <c r="S30" s="94">
        <v>30907.4</v>
      </c>
      <c r="T30" s="94">
        <v>20506</v>
      </c>
      <c r="U30" s="94">
        <v>17000</v>
      </c>
      <c r="V30" s="96">
        <v>965.47</v>
      </c>
    </row>
    <row r="31" spans="1:22" ht="15.75">
      <c r="A31" s="102">
        <v>43553</v>
      </c>
      <c r="B31" s="94">
        <v>32200</v>
      </c>
      <c r="C31" s="94">
        <v>9400</v>
      </c>
      <c r="D31" s="94">
        <v>7155.4</v>
      </c>
      <c r="E31" s="94">
        <v>14700</v>
      </c>
      <c r="F31" s="94">
        <v>27500</v>
      </c>
      <c r="G31" s="94">
        <v>15246.1</v>
      </c>
      <c r="H31" s="94">
        <v>22490.400000000001</v>
      </c>
      <c r="I31" s="94">
        <v>26500</v>
      </c>
      <c r="J31" s="94">
        <v>17358.400000000001</v>
      </c>
      <c r="K31" s="94">
        <v>9000</v>
      </c>
      <c r="L31" s="94">
        <v>84300</v>
      </c>
      <c r="M31" s="94">
        <v>84800</v>
      </c>
      <c r="N31" s="94">
        <v>45500</v>
      </c>
      <c r="O31" s="94">
        <v>134800</v>
      </c>
      <c r="P31" s="94">
        <v>99500</v>
      </c>
      <c r="Q31" s="95">
        <v>31850</v>
      </c>
      <c r="R31" s="94">
        <v>66756</v>
      </c>
      <c r="S31" s="94">
        <v>34045.699999999997</v>
      </c>
      <c r="T31" s="94">
        <v>22133</v>
      </c>
      <c r="U31" s="94">
        <v>17900</v>
      </c>
      <c r="V31" s="96">
        <v>980.76</v>
      </c>
    </row>
    <row r="32" spans="1:22" ht="15.75">
      <c r="A32" s="102">
        <v>43581</v>
      </c>
      <c r="B32" s="94">
        <v>33600</v>
      </c>
      <c r="C32" s="94">
        <v>8000</v>
      </c>
      <c r="D32" s="94">
        <v>6626.1</v>
      </c>
      <c r="E32" s="94">
        <v>14450</v>
      </c>
      <c r="F32" s="94">
        <v>29550</v>
      </c>
      <c r="G32" s="94">
        <v>14562.4</v>
      </c>
      <c r="H32" s="94">
        <v>21993.8</v>
      </c>
      <c r="I32" s="94">
        <v>25900</v>
      </c>
      <c r="J32" s="94">
        <v>17216.5</v>
      </c>
      <c r="K32" s="94">
        <v>8750</v>
      </c>
      <c r="L32" s="94">
        <v>86900</v>
      </c>
      <c r="M32" s="94">
        <v>84900</v>
      </c>
      <c r="N32" s="94">
        <v>49550</v>
      </c>
      <c r="O32" s="94">
        <v>129800</v>
      </c>
      <c r="P32" s="94">
        <v>100100</v>
      </c>
      <c r="Q32" s="95">
        <v>31800</v>
      </c>
      <c r="R32" s="94">
        <v>67351</v>
      </c>
      <c r="S32" s="94">
        <v>33094.699999999997</v>
      </c>
      <c r="T32" s="94">
        <v>20950</v>
      </c>
      <c r="U32" s="94">
        <v>18950</v>
      </c>
      <c r="V32" s="96">
        <v>979.64</v>
      </c>
    </row>
    <row r="33" spans="1:22" ht="15.75">
      <c r="A33" s="102">
        <v>43616</v>
      </c>
      <c r="B33" s="94">
        <v>32100</v>
      </c>
      <c r="C33" s="94">
        <v>8130</v>
      </c>
      <c r="D33" s="94">
        <v>6067.4</v>
      </c>
      <c r="E33" s="94">
        <v>14400</v>
      </c>
      <c r="F33" s="94">
        <v>29550</v>
      </c>
      <c r="G33" s="94">
        <v>12511.4</v>
      </c>
      <c r="H33" s="94">
        <v>21993.8</v>
      </c>
      <c r="I33" s="94">
        <v>26100</v>
      </c>
      <c r="J33" s="94">
        <v>17074.599999999999</v>
      </c>
      <c r="K33" s="94">
        <v>8500</v>
      </c>
      <c r="L33" s="94">
        <v>85800</v>
      </c>
      <c r="M33" s="94">
        <v>86100</v>
      </c>
      <c r="N33" s="94">
        <v>44100</v>
      </c>
      <c r="O33" s="94">
        <v>129500</v>
      </c>
      <c r="P33" s="94">
        <v>103100</v>
      </c>
      <c r="Q33" s="95">
        <v>32500</v>
      </c>
      <c r="R33" s="94">
        <v>66656</v>
      </c>
      <c r="S33" s="94">
        <v>29956.400000000001</v>
      </c>
      <c r="T33" s="94">
        <v>20013</v>
      </c>
      <c r="U33" s="94">
        <v>18700</v>
      </c>
      <c r="V33" s="96">
        <v>959.88</v>
      </c>
    </row>
    <row r="34" spans="1:22" ht="15.75">
      <c r="A34" s="102">
        <v>43644</v>
      </c>
      <c r="B34" s="94">
        <v>23500</v>
      </c>
      <c r="C34" s="94">
        <v>7420</v>
      </c>
      <c r="D34" s="94">
        <v>6234.1</v>
      </c>
      <c r="E34" s="94">
        <v>14200</v>
      </c>
      <c r="F34" s="94">
        <v>29100</v>
      </c>
      <c r="G34" s="94">
        <v>12750.7</v>
      </c>
      <c r="H34" s="94">
        <v>22787.3</v>
      </c>
      <c r="I34" s="94">
        <v>26000</v>
      </c>
      <c r="J34" s="94">
        <v>16270.6</v>
      </c>
      <c r="K34" s="94">
        <v>8500</v>
      </c>
      <c r="L34" s="94">
        <v>83000</v>
      </c>
      <c r="M34" s="94">
        <v>92800</v>
      </c>
      <c r="N34" s="94">
        <v>45500</v>
      </c>
      <c r="O34" s="94">
        <v>123000</v>
      </c>
      <c r="P34" s="94">
        <v>73000</v>
      </c>
      <c r="Q34" s="95">
        <v>31750</v>
      </c>
      <c r="R34" s="94">
        <v>69930</v>
      </c>
      <c r="S34" s="94">
        <v>30146.6</v>
      </c>
      <c r="T34" s="94">
        <v>19225</v>
      </c>
      <c r="U34" s="94">
        <v>18650</v>
      </c>
      <c r="V34" s="96">
        <v>949.94</v>
      </c>
    </row>
    <row r="35" spans="1:22" ht="15.75">
      <c r="A35" s="102">
        <v>43677</v>
      </c>
      <c r="B35" s="94">
        <v>22550</v>
      </c>
      <c r="C35" s="94">
        <v>7340</v>
      </c>
      <c r="D35" s="94">
        <v>5959.6</v>
      </c>
      <c r="E35" s="94">
        <v>14750</v>
      </c>
      <c r="F35" s="94">
        <v>30350</v>
      </c>
      <c r="G35" s="94">
        <v>11861.9</v>
      </c>
      <c r="H35" s="94">
        <v>20732.8</v>
      </c>
      <c r="I35" s="94">
        <v>26100</v>
      </c>
      <c r="J35" s="94">
        <v>16126.4</v>
      </c>
      <c r="K35" s="94">
        <v>8320</v>
      </c>
      <c r="L35" s="94">
        <v>80000</v>
      </c>
      <c r="M35" s="94">
        <v>106800</v>
      </c>
      <c r="N35" s="94">
        <v>48400</v>
      </c>
      <c r="O35" s="94">
        <v>123200</v>
      </c>
      <c r="P35" s="94">
        <v>76800</v>
      </c>
      <c r="Q35" s="95">
        <v>32750</v>
      </c>
      <c r="R35" s="94">
        <v>79551</v>
      </c>
      <c r="S35" s="94">
        <v>33760.400000000001</v>
      </c>
      <c r="T35" s="94">
        <v>20457</v>
      </c>
      <c r="U35" s="94">
        <v>16850</v>
      </c>
      <c r="V35" s="96">
        <v>991.66</v>
      </c>
    </row>
    <row r="36" spans="1:22" ht="15.75">
      <c r="A36" s="102">
        <v>43707</v>
      </c>
      <c r="B36" s="94">
        <v>22200</v>
      </c>
      <c r="C36" s="94">
        <v>6820</v>
      </c>
      <c r="D36" s="94">
        <v>6155.6</v>
      </c>
      <c r="E36" s="94">
        <v>16050</v>
      </c>
      <c r="F36" s="94">
        <v>30200</v>
      </c>
      <c r="G36" s="94">
        <v>13478.3</v>
      </c>
      <c r="H36" s="94">
        <v>22460.5</v>
      </c>
      <c r="I36" s="94">
        <v>28600</v>
      </c>
      <c r="J36" s="94">
        <v>15981.1</v>
      </c>
      <c r="K36" s="94">
        <v>8190</v>
      </c>
      <c r="L36" s="94">
        <v>75400</v>
      </c>
      <c r="M36" s="94">
        <v>116900</v>
      </c>
      <c r="N36" s="94">
        <v>53100</v>
      </c>
      <c r="O36" s="94">
        <v>123000</v>
      </c>
      <c r="P36" s="94">
        <v>82200</v>
      </c>
      <c r="Q36" s="95">
        <v>36650</v>
      </c>
      <c r="R36" s="94">
        <v>77071</v>
      </c>
      <c r="S36" s="94">
        <v>36851.199999999997</v>
      </c>
      <c r="T36" s="94">
        <v>19915</v>
      </c>
      <c r="U36" s="94">
        <v>18650</v>
      </c>
      <c r="V36" s="96">
        <v>984.06</v>
      </c>
    </row>
    <row r="37" spans="1:22" ht="15.75">
      <c r="A37" s="102">
        <v>43738</v>
      </c>
      <c r="B37" s="94">
        <v>21950</v>
      </c>
      <c r="C37" s="94">
        <v>6700</v>
      </c>
      <c r="D37" s="94">
        <v>5469.5</v>
      </c>
      <c r="E37" s="94">
        <v>15000</v>
      </c>
      <c r="F37" s="94">
        <v>27800</v>
      </c>
      <c r="G37" s="94">
        <v>15173.9</v>
      </c>
      <c r="H37" s="94">
        <v>23814.6</v>
      </c>
      <c r="I37" s="94">
        <v>27400</v>
      </c>
      <c r="J37" s="94">
        <v>17288.7</v>
      </c>
      <c r="K37" s="94">
        <v>7480</v>
      </c>
      <c r="L37" s="94">
        <v>78500</v>
      </c>
      <c r="M37" s="94">
        <v>126100</v>
      </c>
      <c r="N37" s="94">
        <v>57700</v>
      </c>
      <c r="O37" s="94">
        <v>129700</v>
      </c>
      <c r="P37" s="94">
        <v>80400</v>
      </c>
      <c r="Q37" s="95">
        <v>38150</v>
      </c>
      <c r="R37" s="94">
        <v>81436</v>
      </c>
      <c r="S37" s="94">
        <v>37469.300000000003</v>
      </c>
      <c r="T37" s="94">
        <v>20851</v>
      </c>
      <c r="U37" s="94">
        <v>18150</v>
      </c>
      <c r="V37" s="96">
        <v>996.56</v>
      </c>
    </row>
    <row r="38" spans="1:22" ht="15.75">
      <c r="A38" s="102">
        <v>43769</v>
      </c>
      <c r="B38" s="94">
        <v>21800</v>
      </c>
      <c r="C38" s="94">
        <v>7150</v>
      </c>
      <c r="D38" s="94">
        <v>5930.2</v>
      </c>
      <c r="E38" s="94">
        <v>14600</v>
      </c>
      <c r="F38" s="94">
        <v>28550</v>
      </c>
      <c r="G38" s="94">
        <v>13434.8</v>
      </c>
      <c r="H38" s="94">
        <v>24468.400000000001</v>
      </c>
      <c r="I38" s="94">
        <v>26700</v>
      </c>
      <c r="J38" s="94">
        <v>18160.400000000001</v>
      </c>
      <c r="K38" s="94">
        <v>7360</v>
      </c>
      <c r="L38" s="94">
        <v>74200</v>
      </c>
      <c r="M38" s="94">
        <v>124600</v>
      </c>
      <c r="N38" s="94">
        <v>57900</v>
      </c>
      <c r="O38" s="94">
        <v>130000</v>
      </c>
      <c r="P38" s="94">
        <v>83300</v>
      </c>
      <c r="Q38" s="95">
        <v>37500</v>
      </c>
      <c r="R38" s="94">
        <v>86991</v>
      </c>
      <c r="S38" s="94">
        <v>38610.5</v>
      </c>
      <c r="T38" s="94">
        <v>21689</v>
      </c>
      <c r="U38" s="94">
        <v>16400</v>
      </c>
      <c r="V38" s="96">
        <v>998.82</v>
      </c>
    </row>
    <row r="39" spans="1:22" ht="15.75">
      <c r="A39" s="102">
        <v>43798</v>
      </c>
      <c r="B39" s="94">
        <v>22850</v>
      </c>
      <c r="C39" s="94">
        <v>7780</v>
      </c>
      <c r="D39" s="94">
        <v>5940</v>
      </c>
      <c r="E39" s="94">
        <v>15350</v>
      </c>
      <c r="F39" s="94">
        <v>27600</v>
      </c>
      <c r="G39" s="94">
        <v>12304.3</v>
      </c>
      <c r="H39" s="94">
        <v>24655.200000000001</v>
      </c>
      <c r="I39" s="94">
        <v>23750</v>
      </c>
      <c r="J39" s="94">
        <v>18111.900000000001</v>
      </c>
      <c r="K39" s="94">
        <v>6870</v>
      </c>
      <c r="L39" s="94">
        <v>70000</v>
      </c>
      <c r="M39" s="94">
        <v>109000</v>
      </c>
      <c r="N39" s="94">
        <v>56400</v>
      </c>
      <c r="O39" s="94">
        <v>121500</v>
      </c>
      <c r="P39" s="94">
        <v>81200</v>
      </c>
      <c r="Q39" s="95">
        <v>36150</v>
      </c>
      <c r="R39" s="94">
        <v>84610</v>
      </c>
      <c r="S39" s="94">
        <v>39825.699999999997</v>
      </c>
      <c r="T39" s="94">
        <v>20161</v>
      </c>
      <c r="U39" s="94">
        <v>15450</v>
      </c>
      <c r="V39" s="96">
        <v>970.75</v>
      </c>
    </row>
    <row r="40" spans="1:22" ht="15.75">
      <c r="A40" s="102">
        <v>43830</v>
      </c>
      <c r="B40" s="94">
        <v>23500</v>
      </c>
      <c r="C40" s="94">
        <v>7810</v>
      </c>
      <c r="D40" s="94">
        <v>6763.4</v>
      </c>
      <c r="E40" s="94">
        <v>15450</v>
      </c>
      <c r="F40" s="94">
        <v>27500</v>
      </c>
      <c r="G40" s="94">
        <v>12608.7</v>
      </c>
      <c r="H40" s="94">
        <v>25122.1</v>
      </c>
      <c r="I40" s="94">
        <v>23300</v>
      </c>
      <c r="J40" s="94">
        <v>17918.2</v>
      </c>
      <c r="K40" s="94">
        <v>6500</v>
      </c>
      <c r="L40" s="94">
        <v>56500</v>
      </c>
      <c r="M40" s="94">
        <v>114000</v>
      </c>
      <c r="N40" s="94">
        <v>58300</v>
      </c>
      <c r="O40" s="94">
        <v>116500</v>
      </c>
      <c r="P40" s="94">
        <v>86000</v>
      </c>
      <c r="Q40" s="95">
        <v>36300</v>
      </c>
      <c r="R40" s="94">
        <v>89470</v>
      </c>
      <c r="S40" s="94">
        <v>45381.599999999999</v>
      </c>
      <c r="T40" s="94">
        <v>20605</v>
      </c>
      <c r="U40" s="94">
        <v>15050</v>
      </c>
      <c r="V40" s="96">
        <v>960.99</v>
      </c>
    </row>
    <row r="41" spans="1:22" ht="15.75">
      <c r="A41" s="102">
        <v>43861</v>
      </c>
      <c r="B41" s="94">
        <v>24100</v>
      </c>
      <c r="C41" s="94">
        <v>8150</v>
      </c>
      <c r="D41" s="94">
        <v>8174.9</v>
      </c>
      <c r="E41" s="94">
        <v>14500</v>
      </c>
      <c r="F41" s="94">
        <v>26500</v>
      </c>
      <c r="G41" s="94">
        <v>10043.5</v>
      </c>
      <c r="H41" s="94">
        <v>23347.7</v>
      </c>
      <c r="I41" s="94">
        <v>19100</v>
      </c>
      <c r="J41" s="94">
        <v>17966.7</v>
      </c>
      <c r="K41" s="94">
        <v>5910</v>
      </c>
      <c r="L41" s="94">
        <v>50100</v>
      </c>
      <c r="M41" s="94">
        <v>110800</v>
      </c>
      <c r="N41" s="94">
        <v>52000</v>
      </c>
      <c r="O41" s="94">
        <v>108500</v>
      </c>
      <c r="P41" s="94">
        <v>84300</v>
      </c>
      <c r="Q41" s="95">
        <v>33900</v>
      </c>
      <c r="R41" s="94">
        <v>87983</v>
      </c>
      <c r="S41" s="94">
        <v>50642.6</v>
      </c>
      <c r="T41" s="94">
        <v>24055</v>
      </c>
      <c r="U41" s="94">
        <v>13300</v>
      </c>
      <c r="V41" s="96">
        <v>936.62</v>
      </c>
    </row>
    <row r="42" spans="1:22" ht="15.75">
      <c r="A42" s="102">
        <v>43889</v>
      </c>
      <c r="B42" s="94">
        <v>22350</v>
      </c>
      <c r="C42" s="94">
        <v>7600</v>
      </c>
      <c r="D42" s="94">
        <v>8125.8</v>
      </c>
      <c r="E42" s="94">
        <v>14000</v>
      </c>
      <c r="F42" s="94">
        <v>25000</v>
      </c>
      <c r="G42" s="94">
        <v>10304.299999999999</v>
      </c>
      <c r="H42" s="94">
        <v>22927.4</v>
      </c>
      <c r="I42" s="94">
        <v>18950</v>
      </c>
      <c r="J42" s="94">
        <v>20969.2</v>
      </c>
      <c r="K42" s="94">
        <v>6080</v>
      </c>
      <c r="L42" s="94">
        <v>49000</v>
      </c>
      <c r="M42" s="94">
        <v>106500</v>
      </c>
      <c r="N42" s="94">
        <v>55100</v>
      </c>
      <c r="O42" s="94">
        <v>104500</v>
      </c>
      <c r="P42" s="94">
        <v>81700</v>
      </c>
      <c r="Q42" s="95">
        <v>34100</v>
      </c>
      <c r="R42" s="94">
        <v>81733</v>
      </c>
      <c r="S42" s="94">
        <v>44742.5</v>
      </c>
      <c r="T42" s="94">
        <v>25386</v>
      </c>
      <c r="U42" s="94">
        <v>11750</v>
      </c>
      <c r="V42" s="96">
        <v>882.19</v>
      </c>
    </row>
    <row r="43" spans="1:22" ht="15.75">
      <c r="A43" s="102">
        <v>43921</v>
      </c>
      <c r="B43" s="94">
        <v>16850</v>
      </c>
      <c r="C43" s="94">
        <v>4550</v>
      </c>
      <c r="D43" s="94">
        <v>4312.8999999999996</v>
      </c>
      <c r="E43" s="94">
        <v>11100</v>
      </c>
      <c r="F43" s="94">
        <v>20000</v>
      </c>
      <c r="G43" s="94">
        <v>6739.1</v>
      </c>
      <c r="H43" s="94">
        <v>17277.3</v>
      </c>
      <c r="I43" s="94">
        <v>14950</v>
      </c>
      <c r="J43" s="94">
        <v>12300.6</v>
      </c>
      <c r="K43" s="94">
        <v>5310</v>
      </c>
      <c r="L43" s="94">
        <v>49000</v>
      </c>
      <c r="M43" s="94">
        <v>58900</v>
      </c>
      <c r="N43" s="94">
        <v>41100</v>
      </c>
      <c r="O43" s="94">
        <v>91000</v>
      </c>
      <c r="P43" s="94">
        <v>46900</v>
      </c>
      <c r="Q43" s="95">
        <v>27300</v>
      </c>
      <c r="R43" s="94">
        <v>61498</v>
      </c>
      <c r="S43" s="94">
        <v>30336.400000000001</v>
      </c>
      <c r="T43" s="94">
        <v>16957</v>
      </c>
      <c r="U43" s="94">
        <v>6750</v>
      </c>
      <c r="V43" s="96">
        <v>662.53</v>
      </c>
    </row>
    <row r="44" spans="1:22" ht="15.75">
      <c r="A44" s="102">
        <v>43950</v>
      </c>
      <c r="B44" s="94">
        <v>21500</v>
      </c>
      <c r="C44" s="94">
        <v>7350</v>
      </c>
      <c r="D44" s="94">
        <v>6341.9</v>
      </c>
      <c r="E44" s="94">
        <v>12700</v>
      </c>
      <c r="F44" s="94">
        <v>22500</v>
      </c>
      <c r="G44" s="94">
        <v>8600</v>
      </c>
      <c r="H44" s="94">
        <v>19565.400000000001</v>
      </c>
      <c r="I44" s="94">
        <v>18600</v>
      </c>
      <c r="J44" s="94">
        <v>13317.6</v>
      </c>
      <c r="K44" s="94">
        <v>8460</v>
      </c>
      <c r="L44" s="94">
        <v>58800</v>
      </c>
      <c r="M44" s="94">
        <v>81700</v>
      </c>
      <c r="N44" s="94">
        <v>50800</v>
      </c>
      <c r="O44" s="94">
        <v>99000</v>
      </c>
      <c r="P44" s="94">
        <v>56900</v>
      </c>
      <c r="Q44" s="95">
        <v>30000</v>
      </c>
      <c r="R44" s="94">
        <v>67450</v>
      </c>
      <c r="S44" s="94">
        <v>35007.300000000003</v>
      </c>
      <c r="T44" s="94">
        <v>19718</v>
      </c>
      <c r="U44" s="94">
        <v>9150</v>
      </c>
      <c r="V44" s="96">
        <v>769.11</v>
      </c>
    </row>
    <row r="45" spans="1:22" ht="15.75">
      <c r="A45" s="102">
        <v>43980</v>
      </c>
      <c r="B45" s="94">
        <v>27400</v>
      </c>
      <c r="C45" s="94">
        <v>9970</v>
      </c>
      <c r="D45" s="94">
        <v>7527.9</v>
      </c>
      <c r="E45" s="94">
        <v>14050</v>
      </c>
      <c r="F45" s="94">
        <v>23200</v>
      </c>
      <c r="G45" s="94">
        <v>9826.1</v>
      </c>
      <c r="H45" s="94">
        <v>20546</v>
      </c>
      <c r="I45" s="94">
        <v>19600</v>
      </c>
      <c r="J45" s="94">
        <v>14431.4</v>
      </c>
      <c r="K45" s="94">
        <v>8490</v>
      </c>
      <c r="L45" s="94">
        <v>62700</v>
      </c>
      <c r="M45" s="94">
        <v>84600</v>
      </c>
      <c r="N45" s="94">
        <v>47950</v>
      </c>
      <c r="O45" s="94">
        <v>115000</v>
      </c>
      <c r="P45" s="94">
        <v>63100</v>
      </c>
      <c r="Q45" s="95">
        <v>31250</v>
      </c>
      <c r="R45" s="94">
        <v>84511</v>
      </c>
      <c r="S45" s="94">
        <v>39432.400000000001</v>
      </c>
      <c r="T45" s="94">
        <v>22182</v>
      </c>
      <c r="U45" s="94">
        <v>10600</v>
      </c>
      <c r="V45" s="96">
        <v>864.47</v>
      </c>
    </row>
    <row r="46" spans="1:22" ht="15.75">
      <c r="A46" s="102">
        <v>44012</v>
      </c>
      <c r="B46" s="94">
        <v>26800</v>
      </c>
      <c r="C46" s="94">
        <v>11450</v>
      </c>
      <c r="D46" s="94">
        <v>6998.6</v>
      </c>
      <c r="E46" s="94">
        <v>13850</v>
      </c>
      <c r="F46" s="94">
        <v>24500</v>
      </c>
      <c r="G46" s="94">
        <v>9739.1</v>
      </c>
      <c r="H46" s="94">
        <v>21666.7</v>
      </c>
      <c r="I46" s="94">
        <v>18600</v>
      </c>
      <c r="J46" s="94">
        <v>12930.2</v>
      </c>
      <c r="K46" s="94">
        <v>8520</v>
      </c>
      <c r="L46" s="94">
        <v>54100</v>
      </c>
      <c r="M46" s="94">
        <v>80800</v>
      </c>
      <c r="N46" s="94">
        <v>45650</v>
      </c>
      <c r="O46" s="94">
        <v>112700</v>
      </c>
      <c r="P46" s="94">
        <v>57400</v>
      </c>
      <c r="Q46" s="95">
        <v>30650</v>
      </c>
      <c r="R46" s="94">
        <v>79650</v>
      </c>
      <c r="S46" s="94">
        <v>37269</v>
      </c>
      <c r="T46" s="94">
        <v>21246</v>
      </c>
      <c r="U46" s="94">
        <v>9980</v>
      </c>
      <c r="V46" s="96">
        <v>825.11</v>
      </c>
    </row>
    <row r="47" spans="1:22" ht="15.75">
      <c r="A47" s="102">
        <v>44043</v>
      </c>
      <c r="B47" s="94">
        <v>21700</v>
      </c>
      <c r="C47" s="94">
        <v>9500</v>
      </c>
      <c r="D47" s="94">
        <v>6067.4</v>
      </c>
      <c r="E47" s="94">
        <v>12400</v>
      </c>
      <c r="F47" s="94">
        <v>25000</v>
      </c>
      <c r="G47" s="94">
        <v>7634.8</v>
      </c>
      <c r="H47" s="94">
        <v>21339.8</v>
      </c>
      <c r="I47" s="94">
        <v>18300</v>
      </c>
      <c r="J47" s="94">
        <v>12784.9</v>
      </c>
      <c r="K47" s="94">
        <v>7900</v>
      </c>
      <c r="L47" s="94">
        <v>50500</v>
      </c>
      <c r="M47" s="94">
        <v>74500</v>
      </c>
      <c r="N47" s="94">
        <v>44500</v>
      </c>
      <c r="O47" s="94">
        <v>107000</v>
      </c>
      <c r="P47" s="94">
        <v>51600</v>
      </c>
      <c r="Q47" s="95">
        <v>32450</v>
      </c>
      <c r="R47" s="94">
        <v>75782</v>
      </c>
      <c r="S47" s="94">
        <v>36039.800000000003</v>
      </c>
      <c r="T47" s="94">
        <v>20901</v>
      </c>
      <c r="U47" s="94">
        <v>8990</v>
      </c>
      <c r="V47" s="96">
        <v>798.39</v>
      </c>
    </row>
    <row r="48" spans="1:22" ht="15.75">
      <c r="A48" s="102">
        <v>44074</v>
      </c>
      <c r="B48" s="94">
        <v>24550</v>
      </c>
      <c r="C48" s="94">
        <v>11300</v>
      </c>
      <c r="D48" s="94">
        <v>7322.1</v>
      </c>
      <c r="E48" s="94">
        <v>13700</v>
      </c>
      <c r="F48" s="94">
        <v>27600</v>
      </c>
      <c r="G48" s="94">
        <v>8417.4</v>
      </c>
      <c r="H48" s="94">
        <v>24350</v>
      </c>
      <c r="I48" s="94">
        <v>22700</v>
      </c>
      <c r="J48" s="94">
        <v>13898.7</v>
      </c>
      <c r="K48" s="94">
        <v>9290</v>
      </c>
      <c r="L48" s="94">
        <v>55000</v>
      </c>
      <c r="M48" s="94">
        <v>93400</v>
      </c>
      <c r="N48" s="94">
        <v>49500</v>
      </c>
      <c r="O48" s="94">
        <v>121000</v>
      </c>
      <c r="P48" s="94">
        <v>60000</v>
      </c>
      <c r="Q48" s="95">
        <v>36900</v>
      </c>
      <c r="R48" s="94">
        <v>82329</v>
      </c>
      <c r="S48" s="94">
        <v>40268.199999999997</v>
      </c>
      <c r="T48" s="94">
        <v>25337</v>
      </c>
      <c r="U48" s="94">
        <v>11250</v>
      </c>
      <c r="V48" s="96">
        <v>881.65</v>
      </c>
    </row>
    <row r="49" spans="1:22" ht="15.75">
      <c r="A49" s="102">
        <v>44104</v>
      </c>
      <c r="B49" s="94">
        <v>26400</v>
      </c>
      <c r="C49" s="94">
        <v>15650</v>
      </c>
      <c r="D49" s="94">
        <v>8204.2999999999993</v>
      </c>
      <c r="E49" s="94">
        <v>14200</v>
      </c>
      <c r="F49" s="94">
        <v>25750</v>
      </c>
      <c r="G49" s="94">
        <v>8782.6</v>
      </c>
      <c r="H49" s="94">
        <v>24250</v>
      </c>
      <c r="I49" s="94">
        <v>23950</v>
      </c>
      <c r="J49" s="94">
        <v>14334.6</v>
      </c>
      <c r="K49" s="94">
        <v>11850</v>
      </c>
      <c r="L49" s="94">
        <v>54600</v>
      </c>
      <c r="M49" s="94">
        <v>104300</v>
      </c>
      <c r="N49" s="94">
        <v>50000</v>
      </c>
      <c r="O49" s="94">
        <v>108900</v>
      </c>
      <c r="P49" s="94">
        <v>60900</v>
      </c>
      <c r="Q49" s="95">
        <v>40200</v>
      </c>
      <c r="R49" s="94">
        <v>83420</v>
      </c>
      <c r="S49" s="94">
        <v>40120.699999999997</v>
      </c>
      <c r="T49" s="94">
        <v>26175</v>
      </c>
      <c r="U49" s="94">
        <v>11550</v>
      </c>
      <c r="V49" s="96">
        <v>905.21</v>
      </c>
    </row>
    <row r="50" spans="1:22" ht="15.75">
      <c r="A50" s="102">
        <v>44134</v>
      </c>
      <c r="B50" s="94">
        <v>30550</v>
      </c>
      <c r="C50" s="94">
        <v>15000</v>
      </c>
      <c r="D50" s="94">
        <v>8037.6</v>
      </c>
      <c r="E50" s="94">
        <v>13850</v>
      </c>
      <c r="F50" s="94">
        <v>27200</v>
      </c>
      <c r="G50" s="94">
        <v>10000</v>
      </c>
      <c r="H50" s="94">
        <v>25000</v>
      </c>
      <c r="I50" s="94">
        <v>23450</v>
      </c>
      <c r="J50" s="94">
        <v>14700</v>
      </c>
      <c r="K50" s="94">
        <v>11900</v>
      </c>
      <c r="L50" s="94">
        <v>84000</v>
      </c>
      <c r="M50" s="94">
        <v>104700</v>
      </c>
      <c r="N50" s="94">
        <v>51500</v>
      </c>
      <c r="O50" s="94">
        <v>108000</v>
      </c>
      <c r="P50" s="94">
        <v>69500</v>
      </c>
      <c r="Q50" s="95">
        <v>41900</v>
      </c>
      <c r="R50" s="94">
        <v>82329</v>
      </c>
      <c r="S50" s="94">
        <v>37859</v>
      </c>
      <c r="T50" s="94">
        <v>28590</v>
      </c>
      <c r="U50" s="94">
        <v>10850</v>
      </c>
      <c r="V50" s="96">
        <v>925.47</v>
      </c>
    </row>
    <row r="51" spans="1:22" ht="15.75">
      <c r="A51" s="102">
        <v>44165</v>
      </c>
      <c r="B51" s="94">
        <v>35500</v>
      </c>
      <c r="C51" s="94">
        <v>18000</v>
      </c>
      <c r="D51" s="94">
        <v>11615.3</v>
      </c>
      <c r="E51" s="94">
        <v>15850</v>
      </c>
      <c r="F51" s="94">
        <v>28800</v>
      </c>
      <c r="G51" s="94">
        <v>12087</v>
      </c>
      <c r="H51" s="94">
        <v>26750</v>
      </c>
      <c r="I51" s="94">
        <v>27800</v>
      </c>
      <c r="J51" s="94">
        <v>18050</v>
      </c>
      <c r="K51" s="94">
        <v>11900</v>
      </c>
      <c r="L51" s="94">
        <v>82000</v>
      </c>
      <c r="M51" s="94">
        <v>116000</v>
      </c>
      <c r="N51" s="94">
        <v>55400</v>
      </c>
      <c r="O51" s="94">
        <v>108200</v>
      </c>
      <c r="P51" s="94">
        <v>77900</v>
      </c>
      <c r="Q51" s="95">
        <v>48600</v>
      </c>
      <c r="R51" s="94">
        <v>92248</v>
      </c>
      <c r="S51" s="94">
        <v>41005.699999999997</v>
      </c>
      <c r="T51" s="94">
        <v>33027</v>
      </c>
      <c r="U51" s="94">
        <v>12950</v>
      </c>
      <c r="V51" s="96">
        <v>1003.08</v>
      </c>
    </row>
    <row r="52" spans="1:22" ht="15.75">
      <c r="A52" s="102">
        <v>44196</v>
      </c>
      <c r="B52" s="94">
        <v>41450</v>
      </c>
      <c r="C52" s="94">
        <v>22150</v>
      </c>
      <c r="D52" s="94">
        <v>15000</v>
      </c>
      <c r="E52" s="94">
        <v>24400</v>
      </c>
      <c r="F52" s="94">
        <v>29500</v>
      </c>
      <c r="G52" s="94">
        <v>13869.6</v>
      </c>
      <c r="H52" s="94">
        <v>29300</v>
      </c>
      <c r="I52" s="94">
        <v>32600</v>
      </c>
      <c r="J52" s="94">
        <v>20950</v>
      </c>
      <c r="K52" s="94">
        <v>14000</v>
      </c>
      <c r="L52" s="94">
        <v>88900</v>
      </c>
      <c r="M52" s="94">
        <v>118900</v>
      </c>
      <c r="N52" s="94">
        <v>59100</v>
      </c>
      <c r="O52" s="94">
        <v>108800</v>
      </c>
      <c r="P52" s="94">
        <v>81000</v>
      </c>
      <c r="Q52" s="95">
        <v>48950</v>
      </c>
      <c r="R52" s="94">
        <v>97900</v>
      </c>
      <c r="S52" s="94">
        <v>47900</v>
      </c>
      <c r="T52" s="94">
        <v>34550</v>
      </c>
      <c r="U52" s="94">
        <v>16200</v>
      </c>
      <c r="V52" s="96">
        <v>1103.8699999999999</v>
      </c>
    </row>
    <row r="53" spans="1:22" ht="15.75">
      <c r="A53" s="102">
        <v>44225</v>
      </c>
      <c r="B53" s="94">
        <v>39150</v>
      </c>
      <c r="C53" s="94">
        <v>23350</v>
      </c>
      <c r="D53" s="94">
        <v>15500</v>
      </c>
      <c r="E53" s="94">
        <v>36850</v>
      </c>
      <c r="F53" s="94">
        <v>32500</v>
      </c>
      <c r="G53" s="94">
        <v>17043.5</v>
      </c>
      <c r="H53" s="94">
        <v>31900</v>
      </c>
      <c r="I53" s="94">
        <v>29800</v>
      </c>
      <c r="J53" s="94">
        <v>18000</v>
      </c>
      <c r="K53" s="94">
        <v>12750</v>
      </c>
      <c r="L53" s="94">
        <v>85500</v>
      </c>
      <c r="M53" s="94">
        <v>132700</v>
      </c>
      <c r="N53" s="94">
        <v>62700</v>
      </c>
      <c r="O53" s="94">
        <v>102800</v>
      </c>
      <c r="P53" s="94">
        <v>83100</v>
      </c>
      <c r="Q53" s="95">
        <v>51000</v>
      </c>
      <c r="R53" s="94">
        <v>93000</v>
      </c>
      <c r="S53" s="94">
        <v>39900</v>
      </c>
      <c r="T53" s="94">
        <v>30500</v>
      </c>
      <c r="U53" s="94">
        <v>17700</v>
      </c>
      <c r="V53" s="96">
        <v>1056.6099999999999</v>
      </c>
    </row>
    <row r="54" spans="1:22" ht="15.75">
      <c r="A54" s="102">
        <v>44253</v>
      </c>
      <c r="B54" s="94">
        <v>45600</v>
      </c>
      <c r="C54" s="94">
        <v>26500</v>
      </c>
      <c r="D54" s="94">
        <v>17650</v>
      </c>
      <c r="E54" s="94">
        <v>39000</v>
      </c>
      <c r="F54" s="94">
        <v>36200</v>
      </c>
      <c r="G54" s="94">
        <v>20434.8</v>
      </c>
      <c r="H54" s="94">
        <v>31900</v>
      </c>
      <c r="I54" s="94">
        <v>33500</v>
      </c>
      <c r="J54" s="94">
        <v>21700</v>
      </c>
      <c r="K54" s="94">
        <v>13500</v>
      </c>
      <c r="L54" s="94">
        <v>90300</v>
      </c>
      <c r="M54" s="94">
        <v>135000</v>
      </c>
      <c r="N54" s="94">
        <v>76200</v>
      </c>
      <c r="O54" s="94">
        <v>104800</v>
      </c>
      <c r="P54" s="94">
        <v>84900</v>
      </c>
      <c r="Q54" s="95">
        <v>56700</v>
      </c>
      <c r="R54" s="94">
        <v>98200</v>
      </c>
      <c r="S54" s="94">
        <v>43600</v>
      </c>
      <c r="T54" s="94">
        <v>37250</v>
      </c>
      <c r="U54" s="94">
        <v>23400</v>
      </c>
      <c r="V54" s="96">
        <v>1168.47</v>
      </c>
    </row>
    <row r="55" spans="1:22" ht="15.75">
      <c r="A55" s="102">
        <v>44286</v>
      </c>
      <c r="B55" s="94">
        <v>46800</v>
      </c>
      <c r="C55" s="94">
        <v>28400</v>
      </c>
      <c r="D55" s="94">
        <v>23900</v>
      </c>
      <c r="E55" s="94">
        <v>38150</v>
      </c>
      <c r="F55" s="94">
        <v>35000</v>
      </c>
      <c r="G55" s="94">
        <v>20869.599999999999</v>
      </c>
      <c r="H55" s="94">
        <v>30450</v>
      </c>
      <c r="I55" s="94">
        <v>33850</v>
      </c>
      <c r="J55" s="94">
        <v>22400</v>
      </c>
      <c r="K55" s="94">
        <v>17450</v>
      </c>
      <c r="L55" s="94">
        <v>92500</v>
      </c>
      <c r="M55" s="94">
        <v>129700</v>
      </c>
      <c r="N55" s="94">
        <v>77700</v>
      </c>
      <c r="O55" s="94">
        <v>98400</v>
      </c>
      <c r="P55" s="94">
        <v>84500</v>
      </c>
      <c r="Q55" s="95">
        <v>52600</v>
      </c>
      <c r="R55" s="94">
        <v>94800</v>
      </c>
      <c r="S55" s="94">
        <v>42950</v>
      </c>
      <c r="T55" s="94">
        <v>40150</v>
      </c>
      <c r="U55" s="94">
        <v>22600</v>
      </c>
      <c r="V55" s="96">
        <v>1191.44</v>
      </c>
    </row>
    <row r="56" spans="1:22" ht="15.75">
      <c r="A56" s="102">
        <v>44315</v>
      </c>
      <c r="B56" s="94">
        <v>58100</v>
      </c>
      <c r="C56" s="94">
        <v>31750</v>
      </c>
      <c r="D56" s="94">
        <v>26000</v>
      </c>
      <c r="E56" s="94">
        <v>37450</v>
      </c>
      <c r="F56" s="94">
        <v>36300</v>
      </c>
      <c r="G56" s="94">
        <v>20391.3</v>
      </c>
      <c r="H56" s="94">
        <v>35150</v>
      </c>
      <c r="I56" s="94">
        <v>34200</v>
      </c>
      <c r="J56" s="94">
        <v>20000</v>
      </c>
      <c r="K56" s="94">
        <v>16000</v>
      </c>
      <c r="L56" s="94">
        <v>98000</v>
      </c>
      <c r="M56" s="94">
        <v>140900</v>
      </c>
      <c r="N56" s="94">
        <v>80900</v>
      </c>
      <c r="O56" s="94">
        <v>93500</v>
      </c>
      <c r="P56" s="94">
        <v>98000</v>
      </c>
      <c r="Q56" s="95">
        <v>53600</v>
      </c>
      <c r="R56" s="94">
        <v>100000</v>
      </c>
      <c r="S56" s="94">
        <v>41000</v>
      </c>
      <c r="T56" s="94">
        <v>40800</v>
      </c>
      <c r="U56" s="94">
        <v>19150</v>
      </c>
      <c r="V56" s="96">
        <v>1239.3900000000001</v>
      </c>
    </row>
    <row r="57" spans="1:22" ht="15.75">
      <c r="A57" s="102">
        <v>44347</v>
      </c>
      <c r="B57" s="94">
        <v>52700</v>
      </c>
      <c r="C57" s="94">
        <v>43900</v>
      </c>
      <c r="D57" s="94">
        <v>32950</v>
      </c>
      <c r="E57" s="94">
        <v>33300</v>
      </c>
      <c r="F57" s="94">
        <v>39000</v>
      </c>
      <c r="G57" s="94">
        <v>24347.8</v>
      </c>
      <c r="H57" s="94">
        <v>39450</v>
      </c>
      <c r="I57" s="94">
        <v>37050</v>
      </c>
      <c r="J57" s="94">
        <v>19900</v>
      </c>
      <c r="K57" s="94">
        <v>16800</v>
      </c>
      <c r="L57" s="94">
        <v>110100</v>
      </c>
      <c r="M57" s="94">
        <v>138500</v>
      </c>
      <c r="N57" s="94">
        <v>97900</v>
      </c>
      <c r="O57" s="94">
        <v>90500</v>
      </c>
      <c r="P57" s="94">
        <v>100900</v>
      </c>
      <c r="Q57" s="95">
        <v>58200</v>
      </c>
      <c r="R57" s="94">
        <v>98600</v>
      </c>
      <c r="S57" s="94">
        <v>48700</v>
      </c>
      <c r="T57" s="94">
        <v>53100</v>
      </c>
      <c r="U57" s="94">
        <v>21800</v>
      </c>
      <c r="V57" s="96">
        <v>1328.05</v>
      </c>
    </row>
    <row r="58" spans="1:22" ht="15.75">
      <c r="A58" s="102">
        <v>44377</v>
      </c>
      <c r="B58" s="94">
        <v>51500</v>
      </c>
      <c r="C58" s="94">
        <v>41900</v>
      </c>
      <c r="D58" s="94">
        <v>35500</v>
      </c>
      <c r="E58" s="94">
        <v>38400</v>
      </c>
      <c r="F58" s="94">
        <v>39000</v>
      </c>
      <c r="G58" s="94">
        <v>20869.599999999999</v>
      </c>
      <c r="H58" s="94">
        <v>37550</v>
      </c>
      <c r="I58" s="94">
        <v>43000</v>
      </c>
      <c r="J58" s="94">
        <v>21000</v>
      </c>
      <c r="K58" s="94">
        <v>21000</v>
      </c>
      <c r="L58" s="94">
        <v>111400</v>
      </c>
      <c r="M58" s="94">
        <v>152000</v>
      </c>
      <c r="N58" s="94">
        <v>88000</v>
      </c>
      <c r="O58" s="94">
        <v>90400</v>
      </c>
      <c r="P58" s="94">
        <v>100100</v>
      </c>
      <c r="Q58" s="95">
        <v>57700</v>
      </c>
      <c r="R58" s="94">
        <v>116400</v>
      </c>
      <c r="S58" s="94">
        <v>47250</v>
      </c>
      <c r="T58" s="94">
        <v>52700</v>
      </c>
      <c r="U58" s="94">
        <v>22000</v>
      </c>
      <c r="V58" s="96">
        <v>1408.55</v>
      </c>
    </row>
    <row r="59" spans="1:22" ht="15.75">
      <c r="A59" s="102">
        <v>44407</v>
      </c>
      <c r="B59" s="94">
        <v>47400</v>
      </c>
      <c r="C59" s="94">
        <v>37400</v>
      </c>
      <c r="D59" s="94">
        <v>33700</v>
      </c>
      <c r="E59" s="94">
        <v>34550</v>
      </c>
      <c r="F59" s="94">
        <v>42950</v>
      </c>
      <c r="G59" s="94">
        <v>18739.099999999999</v>
      </c>
      <c r="H59" s="94">
        <v>40700</v>
      </c>
      <c r="I59" s="94">
        <v>46150</v>
      </c>
      <c r="J59" s="94">
        <v>18550</v>
      </c>
      <c r="K59" s="94">
        <v>20050</v>
      </c>
      <c r="L59" s="94">
        <v>135000</v>
      </c>
      <c r="M59" s="94">
        <v>164800</v>
      </c>
      <c r="N59" s="94">
        <v>94600</v>
      </c>
      <c r="O59" s="94">
        <v>86400</v>
      </c>
      <c r="P59" s="94">
        <v>93900</v>
      </c>
      <c r="Q59" s="95">
        <v>53100</v>
      </c>
      <c r="R59" s="94">
        <v>98000</v>
      </c>
      <c r="S59" s="94">
        <v>41100</v>
      </c>
      <c r="T59" s="94">
        <v>34400</v>
      </c>
      <c r="U59" s="94">
        <v>18200</v>
      </c>
      <c r="V59" s="96">
        <v>1310.05</v>
      </c>
    </row>
    <row r="60" spans="1:22" ht="15.75">
      <c r="A60" s="102">
        <v>44439</v>
      </c>
      <c r="B60" s="94">
        <v>49450</v>
      </c>
      <c r="C60" s="94">
        <v>39850</v>
      </c>
      <c r="D60" s="94">
        <v>38450</v>
      </c>
      <c r="E60" s="94">
        <v>42500</v>
      </c>
      <c r="F60" s="94">
        <v>43600</v>
      </c>
      <c r="G60" s="94">
        <v>19304.3</v>
      </c>
      <c r="H60" s="94">
        <v>39750</v>
      </c>
      <c r="I60" s="94">
        <v>51800</v>
      </c>
      <c r="J60" s="94">
        <v>22600</v>
      </c>
      <c r="K60" s="94">
        <v>24600</v>
      </c>
      <c r="L60" s="94">
        <v>135500</v>
      </c>
      <c r="M60" s="94">
        <v>110600</v>
      </c>
      <c r="N60" s="94">
        <v>93100</v>
      </c>
      <c r="O60" s="94">
        <v>87200</v>
      </c>
      <c r="P60" s="94">
        <v>86000</v>
      </c>
      <c r="Q60" s="95">
        <v>66000</v>
      </c>
      <c r="R60" s="94">
        <v>99400</v>
      </c>
      <c r="S60" s="94">
        <v>38950</v>
      </c>
      <c r="T60" s="94">
        <v>31800</v>
      </c>
      <c r="U60" s="94">
        <v>19600</v>
      </c>
      <c r="V60" s="96">
        <v>1331.47</v>
      </c>
    </row>
    <row r="61" spans="1:22" ht="15.75">
      <c r="A61" s="102">
        <v>44469</v>
      </c>
      <c r="B61" s="94">
        <v>52900</v>
      </c>
      <c r="C61" s="94">
        <v>46500</v>
      </c>
      <c r="D61" s="94">
        <v>44250</v>
      </c>
      <c r="E61" s="94">
        <v>43500</v>
      </c>
      <c r="F61" s="94">
        <v>41950</v>
      </c>
      <c r="G61" s="94">
        <v>19100</v>
      </c>
      <c r="H61" s="94">
        <v>41600</v>
      </c>
      <c r="I61" s="94">
        <v>49600</v>
      </c>
      <c r="J61" s="94">
        <v>21050</v>
      </c>
      <c r="K61" s="94">
        <v>26450</v>
      </c>
      <c r="L61" s="94">
        <v>142600</v>
      </c>
      <c r="M61" s="94">
        <v>127800</v>
      </c>
      <c r="N61" s="94">
        <v>93000</v>
      </c>
      <c r="O61" s="94">
        <v>89600</v>
      </c>
      <c r="P61" s="94">
        <v>98700</v>
      </c>
      <c r="Q61" s="95">
        <v>65200</v>
      </c>
      <c r="R61" s="94">
        <v>97200</v>
      </c>
      <c r="S61" s="94">
        <v>39450</v>
      </c>
      <c r="T61" s="94">
        <v>30400</v>
      </c>
      <c r="U61" s="94">
        <v>22800</v>
      </c>
      <c r="V61" s="96">
        <v>1342.06</v>
      </c>
    </row>
    <row r="62" spans="1:22" ht="15.75">
      <c r="A62" s="102">
        <v>44498</v>
      </c>
      <c r="B62" s="94">
        <v>57100</v>
      </c>
      <c r="C62" s="94">
        <v>47400</v>
      </c>
      <c r="D62" s="94">
        <v>54400</v>
      </c>
      <c r="E62" s="94">
        <v>48650</v>
      </c>
      <c r="F62" s="94">
        <v>58000</v>
      </c>
      <c r="G62" s="94">
        <v>24150</v>
      </c>
      <c r="H62" s="94">
        <v>51000</v>
      </c>
      <c r="I62" s="94">
        <v>52300</v>
      </c>
      <c r="J62" s="94">
        <v>22000</v>
      </c>
      <c r="K62" s="94">
        <v>33300</v>
      </c>
      <c r="L62" s="94">
        <v>150900</v>
      </c>
      <c r="M62" s="94">
        <v>131400</v>
      </c>
      <c r="N62" s="94">
        <v>96900</v>
      </c>
      <c r="O62" s="94">
        <v>90700</v>
      </c>
      <c r="P62" s="94">
        <v>104000</v>
      </c>
      <c r="Q62" s="95">
        <v>74800</v>
      </c>
      <c r="R62" s="94">
        <v>98000</v>
      </c>
      <c r="S62" s="94">
        <v>41500</v>
      </c>
      <c r="T62" s="94">
        <v>31500</v>
      </c>
      <c r="U62" s="94">
        <v>28050</v>
      </c>
      <c r="V62" s="96">
        <v>1444.27</v>
      </c>
    </row>
    <row r="63" spans="1:22" ht="16.5" thickBot="1">
      <c r="A63" s="103">
        <v>44530</v>
      </c>
      <c r="B63" s="97">
        <v>48950</v>
      </c>
      <c r="C63" s="97">
        <v>39550</v>
      </c>
      <c r="D63" s="98">
        <v>43000</v>
      </c>
      <c r="E63" s="97">
        <v>50000</v>
      </c>
      <c r="F63" s="97">
        <v>55800</v>
      </c>
      <c r="G63" s="97">
        <v>32700</v>
      </c>
      <c r="H63" s="98">
        <v>46450</v>
      </c>
      <c r="I63" s="97">
        <v>49800</v>
      </c>
      <c r="J63" s="98">
        <v>24500</v>
      </c>
      <c r="K63" s="97">
        <v>38000</v>
      </c>
      <c r="L63" s="97">
        <v>149200</v>
      </c>
      <c r="M63" s="97">
        <v>138900</v>
      </c>
      <c r="N63" s="97">
        <v>97100</v>
      </c>
      <c r="O63" s="97">
        <v>87600</v>
      </c>
      <c r="P63" s="97">
        <v>97900</v>
      </c>
      <c r="Q63" s="99">
        <v>70500</v>
      </c>
      <c r="R63" s="98">
        <v>98900</v>
      </c>
      <c r="S63" s="98">
        <v>44400</v>
      </c>
      <c r="T63" s="98">
        <v>33550</v>
      </c>
      <c r="U63" s="98">
        <v>27200</v>
      </c>
      <c r="V63" s="100">
        <v>1478.44</v>
      </c>
    </row>
    <row r="64" spans="1:22" ht="15.75">
      <c r="Q64" s="1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F9AA-94F3-453C-AFD7-FA2138ABD8EC}">
  <dimension ref="A1:V62"/>
  <sheetViews>
    <sheetView zoomScale="90" zoomScaleNormal="90" workbookViewId="0">
      <selection activeCell="K63" sqref="K63"/>
    </sheetView>
  </sheetViews>
  <sheetFormatPr defaultRowHeight="15"/>
  <cols>
    <col min="1" max="1" width="11.42578125" style="7" bestFit="1" customWidth="1"/>
    <col min="2" max="17" width="8.85546875" style="7" bestFit="1" customWidth="1"/>
    <col min="18" max="18" width="8.85546875" style="7" customWidth="1"/>
    <col min="19" max="21" width="8.85546875" style="7" bestFit="1" customWidth="1"/>
    <col min="22" max="22" width="14.140625" style="7" bestFit="1" customWidth="1"/>
    <col min="23" max="16384" width="9.140625" style="7"/>
  </cols>
  <sheetData>
    <row r="1" spans="1:22" s="101" customFormat="1" ht="19.5" thickBot="1">
      <c r="A1" s="104" t="s">
        <v>12</v>
      </c>
      <c r="B1" s="105" t="s">
        <v>6</v>
      </c>
      <c r="C1" s="105" t="s">
        <v>7</v>
      </c>
      <c r="D1" s="105" t="s">
        <v>8</v>
      </c>
      <c r="E1" s="105" t="s">
        <v>13</v>
      </c>
      <c r="F1" s="105" t="s">
        <v>2</v>
      </c>
      <c r="G1" s="105" t="s">
        <v>10</v>
      </c>
      <c r="H1" s="105" t="s">
        <v>3</v>
      </c>
      <c r="I1" s="105" t="s">
        <v>19</v>
      </c>
      <c r="J1" s="105" t="s">
        <v>11</v>
      </c>
      <c r="K1" s="105" t="s">
        <v>15</v>
      </c>
      <c r="L1" s="105" t="s">
        <v>4</v>
      </c>
      <c r="M1" s="105" t="s">
        <v>17</v>
      </c>
      <c r="N1" s="105" t="s">
        <v>16</v>
      </c>
      <c r="O1" s="105" t="s">
        <v>5</v>
      </c>
      <c r="P1" s="105" t="s">
        <v>18</v>
      </c>
      <c r="Q1" s="106" t="s">
        <v>21</v>
      </c>
      <c r="R1" s="105" t="s">
        <v>1</v>
      </c>
      <c r="S1" s="105" t="s">
        <v>9</v>
      </c>
      <c r="T1" s="105" t="s">
        <v>0</v>
      </c>
      <c r="U1" s="105" t="s">
        <v>14</v>
      </c>
      <c r="V1" s="107" t="s">
        <v>20</v>
      </c>
    </row>
    <row r="2" spans="1:22" s="109" customFormat="1" ht="15.75">
      <c r="A2" s="102">
        <v>42704</v>
      </c>
      <c r="B2" s="110">
        <f>LN('Lịch sử giá'!B3/'Lịch sử giá'!B2)</f>
        <v>3.2591901001464051E-2</v>
      </c>
      <c r="C2" s="110">
        <f>LN('Lịch sử giá'!C3/'Lịch sử giá'!C2)</f>
        <v>0.19349485739207992</v>
      </c>
      <c r="D2" s="110">
        <f>LN('Lịch sử giá'!D3/'Lịch sử giá'!D2)</f>
        <v>2.1855804412063883E-2</v>
      </c>
      <c r="E2" s="110">
        <f>LN('Lịch sử giá'!E3/'Lịch sử giá'!E2)</f>
        <v>-0.19621066895462169</v>
      </c>
      <c r="F2" s="110">
        <f>LN('Lịch sử giá'!F3/'Lịch sử giá'!F2)</f>
        <v>5.5880458394456628E-2</v>
      </c>
      <c r="G2" s="110">
        <f>LN('Lịch sử giá'!G3/'Lịch sử giá'!G2)</f>
        <v>0.15906418682098614</v>
      </c>
      <c r="H2" s="110">
        <f>LN('Lịch sử giá'!H3/'Lịch sử giá'!H2)</f>
        <v>-4.3388167438698888E-2</v>
      </c>
      <c r="I2" s="110">
        <f>LN('Lịch sử giá'!I3/'Lịch sử giá'!I2)</f>
        <v>0</v>
      </c>
      <c r="J2" s="110">
        <f>LN('Lịch sử giá'!J3/'Lịch sử giá'!J2)</f>
        <v>-7.9092231187441464E-2</v>
      </c>
      <c r="K2" s="110">
        <f>LN('Lịch sử giá'!K3/'Lịch sử giá'!K2)</f>
        <v>-2.2989518224698718E-2</v>
      </c>
      <c r="L2" s="110">
        <f>LN('Lịch sử giá'!L3/'Lịch sử giá'!L2)</f>
        <v>-2.4654561563940469E-2</v>
      </c>
      <c r="M2" s="110">
        <f>LN('Lịch sử giá'!M3/'Lịch sử giá'!M2)</f>
        <v>0.12921173148000625</v>
      </c>
      <c r="N2" s="110">
        <f>LN('Lịch sử giá'!N3/'Lịch sử giá'!N2)</f>
        <v>-3.4542348680875576E-3</v>
      </c>
      <c r="O2" s="110">
        <f>LN('Lịch sử giá'!O3/'Lịch sử giá'!O2)</f>
        <v>-2.8573372444056E-2</v>
      </c>
      <c r="P2" s="110">
        <f>LN('Lịch sử giá'!P3/'Lịch sử giá'!P2)</f>
        <v>1.3148472843506141E-2</v>
      </c>
      <c r="Q2" s="110">
        <f>LN('Lịch sử giá'!Q3/'Lịch sử giá'!Q2)</f>
        <v>4.3735393507807897E-2</v>
      </c>
      <c r="R2" s="110">
        <f>LN('Lịch sử giá'!R3/'Lịch sử giá'!R2)</f>
        <v>-2.247812488908936E-2</v>
      </c>
      <c r="S2" s="110">
        <f>LN('Lịch sử giá'!S3/'Lịch sử giá'!S2)</f>
        <v>-3.579248781764538E-2</v>
      </c>
      <c r="T2" s="110">
        <f>LN('Lịch sử giá'!T3/'Lịch sử giá'!T2)</f>
        <v>-4.5535022756853526E-2</v>
      </c>
      <c r="U2" s="110">
        <f>LN('Lịch sử giá'!U3/'Lịch sử giá'!U2)</f>
        <v>-0.10192998056103705</v>
      </c>
      <c r="V2" s="111">
        <f>LN('Lịch sử giá'!V3/'Lịch sử giá'!V2)</f>
        <v>-1.6004876006217951E-2</v>
      </c>
    </row>
    <row r="3" spans="1:22" s="109" customFormat="1" ht="15.75">
      <c r="A3" s="102">
        <v>42734</v>
      </c>
      <c r="B3" s="110">
        <f>LN('Lịch sử giá'!B4/'Lịch sử giá'!B3)</f>
        <v>2.463467684110119E-2</v>
      </c>
      <c r="C3" s="110">
        <f>LN('Lịch sử giá'!C4/'Lịch sử giá'!C3)</f>
        <v>4.6239392650029035E-2</v>
      </c>
      <c r="D3" s="110">
        <f>LN('Lịch sử giá'!D4/'Lịch sử giá'!D3)</f>
        <v>-5.5568621423095203E-2</v>
      </c>
      <c r="E3" s="110">
        <f>LN('Lịch sử giá'!E4/'Lịch sử giá'!E3)</f>
        <v>-3.1974304632514078E-2</v>
      </c>
      <c r="F3" s="110">
        <f>LN('Lịch sử giá'!F4/'Lịch sử giá'!F3)</f>
        <v>-3.5401927050915952E-2</v>
      </c>
      <c r="G3" s="110">
        <f>LN('Lịch sử giá'!G4/'Lịch sử giá'!G3)</f>
        <v>-8.4336082545691526E-2</v>
      </c>
      <c r="H3" s="110">
        <f>LN('Lịch sử giá'!H4/'Lịch sử giá'!H3)</f>
        <v>-1.4882431661130652E-2</v>
      </c>
      <c r="I3" s="110">
        <f>LN('Lịch sử giá'!I4/'Lịch sử giá'!I3)</f>
        <v>-7.3801072976225337E-3</v>
      </c>
      <c r="J3" s="110">
        <f>LN('Lịch sử giá'!J4/'Lịch sử giá'!J3)</f>
        <v>8.196728811576133E-3</v>
      </c>
      <c r="K3" s="110">
        <f>LN('Lịch sử giá'!K4/'Lịch sử giá'!K3)</f>
        <v>-5.7432049085875521E-2</v>
      </c>
      <c r="L3" s="110">
        <f>LN('Lịch sử giá'!L4/'Lịch sử giá'!L3)</f>
        <v>1.0861239431604634E-2</v>
      </c>
      <c r="M3" s="110">
        <f>LN('Lịch sử giá'!M4/'Lịch sử giá'!M3)</f>
        <v>-5.6089466651043585E-2</v>
      </c>
      <c r="N3" s="110">
        <f>LN('Lịch sử giá'!N4/'Lịch sử giá'!N3)</f>
        <v>1.4882930691710239E-2</v>
      </c>
      <c r="O3" s="110">
        <f>LN('Lịch sử giá'!O4/'Lịch sử giá'!O3)</f>
        <v>-9.4151431123106394E-2</v>
      </c>
      <c r="P3" s="110">
        <f>LN('Lịch sử giá'!P4/'Lịch sử giá'!P3)</f>
        <v>-3.545423035780438E-2</v>
      </c>
      <c r="Q3" s="110">
        <f>LN('Lịch sử giá'!Q4/'Lịch sử giá'!Q3)</f>
        <v>0.10468461161046544</v>
      </c>
      <c r="R3" s="110">
        <f>LN('Lịch sử giá'!R4/'Lịch sử giá'!R3)</f>
        <v>7.0880391259636978E-3</v>
      </c>
      <c r="S3" s="110">
        <f>LN('Lịch sử giá'!S4/'Lịch sử giá'!S3)</f>
        <v>-7.4611113523592801E-2</v>
      </c>
      <c r="T3" s="110">
        <f>LN('Lịch sử giá'!T4/'Lịch sử giá'!T3)</f>
        <v>-6.7403266292995256E-2</v>
      </c>
      <c r="U3" s="110">
        <f>LN('Lịch sử giá'!U4/'Lịch sử giá'!U3)</f>
        <v>-5.6352936551131744E-2</v>
      </c>
      <c r="V3" s="111">
        <f>LN('Lịch sử giá'!V4/'Lịch sử giá'!V3)</f>
        <v>-3.0076545033263098E-4</v>
      </c>
    </row>
    <row r="4" spans="1:22" s="109" customFormat="1" ht="15.75">
      <c r="A4" s="102">
        <v>42760</v>
      </c>
      <c r="B4" s="110">
        <f>LN('Lịch sử giá'!B5/'Lịch sử giá'!B4)</f>
        <v>-1.9895331477204615E-2</v>
      </c>
      <c r="C4" s="110">
        <f>LN('Lịch sử giá'!C5/'Lịch sử giá'!C4)</f>
        <v>-2.3857990453894064E-2</v>
      </c>
      <c r="D4" s="110">
        <f>LN('Lịch sử giá'!D5/'Lịch sử giá'!D4)</f>
        <v>8.5369647727193236E-3</v>
      </c>
      <c r="E4" s="110">
        <f>LN('Lịch sử giá'!E5/'Lịch sử giá'!E4)</f>
        <v>-1.4545711002378751E-2</v>
      </c>
      <c r="F4" s="110">
        <f>LN('Lịch sử giá'!F5/'Lịch sử giá'!F4)</f>
        <v>3.5401927050916E-2</v>
      </c>
      <c r="G4" s="110">
        <f>LN('Lịch sử giá'!G5/'Lịch sử giá'!G4)</f>
        <v>7.324468416381158E-2</v>
      </c>
      <c r="H4" s="110">
        <f>LN('Lịch sử giá'!H5/'Lịch sử giá'!H4)</f>
        <v>-1.5116367411621801E-2</v>
      </c>
      <c r="I4" s="110">
        <f>LN('Lịch sử giá'!I5/'Lịch sử giá'!I4)</f>
        <v>4.7024938644862777E-2</v>
      </c>
      <c r="J4" s="110">
        <f>LN('Lịch sử giá'!J5/'Lịch sử giá'!J4)</f>
        <v>-8.1967288115762267E-3</v>
      </c>
      <c r="K4" s="110">
        <f>LN('Lịch sử giá'!K5/'Lịch sử giá'!K4)</f>
        <v>-4.8445396022593415E-2</v>
      </c>
      <c r="L4" s="110">
        <f>LN('Lịch sử giá'!L5/'Lịch sử giá'!L4)</f>
        <v>-0.45165449057753904</v>
      </c>
      <c r="M4" s="110">
        <f>LN('Lịch sử giá'!M5/'Lịch sử giá'!M4)</f>
        <v>2.5317807984289786E-2</v>
      </c>
      <c r="N4" s="110">
        <f>LN('Lịch sử giá'!N5/'Lịch sử giá'!N4)</f>
        <v>2.4692612590371414E-2</v>
      </c>
      <c r="O4" s="110">
        <f>LN('Lịch sử giá'!O5/'Lịch sử giá'!O4)</f>
        <v>2.6710150327573862E-2</v>
      </c>
      <c r="P4" s="110">
        <f>LN('Lịch sử giá'!P5/'Lịch sử giá'!P4)</f>
        <v>3.6904556935450979E-2</v>
      </c>
      <c r="Q4" s="110">
        <f>LN('Lịch sử giá'!Q5/'Lịch sử giá'!Q4)</f>
        <v>4.1714091412474903E-2</v>
      </c>
      <c r="R4" s="110">
        <f>LN('Lịch sử giá'!R5/'Lịch sử giá'!R4)</f>
        <v>0.10309190546016384</v>
      </c>
      <c r="S4" s="110">
        <f>LN('Lịch sử giá'!S5/'Lịch sử giá'!S4)</f>
        <v>0.17407396342838519</v>
      </c>
      <c r="T4" s="110">
        <f>LN('Lịch sử giá'!T5/'Lịch sử giá'!T4)</f>
        <v>0.25038300901418453</v>
      </c>
      <c r="U4" s="110">
        <f>LN('Lịch sử giá'!U5/'Lịch sử giá'!U4)</f>
        <v>1.4388737452099671E-2</v>
      </c>
      <c r="V4" s="111">
        <f>LN('Lịch sử giá'!V5/'Lịch sử giá'!V4)</f>
        <v>4.7595518932616279E-2</v>
      </c>
    </row>
    <row r="5" spans="1:22" s="109" customFormat="1" ht="15.75">
      <c r="A5" s="102">
        <v>42794</v>
      </c>
      <c r="B5" s="110">
        <f>LN('Lịch sử giá'!B6/'Lịch sử giá'!B5)</f>
        <v>-5.5907631938295947E-2</v>
      </c>
      <c r="C5" s="110">
        <f>LN('Lịch sử giá'!C6/'Lịch sử giá'!C5)</f>
        <v>-5.055227916283133E-2</v>
      </c>
      <c r="D5" s="110">
        <f>LN('Lịch sử giá'!D6/'Lịch sử giá'!D5)</f>
        <v>3.3424741170026702E-2</v>
      </c>
      <c r="E5" s="110">
        <f>LN('Lịch sử giá'!E6/'Lịch sử giá'!E5)</f>
        <v>5.3488684950986222E-2</v>
      </c>
      <c r="F5" s="110">
        <f>LN('Lịch sử giá'!F6/'Lịch sử giá'!F5)</f>
        <v>-1.7544309650909508E-2</v>
      </c>
      <c r="G5" s="110">
        <f>LN('Lịch sử giá'!G6/'Lịch sử giá'!G5)</f>
        <v>0.20438511033524309</v>
      </c>
      <c r="H5" s="110">
        <f>LN('Lịch sử giá'!H6/'Lịch sử giá'!H5)</f>
        <v>0.10586991221586048</v>
      </c>
      <c r="I5" s="110">
        <f>LN('Lịch sử giá'!I6/'Lịch sử giá'!I5)</f>
        <v>0.20387788230362161</v>
      </c>
      <c r="J5" s="110">
        <f>LN('Lịch sử giá'!J6/'Lịch sử giá'!J5)</f>
        <v>-1.2422461209887705E-2</v>
      </c>
      <c r="K5" s="110">
        <f>LN('Lịch sử giá'!K6/'Lịch sử giá'!K5)</f>
        <v>0.11973447976989501</v>
      </c>
      <c r="L5" s="110">
        <f>LN('Lịch sử giá'!L6/'Lịch sử giá'!L5)</f>
        <v>-6.0790460763822263E-3</v>
      </c>
      <c r="M5" s="110">
        <f>LN('Lịch sử giá'!M6/'Lịch sử giá'!M5)</f>
        <v>4.3418620367521157E-2</v>
      </c>
      <c r="N5" s="110">
        <f>LN('Lịch sử giá'!N6/'Lịch sử giá'!N5)</f>
        <v>1.6492952193841167E-2</v>
      </c>
      <c r="O5" s="110">
        <f>LN('Lịch sử giá'!O6/'Lịch sử giá'!O5)</f>
        <v>1.8433701688837966E-2</v>
      </c>
      <c r="P5" s="110">
        <f>LN('Lịch sử giá'!P6/'Lịch sử giá'!P5)</f>
        <v>8.3381608939051E-2</v>
      </c>
      <c r="Q5" s="110">
        <f>LN('Lịch sử giá'!Q6/'Lịch sử giá'!Q5)</f>
        <v>-2.3623145763435941E-2</v>
      </c>
      <c r="R5" s="110">
        <f>LN('Lịch sử giá'!R6/'Lịch sử giá'!R5)</f>
        <v>-4.9548349050154622E-2</v>
      </c>
      <c r="S5" s="110">
        <f>LN('Lịch sử giá'!S6/'Lịch sử giá'!S5)</f>
        <v>-2.6988476497596278E-2</v>
      </c>
      <c r="T5" s="110">
        <f>LN('Lịch sử giá'!T6/'Lịch sử giá'!T5)</f>
        <v>-1.629771598806588E-2</v>
      </c>
      <c r="U5" s="110">
        <f>LN('Lịch sử giá'!U6/'Lịch sử giá'!U5)</f>
        <v>5.5569851154810786E-2</v>
      </c>
      <c r="V5" s="111">
        <f>LN('Lịch sử giá'!V6/'Lịch sử giá'!V5)</f>
        <v>1.9189975770240234E-2</v>
      </c>
    </row>
    <row r="6" spans="1:22" s="109" customFormat="1" ht="15.75">
      <c r="A6" s="102">
        <v>42825</v>
      </c>
      <c r="B6" s="110">
        <f>LN('Lịch sử giá'!B7/'Lịch sử giá'!B6)</f>
        <v>-0.26951476849633194</v>
      </c>
      <c r="C6" s="110">
        <f>LN('Lịch sử giá'!C7/'Lịch sử giá'!C6)</f>
        <v>4.6520015634892907E-2</v>
      </c>
      <c r="D6" s="110">
        <f>LN('Lịch sử giá'!D7/'Lịch sử giá'!D6)</f>
        <v>0.10399333013761621</v>
      </c>
      <c r="E6" s="110">
        <f>LN('Lịch sử giá'!E7/'Lịch sử giá'!E6)</f>
        <v>4.08219945202552E-2</v>
      </c>
      <c r="F6" s="110">
        <f>LN('Lịch sử giá'!F7/'Lịch sử giá'!F6)</f>
        <v>0.15919482671393628</v>
      </c>
      <c r="G6" s="110">
        <f>LN('Lịch sử giá'!G7/'Lịch sử giá'!G6)</f>
        <v>0.22192657027255297</v>
      </c>
      <c r="H6" s="110">
        <f>LN('Lịch sử giá'!H7/'Lịch sử giá'!H6)</f>
        <v>0.14628831567886144</v>
      </c>
      <c r="I6" s="110">
        <f>LN('Lịch sử giá'!I7/'Lịch sử giá'!I6)</f>
        <v>-2.8860048891349867E-3</v>
      </c>
      <c r="J6" s="110">
        <f>LN('Lịch sử giá'!J7/'Lịch sử giá'!J6)</f>
        <v>2.8749278333852931E-2</v>
      </c>
      <c r="K6" s="110">
        <f>LN('Lịch sử giá'!K7/'Lịch sử giá'!K6)</f>
        <v>-4.2160810824277979E-2</v>
      </c>
      <c r="L6" s="110">
        <f>LN('Lịch sử giá'!L7/'Lịch sử giá'!L6)</f>
        <v>0.13763879932708076</v>
      </c>
      <c r="M6" s="110">
        <f>LN('Lịch sử giá'!M7/'Lịch sử giá'!M6)</f>
        <v>7.155665595412232E-3</v>
      </c>
      <c r="N6" s="110">
        <f>LN('Lịch sử giá'!N7/'Lịch sử giá'!N6)</f>
        <v>3.1135096795413462E-2</v>
      </c>
      <c r="O6" s="110">
        <f>LN('Lịch sử giá'!O7/'Lịch sử giá'!O6)</f>
        <v>8.6694228783616004E-2</v>
      </c>
      <c r="P6" s="110">
        <f>LN('Lịch sử giá'!P7/'Lịch sử giá'!P6)</f>
        <v>1.0610179112015469E-2</v>
      </c>
      <c r="Q6" s="110">
        <f>LN('Lịch sử giá'!Q7/'Lịch sử giá'!Q6)</f>
        <v>8.4018856053175772E-2</v>
      </c>
      <c r="R6" s="110">
        <f>LN('Lịch sử giá'!R7/'Lịch sử giá'!R6)</f>
        <v>-1.3451669436405739E-2</v>
      </c>
      <c r="S6" s="110">
        <f>LN('Lịch sử giá'!S7/'Lịch sử giá'!S6)</f>
        <v>6.4728566668682624E-2</v>
      </c>
      <c r="T6" s="110">
        <f>LN('Lịch sử giá'!T7/'Lịch sử giá'!T6)</f>
        <v>-8.278624292425249E-3</v>
      </c>
      <c r="U6" s="110">
        <f>LN('Lịch sử giá'!U7/'Lịch sử giá'!U6)</f>
        <v>-0.10186313512565558</v>
      </c>
      <c r="V6" s="111">
        <f>LN('Lịch sử giá'!V7/'Lịch sử giá'!V6)</f>
        <v>1.6077382097351822E-2</v>
      </c>
    </row>
    <row r="7" spans="1:22" s="109" customFormat="1" ht="15.75">
      <c r="A7" s="102">
        <v>42853</v>
      </c>
      <c r="B7" s="110">
        <f>LN('Lịch sử giá'!B8/'Lịch sử giá'!B7)</f>
        <v>-3.8370011272968449E-2</v>
      </c>
      <c r="C7" s="110">
        <f>LN('Lịch sử giá'!C8/'Lịch sử giá'!C7)</f>
        <v>-2.3506447675341324E-2</v>
      </c>
      <c r="D7" s="110">
        <f>LN('Lịch sử giá'!D8/'Lịch sử giá'!D7)</f>
        <v>4.8200978360595038E-2</v>
      </c>
      <c r="E7" s="110">
        <f>LN('Lịch sử giá'!E8/'Lịch sử giá'!E7)</f>
        <v>-1.0050335853501451E-2</v>
      </c>
      <c r="F7" s="110">
        <f>LN('Lịch sử giá'!F8/'Lịch sử giá'!F7)</f>
        <v>5.5059777183027389E-2</v>
      </c>
      <c r="G7" s="110">
        <f>LN('Lịch sử giá'!G8/'Lịch sử giá'!G7)</f>
        <v>4.9717522126624863E-2</v>
      </c>
      <c r="H7" s="110">
        <f>LN('Lịch sử giá'!H8/'Lịch sử giá'!H7)</f>
        <v>-1.3898309168890299E-2</v>
      </c>
      <c r="I7" s="110">
        <f>LN('Lịch sử giá'!I8/'Lịch sử giá'!I7)</f>
        <v>7.1994551428543286E-3</v>
      </c>
      <c r="J7" s="110">
        <f>LN('Lịch sử giá'!J8/'Lịch sử giá'!J7)</f>
        <v>0.10008301789682962</v>
      </c>
      <c r="K7" s="110">
        <f>LN('Lịch sử giá'!K8/'Lịch sử giá'!K7)</f>
        <v>0.22981978021295357</v>
      </c>
      <c r="L7" s="110">
        <f>LN('Lịch sử giá'!L8/'Lịch sử giá'!L7)</f>
        <v>-5.6845904071475009E-2</v>
      </c>
      <c r="M7" s="110">
        <f>LN('Lịch sử giá'!M8/'Lịch sử giá'!M7)</f>
        <v>-7.754288780005259E-3</v>
      </c>
      <c r="N7" s="110">
        <f>LN('Lịch sử giá'!N8/'Lịch sử giá'!N7)</f>
        <v>-1.8133830238039741E-2</v>
      </c>
      <c r="O7" s="110">
        <f>LN('Lịch sử giá'!O8/'Lịch sử giá'!O7)</f>
        <v>3.2271938929988871E-2</v>
      </c>
      <c r="P7" s="110">
        <f>LN('Lịch sử giá'!P8/'Lịch sử giá'!P7)</f>
        <v>0.14810151204280531</v>
      </c>
      <c r="Q7" s="110">
        <f>LN('Lịch sử giá'!Q8/'Lịch sử giá'!Q7)</f>
        <v>1.9946264182378909E-2</v>
      </c>
      <c r="R7" s="110">
        <f>LN('Lịch sử giá'!R8/'Lịch sử giá'!R7)</f>
        <v>-4.9999546577107881E-2</v>
      </c>
      <c r="S7" s="110">
        <f>LN('Lịch sử giá'!S8/'Lịch sử giá'!S7)</f>
        <v>-5.5653414914228594E-2</v>
      </c>
      <c r="T7" s="110">
        <f>LN('Lịch sử giá'!T8/'Lịch sử giá'!T7)</f>
        <v>-4.233216421045654E-2</v>
      </c>
      <c r="U7" s="110">
        <f>LN('Lịch sử giá'!U8/'Lịch sử giá'!U7)</f>
        <v>-0.12466451417279477</v>
      </c>
      <c r="V7" s="111">
        <f>LN('Lịch sử giá'!V8/'Lịch sử giá'!V7)</f>
        <v>-6.3609558663570232E-3</v>
      </c>
    </row>
    <row r="8" spans="1:22" s="109" customFormat="1" ht="15.75">
      <c r="A8" s="102">
        <v>42886</v>
      </c>
      <c r="B8" s="110">
        <f>LN('Lịch sử giá'!B9/'Lịch sử giá'!B8)</f>
        <v>3.3447934067540125E-2</v>
      </c>
      <c r="C8" s="110">
        <f>LN('Lịch sử giá'!C9/'Lịch sử giá'!C8)</f>
        <v>-0.38803770650920527</v>
      </c>
      <c r="D8" s="110">
        <f>LN('Lịch sử giá'!D9/'Lịch sử giá'!D8)</f>
        <v>0.21672407823566245</v>
      </c>
      <c r="E8" s="110">
        <f>LN('Lịch sử giá'!E9/'Lịch sử giá'!E8)</f>
        <v>6.2010074784212534E-2</v>
      </c>
      <c r="F8" s="110">
        <f>LN('Lịch sử giá'!F9/'Lịch sử giá'!F8)</f>
        <v>-3.5778213478839666E-3</v>
      </c>
      <c r="G8" s="110">
        <f>LN('Lịch sử giá'!G9/'Lịch sử giá'!G8)</f>
        <v>-8.9737341133142967E-2</v>
      </c>
      <c r="H8" s="110">
        <f>LN('Lịch sử giá'!H9/'Lịch sử giá'!H8)</f>
        <v>0.10615890630531431</v>
      </c>
      <c r="I8" s="110">
        <f>LN('Lịch sử giá'!I9/'Lịch sử giá'!I8)</f>
        <v>0.13782631690740335</v>
      </c>
      <c r="J8" s="110">
        <f>LN('Lịch sử giá'!J9/'Lịch sử giá'!J8)</f>
        <v>9.5977477270643735E-2</v>
      </c>
      <c r="K8" s="110">
        <f>LN('Lịch sử giá'!K9/'Lịch sử giá'!K8)</f>
        <v>-1.919444725614718E-2</v>
      </c>
      <c r="L8" s="110">
        <f>LN('Lịch sử giá'!L9/'Lịch sử giá'!L8)</f>
        <v>-2.8524466709849004E-2</v>
      </c>
      <c r="M8" s="110">
        <f>LN('Lịch sử giá'!M9/'Lịch sử giá'!M8)</f>
        <v>-0.58003237612211378</v>
      </c>
      <c r="N8" s="110">
        <f>LN('Lịch sử giá'!N9/'Lịch sử giá'!N8)</f>
        <v>-7.7176349566285066E-2</v>
      </c>
      <c r="O8" s="110">
        <f>LN('Lịch sử giá'!O9/'Lịch sử giá'!O8)</f>
        <v>1.1421017661467659E-2</v>
      </c>
      <c r="P8" s="110">
        <f>LN('Lịch sử giá'!P9/'Lịch sử giá'!P8)</f>
        <v>8.0830005969025107E-2</v>
      </c>
      <c r="Q8" s="110">
        <f>LN('Lịch sử giá'!Q9/'Lịch sử giá'!Q8)</f>
        <v>0.12790518221689209</v>
      </c>
      <c r="R8" s="110">
        <f>LN('Lịch sử giá'!R9/'Lịch sử giá'!R8)</f>
        <v>3.0846411453468867E-2</v>
      </c>
      <c r="S8" s="110">
        <f>LN('Lịch sử giá'!S9/'Lịch sử giá'!S8)</f>
        <v>0.10566443871861209</v>
      </c>
      <c r="T8" s="110">
        <f>LN('Lịch sử giá'!T9/'Lịch sử giá'!T8)</f>
        <v>8.0261944032199051E-2</v>
      </c>
      <c r="U8" s="110">
        <f>LN('Lịch sử giá'!U9/'Lịch sử giá'!U8)</f>
        <v>-0.12629372532429212</v>
      </c>
      <c r="V8" s="111">
        <f>LN('Lịch sử giá'!V9/'Lịch sử giá'!V8)</f>
        <v>2.7606438654920989E-2</v>
      </c>
    </row>
    <row r="9" spans="1:22" s="109" customFormat="1" ht="15.75">
      <c r="A9" s="102">
        <v>42916</v>
      </c>
      <c r="B9" s="110">
        <f>LN('Lịch sử giá'!B10/'Lịch sử giá'!B9)</f>
        <v>5.1293294387550481E-2</v>
      </c>
      <c r="C9" s="110">
        <f>LN('Lịch sử giá'!C10/'Lịch sử giá'!C9)</f>
        <v>-1.2270092591814359E-2</v>
      </c>
      <c r="D9" s="110">
        <f>LN('Lịch sử giá'!D10/'Lịch sử giá'!D9)</f>
        <v>-2.6828309952029561E-2</v>
      </c>
      <c r="E9" s="110">
        <f>LN('Lịch sử giá'!E10/'Lịch sử giá'!E9)</f>
        <v>6.4340716765449529E-2</v>
      </c>
      <c r="F9" s="110">
        <f>LN('Lịch sử giá'!F10/'Lịch sử giá'!F9)</f>
        <v>2.1277398447284879E-2</v>
      </c>
      <c r="G9" s="110">
        <f>LN('Lịch sử giá'!G10/'Lịch sử giá'!G9)</f>
        <v>8.715113068583016E-3</v>
      </c>
      <c r="H9" s="110">
        <f>LN('Lịch sử giá'!H10/'Lịch sử giá'!H9)</f>
        <v>1.7972697939687427E-3</v>
      </c>
      <c r="I9" s="110">
        <f>LN('Lịch sử giá'!I10/'Lịch sử giá'!I9)</f>
        <v>7.2320661579626078E-2</v>
      </c>
      <c r="J9" s="110">
        <f>LN('Lịch sử giá'!J10/'Lịch sử giá'!J9)</f>
        <v>0.15391213869802334</v>
      </c>
      <c r="K9" s="110">
        <f>LN('Lịch sử giá'!K10/'Lịch sử giá'!K9)</f>
        <v>9.9529595347033067E-2</v>
      </c>
      <c r="L9" s="110">
        <f>LN('Lịch sử giá'!L10/'Lịch sử giá'!L9)</f>
        <v>-2.8170876966696335E-2</v>
      </c>
      <c r="M9" s="110">
        <f>LN('Lịch sử giá'!M10/'Lịch sử giá'!M9)</f>
        <v>9.5796206545362653E-2</v>
      </c>
      <c r="N9" s="110">
        <f>LN('Lịch sử giá'!N10/'Lịch sử giá'!N9)</f>
        <v>8.5750892990868757E-2</v>
      </c>
      <c r="O9" s="110">
        <f>LN('Lịch sử giá'!O10/'Lịch sử giá'!O9)</f>
        <v>5.1426885998196163E-2</v>
      </c>
      <c r="P9" s="110">
        <f>LN('Lịch sử giá'!P10/'Lịch sử giá'!P9)</f>
        <v>6.5980293456265882E-2</v>
      </c>
      <c r="Q9" s="110">
        <f>LN('Lịch sử giá'!Q10/'Lịch sử giá'!Q9)</f>
        <v>0.15347340245629634</v>
      </c>
      <c r="R9" s="110">
        <f>LN('Lịch sử giá'!R10/'Lịch sử giá'!R9)</f>
        <v>6.1609078161769346E-2</v>
      </c>
      <c r="S9" s="110">
        <f>LN('Lịch sử giá'!S10/'Lịch sử giá'!S9)</f>
        <v>0.10046988166989293</v>
      </c>
      <c r="T9" s="110">
        <f>LN('Lịch sử giá'!T10/'Lịch sử giá'!T9)</f>
        <v>7.4295850784679374E-2</v>
      </c>
      <c r="U9" s="110">
        <f>LN('Lịch sử giá'!U10/'Lịch sử giá'!U9)</f>
        <v>-0.1189856816221439</v>
      </c>
      <c r="V9" s="111">
        <f>LN('Lịch sử giá'!V10/'Lịch sử giá'!V9)</f>
        <v>5.1058114529790768E-2</v>
      </c>
    </row>
    <row r="10" spans="1:22" s="109" customFormat="1" ht="15.75">
      <c r="A10" s="102">
        <v>42947</v>
      </c>
      <c r="B10" s="110">
        <f>LN('Lịch sử giá'!B11/'Lịch sử giá'!B10)</f>
        <v>9.3313274288842219E-3</v>
      </c>
      <c r="C10" s="110">
        <f>LN('Lịch sử giá'!C11/'Lịch sử giá'!C10)</f>
        <v>-0.14595391262307983</v>
      </c>
      <c r="D10" s="110">
        <f>LN('Lịch sử giá'!D11/'Lịch sử giá'!D10)</f>
        <v>-4.0065057469848189E-2</v>
      </c>
      <c r="E10" s="110">
        <f>LN('Lịch sử giá'!E11/'Lịch sử giá'!E10)</f>
        <v>-0.13991032133529438</v>
      </c>
      <c r="F10" s="110">
        <f>LN('Lịch sử giá'!F11/'Lịch sử giá'!F10)</f>
        <v>6.2892430230902407E-2</v>
      </c>
      <c r="G10" s="110">
        <f>LN('Lịch sử giá'!G11/'Lịch sử giá'!G10)</f>
        <v>9.8973167556748495E-2</v>
      </c>
      <c r="H10" s="110">
        <f>LN('Lịch sử giá'!H11/'Lịch sử giá'!H10)</f>
        <v>5.3725092077201693E-3</v>
      </c>
      <c r="I10" s="110">
        <f>LN('Lịch sử giá'!I11/'Lịch sử giá'!I10)</f>
        <v>-5.9898141581068959E-2</v>
      </c>
      <c r="J10" s="110">
        <f>LN('Lịch sử giá'!J11/'Lịch sử giá'!J10)</f>
        <v>0.14329037709117762</v>
      </c>
      <c r="K10" s="110">
        <f>LN('Lịch sử giá'!K11/'Lịch sử giá'!K10)</f>
        <v>-4.6687113972653238E-2</v>
      </c>
      <c r="L10" s="110">
        <f>LN('Lịch sử giá'!L11/'Lịch sử giá'!L10)</f>
        <v>1.8868484304382736E-2</v>
      </c>
      <c r="M10" s="110">
        <f>LN('Lịch sử giá'!M11/'Lịch sử giá'!M10)</f>
        <v>-2.3599915340873492E-2</v>
      </c>
      <c r="N10" s="110">
        <f>LN('Lịch sử giá'!N11/'Lịch sử giá'!N10)</f>
        <v>3.1515213214872051E-2</v>
      </c>
      <c r="O10" s="110">
        <f>LN('Lịch sử giá'!O11/'Lịch sử giá'!O10)</f>
        <v>-3.2240058573422131E-2</v>
      </c>
      <c r="P10" s="110">
        <f>LN('Lịch sử giá'!P11/'Lịch sử giá'!P10)</f>
        <v>2.0418793988759419E-2</v>
      </c>
      <c r="Q10" s="110">
        <f>LN('Lịch sử giá'!Q11/'Lịch sử giá'!Q10)</f>
        <v>8.0972102326193028E-3</v>
      </c>
      <c r="R10" s="110">
        <f>LN('Lịch sử giá'!R11/'Lịch sử giá'!R10)</f>
        <v>-1.9675277937428369E-2</v>
      </c>
      <c r="S10" s="110">
        <f>LN('Lịch sử giá'!S11/'Lịch sử giá'!S10)</f>
        <v>8.4553506376178658E-2</v>
      </c>
      <c r="T10" s="110">
        <f>LN('Lịch sử giá'!T11/'Lịch sử giá'!T10)</f>
        <v>7.4030312474201677E-3</v>
      </c>
      <c r="U10" s="110">
        <f>LN('Lịch sử giá'!U11/'Lịch sử giá'!U10)</f>
        <v>-4.0521197405639434E-2</v>
      </c>
      <c r="V10" s="111">
        <f>LN('Lịch sử giá'!V11/'Lịch sử giá'!V10)</f>
        <v>9.0768690270232946E-3</v>
      </c>
    </row>
    <row r="11" spans="1:22" s="109" customFormat="1" ht="15.75">
      <c r="A11" s="102">
        <v>42978</v>
      </c>
      <c r="B11" s="110">
        <f>LN('Lịch sử giá'!B12/'Lịch sử giá'!B11)</f>
        <v>8.1708383251988329E-2</v>
      </c>
      <c r="C11" s="110">
        <f>LN('Lịch sử giá'!C12/'Lịch sử giá'!C11)</f>
        <v>6.3980329663407151E-2</v>
      </c>
      <c r="D11" s="110">
        <f>LN('Lịch sử giá'!D12/'Lịch sử giá'!D11)</f>
        <v>3.8554265656207981E-2</v>
      </c>
      <c r="E11" s="110">
        <f>LN('Lịch sử giá'!E12/'Lịch sử giá'!E11)</f>
        <v>3.0254408357802343E-2</v>
      </c>
      <c r="F11" s="110">
        <f>LN('Lịch sử giá'!F12/'Lịch sử giá'!F11)</f>
        <v>-7.5249162919807863E-2</v>
      </c>
      <c r="G11" s="110">
        <f>LN('Lịch sử giá'!G12/'Lịch sử giá'!G11)</f>
        <v>6.5848347403996768E-2</v>
      </c>
      <c r="H11" s="110">
        <f>LN('Lịch sử giá'!H12/'Lịch sử giá'!H11)</f>
        <v>0</v>
      </c>
      <c r="I11" s="110">
        <f>LN('Lịch sử giá'!I12/'Lịch sử giá'!I11)</f>
        <v>5.0552279162831247E-2</v>
      </c>
      <c r="J11" s="110">
        <f>LN('Lịch sử giá'!J12/'Lịch sử giá'!J11)</f>
        <v>-0.22965309871407263</v>
      </c>
      <c r="K11" s="110">
        <f>LN('Lịch sử giá'!K12/'Lịch sử giá'!K11)</f>
        <v>-3.6832454162964048E-3</v>
      </c>
      <c r="L11" s="110">
        <f>LN('Lịch sử giá'!L12/'Lịch sử giá'!L11)</f>
        <v>0.1041916084528445</v>
      </c>
      <c r="M11" s="110">
        <f>LN('Lịch sử giá'!M12/'Lịch sử giá'!M11)</f>
        <v>8.4853162488750453E-2</v>
      </c>
      <c r="N11" s="110">
        <f>LN('Lịch sử giá'!N12/'Lịch sử giá'!N11)</f>
        <v>3.0975760441341845E-3</v>
      </c>
      <c r="O11" s="110">
        <f>LN('Lịch sử giá'!O12/'Lịch sử giá'!O11)</f>
        <v>-2.7908788117076502E-2</v>
      </c>
      <c r="P11" s="110">
        <f>LN('Lịch sử giá'!P12/'Lịch sử giá'!P11)</f>
        <v>3.4061949462535872E-2</v>
      </c>
      <c r="Q11" s="110">
        <f>LN('Lịch sử giá'!Q12/'Lịch sử giá'!Q11)</f>
        <v>-5.6684143022426907E-2</v>
      </c>
      <c r="R11" s="110">
        <f>LN('Lịch sử giá'!R12/'Lịch sử giá'!R11)</f>
        <v>-1.7367016284334895E-2</v>
      </c>
      <c r="S11" s="110">
        <f>LN('Lịch sử giá'!S12/'Lịch sử giá'!S11)</f>
        <v>-3.8491296279151592E-2</v>
      </c>
      <c r="T11" s="110">
        <f>LN('Lịch sử giá'!T12/'Lịch sử giá'!T11)</f>
        <v>-6.8466174765525037E-2</v>
      </c>
      <c r="U11" s="110">
        <f>LN('Lịch sử giá'!U12/'Lịch sử giá'!U11)</f>
        <v>3.6904556935450979E-2</v>
      </c>
      <c r="V11" s="111">
        <f>LN('Lịch sử giá'!V12/'Lịch sử giá'!V11)</f>
        <v>-1.0087403732200206E-3</v>
      </c>
    </row>
    <row r="12" spans="1:22" s="109" customFormat="1" ht="15.75">
      <c r="A12" s="102">
        <v>43007</v>
      </c>
      <c r="B12" s="110">
        <f>LN('Lịch sử giá'!B13/'Lịch sử giá'!B12)</f>
        <v>0.1042186371438016</v>
      </c>
      <c r="C12" s="110">
        <f>LN('Lịch sử giá'!C13/'Lịch sử giá'!C12)</f>
        <v>-4.2778122012804183E-2</v>
      </c>
      <c r="D12" s="110">
        <f>LN('Lịch sử giá'!D13/'Lịch sử giá'!D12)</f>
        <v>6.4443189399678968E-2</v>
      </c>
      <c r="E12" s="110">
        <f>LN('Lịch sử giá'!E13/'Lịch sử giá'!E12)</f>
        <v>-3.3673215106587835E-2</v>
      </c>
      <c r="F12" s="110">
        <f>LN('Lịch sử giá'!F13/'Lịch sử giá'!F12)</f>
        <v>-3.9860349293208856E-2</v>
      </c>
      <c r="G12" s="110">
        <f>LN('Lịch sử giá'!G13/'Lịch sử giá'!G12)</f>
        <v>2.8993370339459146E-2</v>
      </c>
      <c r="H12" s="110">
        <f>LN('Lịch sử giá'!H13/'Lịch sử giá'!H12)</f>
        <v>2.35284131802076E-2</v>
      </c>
      <c r="I12" s="110">
        <f>LN('Lịch sử giá'!I13/'Lịch sử giá'!I12)</f>
        <v>2.6637359528298699E-2</v>
      </c>
      <c r="J12" s="110">
        <f>LN('Lịch sử giá'!J13/'Lịch sử giá'!J12)</f>
        <v>-0.21231684920160712</v>
      </c>
      <c r="K12" s="110">
        <f>LN('Lịch sử giá'!K13/'Lịch sử giá'!K12)</f>
        <v>7.3529743052587332E-3</v>
      </c>
      <c r="L12" s="110">
        <f>LN('Lịch sử giá'!L13/'Lịch sử giá'!L12)</f>
        <v>0.14842000511827322</v>
      </c>
      <c r="M12" s="110">
        <f>LN('Lịch sử giá'!M13/'Lịch sử giá'!M12)</f>
        <v>6.1162169536737934E-2</v>
      </c>
      <c r="N12" s="110">
        <f>LN('Lịch sử giá'!N13/'Lịch sử giá'!N12)</f>
        <v>5.1413995004186523E-3</v>
      </c>
      <c r="O12" s="110">
        <f>LN('Lịch sử giá'!O13/'Lịch sử giá'!O12)</f>
        <v>5.3763570363804958E-3</v>
      </c>
      <c r="P12" s="110">
        <f>LN('Lịch sử giá'!P13/'Lịch sử giá'!P12)</f>
        <v>5.695167412451304E-2</v>
      </c>
      <c r="Q12" s="110">
        <f>LN('Lịch sử giá'!Q13/'Lịch sử giá'!Q12)</f>
        <v>-1.4234877848537351E-3</v>
      </c>
      <c r="R12" s="110">
        <f>LN('Lịch sử giá'!R13/'Lịch sử giá'!R12)</f>
        <v>3.4817840601258795E-2</v>
      </c>
      <c r="S12" s="110">
        <f>LN('Lịch sử giá'!S13/'Lịch sử giá'!S12)</f>
        <v>-5.4604134034851974E-2</v>
      </c>
      <c r="T12" s="110">
        <f>LN('Lịch sử giá'!T13/'Lịch sử giá'!T12)</f>
        <v>7.3740153642561281E-3</v>
      </c>
      <c r="U12" s="110">
        <f>LN('Lịch sử giá'!U13/'Lịch sử giá'!U12)</f>
        <v>2.5046031926087516E-2</v>
      </c>
      <c r="V12" s="111">
        <f>LN('Lịch sử giá'!V13/'Lịch sử giá'!V12)</f>
        <v>2.7295385245519919E-2</v>
      </c>
    </row>
    <row r="13" spans="1:22" s="109" customFormat="1" ht="15.75">
      <c r="A13" s="102">
        <v>43039</v>
      </c>
      <c r="B13" s="110">
        <f>LN('Lịch sử giá'!B14/'Lịch sử giá'!B13)</f>
        <v>-5.0076337980176203E-2</v>
      </c>
      <c r="C13" s="110">
        <f>LN('Lịch sử giá'!C14/'Lịch sử giá'!C13)</f>
        <v>-0.21141193729356378</v>
      </c>
      <c r="D13" s="110">
        <f>LN('Lịch sử giá'!D14/'Lịch sử giá'!D13)</f>
        <v>-1.7169909171434766E-2</v>
      </c>
      <c r="E13" s="110">
        <f>LN('Lịch sử giá'!E14/'Lịch sử giá'!E13)</f>
        <v>-0.12767771737306199</v>
      </c>
      <c r="F13" s="110">
        <f>LN('Lịch sử giá'!F14/'Lịch sử giá'!F13)</f>
        <v>-1.1152531950475003E-2</v>
      </c>
      <c r="G13" s="110">
        <f>LN('Lịch sử giá'!G14/'Lịch sử giá'!G13)</f>
        <v>-0.11373668218358461</v>
      </c>
      <c r="H13" s="110">
        <f>LN('Lịch sử giá'!H14/'Lịch sử giá'!H13)</f>
        <v>7.8115502267845582E-2</v>
      </c>
      <c r="I13" s="110">
        <f>LN('Lịch sử giá'!I14/'Lịch sử giá'!I13)</f>
        <v>-7.7189638691129978E-2</v>
      </c>
      <c r="J13" s="110">
        <f>LN('Lịch sử giá'!J14/'Lịch sử giá'!J13)</f>
        <v>-0.22796171231113524</v>
      </c>
      <c r="K13" s="110">
        <f>LN('Lịch sử giá'!K14/'Lịch sử giá'!K13)</f>
        <v>-8.801087732271333E-2</v>
      </c>
      <c r="L13" s="110">
        <f>LN('Lịch sử giá'!L14/'Lịch sử giá'!L13)</f>
        <v>7.6826596392715246E-2</v>
      </c>
      <c r="M13" s="110">
        <f>LN('Lịch sử giá'!M14/'Lịch sử giá'!M13)</f>
        <v>9.9755844810655719E-2</v>
      </c>
      <c r="N13" s="110">
        <f>LN('Lịch sử giá'!N14/'Lịch sử giá'!N13)</f>
        <v>3.328597763346676E-2</v>
      </c>
      <c r="O13" s="110">
        <f>LN('Lịch sử giá'!O14/'Lịch sử giá'!O13)</f>
        <v>1.1992149045263752E-2</v>
      </c>
      <c r="P13" s="110">
        <f>LN('Lịch sử giá'!P14/'Lịch sử giá'!P13)</f>
        <v>-5.602187396454656E-2</v>
      </c>
      <c r="Q13" s="110">
        <f>LN('Lịch sử giá'!Q14/'Lịch sử giá'!Q13)</f>
        <v>-2.5975486403260677E-2</v>
      </c>
      <c r="R13" s="110">
        <f>LN('Lịch sử giá'!R14/'Lịch sử giá'!R13)</f>
        <v>9.6292311503713535E-2</v>
      </c>
      <c r="S13" s="110">
        <f>LN('Lịch sử giá'!S14/'Lịch sử giá'!S13)</f>
        <v>0.1086689490671964</v>
      </c>
      <c r="T13" s="110">
        <f>LN('Lịch sử giá'!T14/'Lịch sử giá'!T13)</f>
        <v>1.3397433806734521E-2</v>
      </c>
      <c r="U13" s="110">
        <f>LN('Lịch sử giá'!U14/'Lịch sử giá'!U13)</f>
        <v>5.1646588862166762E-2</v>
      </c>
      <c r="V13" s="111">
        <f>LN('Lịch sử giá'!V14/'Lịch sử giá'!V13)</f>
        <v>4.0037021782372936E-2</v>
      </c>
    </row>
    <row r="14" spans="1:22" s="109" customFormat="1" ht="15.75">
      <c r="A14" s="102">
        <v>43069</v>
      </c>
      <c r="B14" s="110">
        <f>LN('Lịch sử giá'!B15/'Lịch sử giá'!B14)</f>
        <v>0.10752034371125621</v>
      </c>
      <c r="C14" s="110">
        <f>LN('Lịch sử giá'!C15/'Lịch sử giá'!C14)</f>
        <v>2.7690800145185983E-2</v>
      </c>
      <c r="D14" s="110">
        <f>LN('Lịch sử giá'!D15/'Lịch sử giá'!D14)</f>
        <v>0.13230367201289644</v>
      </c>
      <c r="E14" s="110">
        <f>LN('Lịch sử giá'!E15/'Lịch sử giá'!E14)</f>
        <v>7.1324780821930167E-2</v>
      </c>
      <c r="F14" s="110">
        <f>LN('Lịch sử giá'!F15/'Lịch sử giá'!F14)</f>
        <v>9.4460201002620439E-2</v>
      </c>
      <c r="G14" s="110">
        <f>LN('Lịch sử giá'!G15/'Lịch sử giá'!G14)</f>
        <v>9.8615409533984844E-2</v>
      </c>
      <c r="H14" s="110">
        <f>LN('Lịch sử giá'!H15/'Lịch sử giá'!H14)</f>
        <v>0.12822167257505243</v>
      </c>
      <c r="I14" s="110">
        <f>LN('Lịch sử giá'!I15/'Lịch sử giá'!I14)</f>
        <v>5.5236128475257551E-2</v>
      </c>
      <c r="J14" s="110">
        <f>LN('Lịch sử giá'!J15/'Lịch sử giá'!J14)</f>
        <v>-2.4450959205299407E-2</v>
      </c>
      <c r="K14" s="110">
        <f>LN('Lịch sử giá'!K15/'Lịch sử giá'!K14)</f>
        <v>1.980262729617973E-2</v>
      </c>
      <c r="L14" s="110">
        <f>LN('Lịch sử giá'!L15/'Lịch sử giá'!L14)</f>
        <v>0.12020773142605203</v>
      </c>
      <c r="M14" s="110">
        <f>LN('Lịch sử giá'!M15/'Lịch sử giá'!M14)</f>
        <v>4.9345874103155003E-2</v>
      </c>
      <c r="N14" s="110">
        <f>LN('Lịch sử giá'!N15/'Lịch sử giá'!N14)</f>
        <v>0.14732471475685852</v>
      </c>
      <c r="O14" s="110">
        <f>LN('Lịch sử giá'!O15/'Lịch sử giá'!O14)</f>
        <v>0.21222321373275263</v>
      </c>
      <c r="P14" s="110">
        <f>LN('Lịch sử giá'!P15/'Lịch sử giá'!P14)</f>
        <v>0.14668795862566875</v>
      </c>
      <c r="Q14" s="110">
        <f>LN('Lịch sử giá'!Q15/'Lịch sử giá'!Q14)</f>
        <v>0.15164126822183255</v>
      </c>
      <c r="R14" s="110">
        <f>LN('Lịch sử giá'!R15/'Lịch sử giá'!R14)</f>
        <v>0.15827874701258632</v>
      </c>
      <c r="S14" s="110">
        <f>LN('Lịch sử giá'!S15/'Lịch sử giá'!S14)</f>
        <v>0.16034300655523825</v>
      </c>
      <c r="T14" s="110">
        <f>LN('Lịch sử giá'!T15/'Lịch sử giá'!T14)</f>
        <v>0.25930096433825689</v>
      </c>
      <c r="U14" s="110">
        <f>LN('Lịch sử giá'!U15/'Lịch sử giá'!U14)</f>
        <v>0.22983253946500629</v>
      </c>
      <c r="V14" s="111">
        <f>LN('Lịch sử giá'!V15/'Lịch sử giá'!V14)</f>
        <v>0.12622975504534767</v>
      </c>
    </row>
    <row r="15" spans="1:22" s="109" customFormat="1" ht="15.75">
      <c r="A15" s="102">
        <v>43098</v>
      </c>
      <c r="B15" s="110">
        <f>LN('Lịch sử giá'!B16/'Lịch sử giá'!B15)</f>
        <v>0.12851275232895057</v>
      </c>
      <c r="C15" s="110">
        <f>LN('Lịch sử giá'!C16/'Lịch sử giá'!C15)</f>
        <v>2.8987536873252187E-2</v>
      </c>
      <c r="D15" s="110">
        <f>LN('Lịch sử giá'!D16/'Lịch sử giá'!D15)</f>
        <v>6.4628336331866874E-3</v>
      </c>
      <c r="E15" s="110">
        <f>LN('Lịch sử giá'!E16/'Lịch sử giá'!E15)</f>
        <v>-2.9413885206293341E-2</v>
      </c>
      <c r="F15" s="110">
        <f>LN('Lịch sử giá'!F16/'Lịch sử giá'!F15)</f>
        <v>2.3530497410194036E-2</v>
      </c>
      <c r="G15" s="110">
        <f>LN('Lịch sử giá'!G16/'Lịch sử giá'!G15)</f>
        <v>8.9757414401116675E-2</v>
      </c>
      <c r="H15" s="110">
        <f>LN('Lịch sử giá'!H16/'Lịch sử giá'!H15)</f>
        <v>-7.3847398475431675E-2</v>
      </c>
      <c r="I15" s="110">
        <f>LN('Lịch sử giá'!I16/'Lịch sử giá'!I15)</f>
        <v>-6.3915662194980447E-2</v>
      </c>
      <c r="J15" s="110">
        <f>LN('Lịch sử giá'!J16/'Lịch sử giá'!J15)</f>
        <v>2.9270219097889801E-2</v>
      </c>
      <c r="K15" s="110">
        <f>LN('Lịch sử giá'!K16/'Lịch sử giá'!K15)</f>
        <v>6.4538521137571164E-2</v>
      </c>
      <c r="L15" s="110">
        <f>LN('Lịch sử giá'!L16/'Lịch sử giá'!L15)</f>
        <v>0.13371766439557431</v>
      </c>
      <c r="M15" s="110">
        <f>LN('Lịch sử giá'!M16/'Lịch sử giá'!M15)</f>
        <v>-3.007745523727795E-2</v>
      </c>
      <c r="N15" s="110">
        <f>LN('Lịch sử giá'!N16/'Lịch sử giá'!N15)</f>
        <v>-2.2511773172216875E-2</v>
      </c>
      <c r="O15" s="110">
        <f>LN('Lịch sử giá'!O16/'Lịch sử giá'!O15)</f>
        <v>0.11091549201899513</v>
      </c>
      <c r="P15" s="110">
        <f>LN('Lịch sử giá'!P16/'Lịch sử giá'!P15)</f>
        <v>9.4872319474772079E-2</v>
      </c>
      <c r="Q15" s="110">
        <f>LN('Lịch sử giá'!Q16/'Lịch sử giá'!Q15)</f>
        <v>4.1826514946260503E-2</v>
      </c>
      <c r="R15" s="110">
        <f>LN('Lịch sử giá'!R16/'Lịch sử giá'!R15)</f>
        <v>0.11295942088729984</v>
      </c>
      <c r="S15" s="110">
        <f>LN('Lịch sử giá'!S16/'Lịch sử giá'!S15)</f>
        <v>-5.8671933293447387E-3</v>
      </c>
      <c r="T15" s="110">
        <f>LN('Lịch sử giá'!T16/'Lịch sử giá'!T15)</f>
        <v>-4.1409658670979975E-3</v>
      </c>
      <c r="U15" s="110">
        <f>LN('Lịch sử giá'!U16/'Lịch sử giá'!U15)</f>
        <v>0.21940323169848655</v>
      </c>
      <c r="V15" s="111">
        <f>LN('Lịch sử giá'!V16/'Lịch sử giá'!V15)</f>
        <v>3.5481472082668108E-2</v>
      </c>
    </row>
    <row r="16" spans="1:22" s="109" customFormat="1" ht="15.75">
      <c r="A16" s="102">
        <v>43131</v>
      </c>
      <c r="B16" s="110">
        <f>LN('Lịch sử giá'!B17/'Lịch sử giá'!B16)</f>
        <v>0.28501041710897629</v>
      </c>
      <c r="C16" s="110">
        <f>LN('Lịch sử giá'!C17/'Lịch sử giá'!C16)</f>
        <v>6.3262196777966323E-2</v>
      </c>
      <c r="D16" s="110">
        <f>LN('Lịch sử giá'!D17/'Lịch sử giá'!D16)</f>
        <v>6.486171898174499E-2</v>
      </c>
      <c r="E16" s="110">
        <f>LN('Lịch sử giá'!E17/'Lịch sử giá'!E16)</f>
        <v>4.7367688822889061E-2</v>
      </c>
      <c r="F16" s="110">
        <f>LN('Lịch sử giá'!F17/'Lịch sử giá'!F16)</f>
        <v>0.14796165745355139</v>
      </c>
      <c r="G16" s="110">
        <f>LN('Lịch sử giá'!G17/'Lịch sử giá'!G16)</f>
        <v>0.34735203637960327</v>
      </c>
      <c r="H16" s="110">
        <f>LN('Lịch sử giá'!H17/'Lịch sử giá'!H16)</f>
        <v>0.23041653289067512</v>
      </c>
      <c r="I16" s="110">
        <f>LN('Lịch sử giá'!I17/'Lịch sử giá'!I16)</f>
        <v>8.9291879688354919E-2</v>
      </c>
      <c r="J16" s="110">
        <f>LN('Lịch sử giá'!J17/'Lịch sử giá'!J16)</f>
        <v>-1.69728044410223E-2</v>
      </c>
      <c r="K16" s="110">
        <f>LN('Lịch sử giá'!K17/'Lịch sử giá'!K16)</f>
        <v>-1.1090686694158173E-2</v>
      </c>
      <c r="L16" s="110">
        <f>LN('Lịch sử giá'!L17/'Lịch sử giá'!L16)</f>
        <v>0.18297323488805062</v>
      </c>
      <c r="M16" s="110">
        <f>LN('Lịch sử giá'!M17/'Lịch sử giá'!M16)</f>
        <v>-4.2891564629312984E-2</v>
      </c>
      <c r="N16" s="110">
        <f>LN('Lịch sử giá'!N17/'Lịch sử giá'!N16)</f>
        <v>9.6742047044430221E-2</v>
      </c>
      <c r="O16" s="110">
        <f>LN('Lịch sử giá'!O17/'Lịch sử giá'!O16)</f>
        <v>-2.4752537684022431E-2</v>
      </c>
      <c r="P16" s="110">
        <f>LN('Lịch sử giá'!P17/'Lịch sử giá'!P16)</f>
        <v>8.3965380117334121E-2</v>
      </c>
      <c r="Q16" s="110">
        <f>LN('Lịch sử giá'!Q17/'Lịch sử giá'!Q16)</f>
        <v>2.7333846701035586E-2</v>
      </c>
      <c r="R16" s="110">
        <f>LN('Lịch sử giá'!R17/'Lịch sử giá'!R16)</f>
        <v>0.20417086329243259</v>
      </c>
      <c r="S16" s="110">
        <f>LN('Lịch sử giá'!S17/'Lịch sử giá'!S16)</f>
        <v>0.29354824090061388</v>
      </c>
      <c r="T16" s="110">
        <f>LN('Lịch sử giá'!T17/'Lịch sử giá'!T16)</f>
        <v>0.11687913343991851</v>
      </c>
      <c r="U16" s="110">
        <f>LN('Lịch sử giá'!U17/'Lịch sử giá'!U16)</f>
        <v>0.16176918384063332</v>
      </c>
      <c r="V16" s="111">
        <f>LN('Lịch sử giá'!V17/'Lịch sử giá'!V16)</f>
        <v>0.12056979629702561</v>
      </c>
    </row>
    <row r="17" spans="1:22" s="109" customFormat="1" ht="15.75">
      <c r="A17" s="102">
        <v>43159</v>
      </c>
      <c r="B17" s="110">
        <f>LN('Lịch sử giá'!B18/'Lịch sử giá'!B17)</f>
        <v>5.7693316233017981E-2</v>
      </c>
      <c r="C17" s="110">
        <f>LN('Lịch sử giá'!C18/'Lịch sử giá'!C17)</f>
        <v>-7.1458963982144977E-2</v>
      </c>
      <c r="D17" s="110">
        <f>LN('Lịch sử giá'!D18/'Lịch sử giá'!D17)</f>
        <v>-0.20875432101176702</v>
      </c>
      <c r="E17" s="110">
        <f>LN('Lịch sử giá'!E18/'Lịch sử giá'!E17)</f>
        <v>-8.1526607634207979E-2</v>
      </c>
      <c r="F17" s="110">
        <f>LN('Lịch sử giá'!F18/'Lịch sử giá'!F17)</f>
        <v>-8.6750926408654866E-2</v>
      </c>
      <c r="G17" s="110">
        <f>LN('Lịch sử giá'!G18/'Lịch sử giá'!G17)</f>
        <v>8.7832031527958224E-2</v>
      </c>
      <c r="H17" s="110">
        <f>LN('Lịch sử giá'!H18/'Lịch sử giá'!H17)</f>
        <v>0</v>
      </c>
      <c r="I17" s="110">
        <f>LN('Lịch sử giá'!I18/'Lịch sử giá'!I17)</f>
        <v>-5.3814152813908014E-2</v>
      </c>
      <c r="J17" s="110">
        <f>LN('Lịch sử giá'!J18/'Lịch sử giá'!J17)</f>
        <v>-0.13317857925354659</v>
      </c>
      <c r="K17" s="110">
        <f>LN('Lịch sử giá'!K18/'Lịch sử giá'!K17)</f>
        <v>-0.1057736534451527</v>
      </c>
      <c r="L17" s="110">
        <f>LN('Lịch sử giá'!L18/'Lịch sử giá'!L17)</f>
        <v>-3.1993903675297482E-2</v>
      </c>
      <c r="M17" s="110">
        <f>LN('Lịch sử giá'!M18/'Lịch sử giá'!M17)</f>
        <v>-1.2024192966801701E-2</v>
      </c>
      <c r="N17" s="110">
        <f>LN('Lịch sử giá'!N18/'Lịch sử giá'!N17)</f>
        <v>-5.0540502749808779E-2</v>
      </c>
      <c r="O17" s="110">
        <f>LN('Lịch sử giá'!O18/'Lịch sử giá'!O17)</f>
        <v>-3.755134565213248E-2</v>
      </c>
      <c r="P17" s="110">
        <f>LN('Lịch sử giá'!P18/'Lịch sử giá'!P17)</f>
        <v>0.11224948381128916</v>
      </c>
      <c r="Q17" s="110">
        <f>LN('Lịch sử giá'!Q18/'Lịch sử giá'!Q17)</f>
        <v>-0.10236903264394963</v>
      </c>
      <c r="R17" s="110">
        <f>LN('Lịch sử giá'!R18/'Lịch sử giá'!R17)</f>
        <v>0.10265378010270002</v>
      </c>
      <c r="S17" s="110">
        <f>LN('Lịch sử giá'!S18/'Lịch sử giá'!S17)</f>
        <v>0.13133638047862908</v>
      </c>
      <c r="T17" s="110">
        <f>LN('Lịch sử giá'!T18/'Lịch sử giá'!T17)</f>
        <v>0.21128956000671381</v>
      </c>
      <c r="U17" s="110">
        <f>LN('Lịch sử giá'!U18/'Lịch sử giá'!U17)</f>
        <v>-0.17687195202638997</v>
      </c>
      <c r="V17" s="111">
        <f>LN('Lịch sử giá'!V18/'Lịch sử giá'!V17)</f>
        <v>1.0018453793345008E-2</v>
      </c>
    </row>
    <row r="18" spans="1:22" s="109" customFormat="1" ht="15.75">
      <c r="A18" s="102">
        <v>43189</v>
      </c>
      <c r="B18" s="110">
        <f>LN('Lịch sử giá'!B19/'Lịch sử giá'!B18)</f>
        <v>-8.8665637085656265E-2</v>
      </c>
      <c r="C18" s="110">
        <f>LN('Lịch sử giá'!C19/'Lịch sử giá'!C18)</f>
        <v>-6.3715814386107739E-2</v>
      </c>
      <c r="D18" s="110">
        <f>LN('Lịch sử giá'!D19/'Lịch sử giá'!D18)</f>
        <v>-5.8210673405312684E-2</v>
      </c>
      <c r="E18" s="110">
        <f>LN('Lịch sử giá'!E19/'Lịch sử giá'!E18)</f>
        <v>3.0420596700711719E-2</v>
      </c>
      <c r="F18" s="110">
        <f>LN('Lịch sử giá'!F19/'Lịch sử giá'!F18)</f>
        <v>0.1424756482467549</v>
      </c>
      <c r="G18" s="110">
        <f>LN('Lịch sử giá'!G19/'Lịch sử giá'!G18)</f>
        <v>8.9012113987504429E-2</v>
      </c>
      <c r="H18" s="110">
        <f>LN('Lịch sử giá'!H19/'Lịch sử giá'!H18)</f>
        <v>4.9481527160351944E-2</v>
      </c>
      <c r="I18" s="110">
        <f>LN('Lịch sử giá'!I19/'Lịch sử giá'!I18)</f>
        <v>-0.30221017301469072</v>
      </c>
      <c r="J18" s="110">
        <f>LN('Lịch sử giá'!J19/'Lịch sử giá'!J18)</f>
        <v>-1.6901701973586154E-2</v>
      </c>
      <c r="K18" s="110">
        <f>LN('Lịch sử giá'!K19/'Lịch sử giá'!K18)</f>
        <v>1.2320484388040657E-2</v>
      </c>
      <c r="L18" s="110">
        <f>LN('Lịch sử giá'!L19/'Lịch sử giá'!L18)</f>
        <v>0.24092179733549371</v>
      </c>
      <c r="M18" s="110">
        <f>LN('Lịch sử giá'!M19/'Lịch sử giá'!M18)</f>
        <v>-9.4665226541078354E-2</v>
      </c>
      <c r="N18" s="110">
        <f>LN('Lịch sử giá'!N19/'Lịch sử giá'!N18)</f>
        <v>1.4938037108866625E-2</v>
      </c>
      <c r="O18" s="110">
        <f>LN('Lịch sử giá'!O19/'Lịch sử giá'!O18)</f>
        <v>3.5091319811270193E-2</v>
      </c>
      <c r="P18" s="110">
        <f>LN('Lịch sử giá'!P19/'Lịch sử giá'!P18)</f>
        <v>0.21168037903283277</v>
      </c>
      <c r="Q18" s="110">
        <f>LN('Lịch sử giá'!Q19/'Lịch sử giá'!Q18)</f>
        <v>-2.0998146839773468E-2</v>
      </c>
      <c r="R18" s="110">
        <f>LN('Lịch sử giá'!R19/'Lịch sử giá'!R18)</f>
        <v>-4.5735600364370549E-2</v>
      </c>
      <c r="S18" s="110">
        <f>LN('Lịch sử giá'!S19/'Lịch sử giá'!S18)</f>
        <v>0.10689806832662233</v>
      </c>
      <c r="T18" s="110">
        <f>LN('Lịch sử giá'!T19/'Lịch sử giá'!T18)</f>
        <v>2.933162861029617E-2</v>
      </c>
      <c r="U18" s="110">
        <f>LN('Lịch sử giá'!U19/'Lịch sử giá'!U18)</f>
        <v>-0.18580588087656552</v>
      </c>
      <c r="V18" s="111">
        <f>LN('Lịch sử giá'!V19/'Lịch sử giá'!V18)</f>
        <v>4.6105726631177929E-2</v>
      </c>
    </row>
    <row r="19" spans="1:22" s="109" customFormat="1" ht="15.75">
      <c r="A19" s="102">
        <v>43217</v>
      </c>
      <c r="B19" s="110">
        <f>LN('Lịch sử giá'!B20/'Lịch sử giá'!B19)</f>
        <v>-0.11571563777303054</v>
      </c>
      <c r="C19" s="110">
        <f>LN('Lịch sử giá'!C20/'Lịch sử giá'!C19)</f>
        <v>-0.30836227768931962</v>
      </c>
      <c r="D19" s="110">
        <f>LN('Lịch sử giá'!D20/'Lịch sử giá'!D19)</f>
        <v>-0.32082029050469046</v>
      </c>
      <c r="E19" s="110">
        <f>LN('Lịch sử giá'!E20/'Lịch sử giá'!E19)</f>
        <v>-3.7523496185504642E-3</v>
      </c>
      <c r="F19" s="110">
        <f>LN('Lịch sử giá'!F20/'Lịch sử giá'!F19)</f>
        <v>-2.4692612590371522E-2</v>
      </c>
      <c r="G19" s="110">
        <f>LN('Lịch sử giá'!G20/'Lịch sử giá'!G19)</f>
        <v>-0.1010963100929806</v>
      </c>
      <c r="H19" s="110">
        <f>LN('Lịch sử giá'!H20/'Lịch sử giá'!H19)</f>
        <v>6.8730777668367842E-3</v>
      </c>
      <c r="I19" s="110">
        <f>LN('Lịch sử giá'!I20/'Lịch sử giá'!I19)</f>
        <v>-0.14874526126035031</v>
      </c>
      <c r="J19" s="110">
        <f>LN('Lịch sử giá'!J20/'Lịch sử giá'!J19)</f>
        <v>2.8012856850190261E-2</v>
      </c>
      <c r="K19" s="110">
        <f>LN('Lịch sử giá'!K20/'Lịch sử giá'!K19)</f>
        <v>-2.0619287202735703E-2</v>
      </c>
      <c r="L19" s="110">
        <f>LN('Lịch sử giá'!L20/'Lịch sử giá'!L19)</f>
        <v>-0.21219053929501258</v>
      </c>
      <c r="M19" s="110">
        <f>LN('Lịch sử giá'!M20/'Lịch sử giá'!M19)</f>
        <v>-0.10064352577968741</v>
      </c>
      <c r="N19" s="110">
        <f>LN('Lịch sử giá'!N20/'Lịch sử giá'!N19)</f>
        <v>-6.289243023090238E-2</v>
      </c>
      <c r="O19" s="110">
        <f>LN('Lịch sử giá'!O20/'Lịch sử giá'!O19)</f>
        <v>-9.2850153963462523E-2</v>
      </c>
      <c r="P19" s="110">
        <f>LN('Lịch sử giá'!P20/'Lịch sử giá'!P19)</f>
        <v>-0.18621261228692129</v>
      </c>
      <c r="Q19" s="110">
        <f>LN('Lịch sử giá'!Q20/'Lịch sử giá'!Q19)</f>
        <v>-4.8922798959731867E-2</v>
      </c>
      <c r="R19" s="110">
        <f>LN('Lịch sử giá'!R20/'Lịch sử giá'!R19)</f>
        <v>-0.16127068228836453</v>
      </c>
      <c r="S19" s="110">
        <f>LN('Lịch sử giá'!S20/'Lịch sử giá'!S19)</f>
        <v>-0.18416706571166716</v>
      </c>
      <c r="T19" s="110">
        <f>LN('Lịch sử giá'!T20/'Lịch sử giá'!T19)</f>
        <v>-0.16626286423770748</v>
      </c>
      <c r="U19" s="110">
        <f>LN('Lịch sử giá'!U20/'Lịch sử giá'!U19)</f>
        <v>-0.11647499099636806</v>
      </c>
      <c r="V19" s="111">
        <f>LN('Lịch sử giá'!V20/'Lịch sử giá'!V19)</f>
        <v>-0.11177071492681011</v>
      </c>
    </row>
    <row r="20" spans="1:22" s="109" customFormat="1" ht="15.75">
      <c r="A20" s="102">
        <v>43251</v>
      </c>
      <c r="B20" s="110">
        <f>LN('Lịch sử giá'!B21/'Lịch sử giá'!B20)</f>
        <v>4.1862345360911872E-2</v>
      </c>
      <c r="C20" s="110">
        <f>LN('Lịch sử giá'!C21/'Lịch sử giá'!C20)</f>
        <v>-0.45754425715305402</v>
      </c>
      <c r="D20" s="110">
        <f>LN('Lịch sử giá'!D21/'Lịch sử giá'!D20)</f>
        <v>-0.11996120240552335</v>
      </c>
      <c r="E20" s="110">
        <f>LN('Lịch sử giá'!E21/'Lịch sử giá'!E20)</f>
        <v>-5.4067221270275821E-2</v>
      </c>
      <c r="F20" s="110">
        <f>LN('Lịch sử giá'!F21/'Lịch sử giá'!F20)</f>
        <v>-0.18566045805946921</v>
      </c>
      <c r="G20" s="110">
        <f>LN('Lịch sử giá'!G21/'Lịch sử giá'!G20)</f>
        <v>5.463553812406003E-2</v>
      </c>
      <c r="H20" s="110">
        <f>LN('Lịch sử giá'!H21/'Lịch sử giá'!H20)</f>
        <v>-9.6270641557897815E-2</v>
      </c>
      <c r="I20" s="110">
        <f>LN('Lịch sử giá'!I21/'Lịch sử giá'!I20)</f>
        <v>-3.6507416342463073E-2</v>
      </c>
      <c r="J20" s="110">
        <f>LN('Lịch sử giá'!J21/'Lịch sử giá'!J20)</f>
        <v>-0.20467129550937291</v>
      </c>
      <c r="K20" s="110">
        <f>LN('Lịch sử giá'!K21/'Lịch sử giá'!K20)</f>
        <v>-0.1431008436406733</v>
      </c>
      <c r="L20" s="110">
        <f>LN('Lịch sử giá'!L21/'Lịch sử giá'!L20)</f>
        <v>-0.12516314295400605</v>
      </c>
      <c r="M20" s="110">
        <f>LN('Lịch sử giá'!M21/'Lịch sử giá'!M20)</f>
        <v>4.0351295523567449E-2</v>
      </c>
      <c r="N20" s="110">
        <f>LN('Lịch sử giá'!N21/'Lịch sử giá'!N20)</f>
        <v>-0.21440987134545519</v>
      </c>
      <c r="O20" s="110">
        <f>LN('Lịch sử giá'!O21/'Lịch sử giá'!O20)</f>
        <v>-0.11927062805999693</v>
      </c>
      <c r="P20" s="110">
        <f>LN('Lịch sử giá'!P21/'Lịch sử giá'!P20)</f>
        <v>-2.3669744085904734E-2</v>
      </c>
      <c r="Q20" s="110">
        <f>LN('Lịch sử giá'!Q21/'Lịch sử giá'!Q20)</f>
        <v>-8.5746034545716943E-2</v>
      </c>
      <c r="R20" s="110">
        <f>LN('Lịch sử giá'!R21/'Lịch sử giá'!R20)</f>
        <v>-0.10351097406803218</v>
      </c>
      <c r="S20" s="110">
        <f>LN('Lịch sử giá'!S21/'Lịch sử giá'!S20)</f>
        <v>-0.21041217632564779</v>
      </c>
      <c r="T20" s="110">
        <f>LN('Lịch sử giá'!T21/'Lịch sử giá'!T20)</f>
        <v>-7.8056981762991862E-2</v>
      </c>
      <c r="U20" s="110">
        <f>LN('Lịch sử giá'!U21/'Lịch sử giá'!U20)</f>
        <v>-0.23423423800836801</v>
      </c>
      <c r="V20" s="111">
        <f>LN('Lịch sử giá'!V21/'Lịch sử giá'!V20)</f>
        <v>-7.8209129864794474E-2</v>
      </c>
    </row>
    <row r="21" spans="1:22" s="109" customFormat="1" ht="15.75">
      <c r="A21" s="102">
        <v>43280</v>
      </c>
      <c r="B21" s="110">
        <f>LN('Lịch sử giá'!B22/'Lịch sử giá'!B21)</f>
        <v>-0.3790783529349695</v>
      </c>
      <c r="C21" s="110">
        <f>LN('Lịch sử giá'!C22/'Lịch sử giá'!C21)</f>
        <v>0.132351451484674</v>
      </c>
      <c r="D21" s="110">
        <f>LN('Lịch sử giá'!D22/'Lịch sử giá'!D21)</f>
        <v>6.8207942273551286E-2</v>
      </c>
      <c r="E21" s="110">
        <f>LN('Lịch sử giá'!E22/'Lịch sử giá'!E21)</f>
        <v>-5.2965535579912681E-2</v>
      </c>
      <c r="F21" s="110">
        <f>LN('Lịch sử giá'!F22/'Lịch sử giá'!F21)</f>
        <v>-6.5653970221436778E-2</v>
      </c>
      <c r="G21" s="110">
        <f>LN('Lịch sử giá'!G22/'Lịch sử giá'!G21)</f>
        <v>-0.12451549701964502</v>
      </c>
      <c r="H21" s="110">
        <f>LN('Lịch sử giá'!H22/'Lịch sử giá'!H21)</f>
        <v>-6.7054679793943736E-2</v>
      </c>
      <c r="I21" s="110">
        <f>LN('Lịch sử giá'!I22/'Lịch sử giá'!I21)</f>
        <v>-1.9763489118839635E-2</v>
      </c>
      <c r="J21" s="110">
        <f>LN('Lịch sử giá'!J22/'Lịch sử giá'!J21)</f>
        <v>4.9600440299573653E-2</v>
      </c>
      <c r="K21" s="110">
        <f>LN('Lịch sử giá'!K22/'Lịch sử giá'!K21)</f>
        <v>1.4320053774748471E-2</v>
      </c>
      <c r="L21" s="110">
        <f>LN('Lịch sử giá'!L22/'Lịch sử giá'!L21)</f>
        <v>-2.500130220541727E-2</v>
      </c>
      <c r="M21" s="110">
        <f>LN('Lịch sử giá'!M22/'Lịch sử giá'!M21)</f>
        <v>7.0874339586657092E-2</v>
      </c>
      <c r="N21" s="110">
        <f>LN('Lịch sử giá'!N22/'Lịch sử giá'!N21)</f>
        <v>-0.10294796925244237</v>
      </c>
      <c r="O21" s="110">
        <f>LN('Lịch sử giá'!O22/'Lịch sử giá'!O21)</f>
        <v>3.4713240031933906E-2</v>
      </c>
      <c r="P21" s="110">
        <f>LN('Lịch sử giá'!P22/'Lịch sử giá'!P21)</f>
        <v>-0.6520856937621714</v>
      </c>
      <c r="Q21" s="110">
        <f>LN('Lịch sử giá'!Q22/'Lịch sử giá'!Q21)</f>
        <v>-3.2385251157717301E-2</v>
      </c>
      <c r="R21" s="110">
        <f>LN('Lịch sử giá'!R22/'Lịch sử giá'!R21)</f>
        <v>6.9602967014125827E-2</v>
      </c>
      <c r="S21" s="110">
        <f>LN('Lịch sử giá'!S22/'Lịch sử giá'!S21)</f>
        <v>-0.117785282510619</v>
      </c>
      <c r="T21" s="110">
        <f>LN('Lịch sử giá'!T22/'Lịch sử giá'!T21)</f>
        <v>-0.11112876383226232</v>
      </c>
      <c r="U21" s="110">
        <f>LN('Lịch sử giá'!U22/'Lịch sử giá'!U21)</f>
        <v>1.4760415583120674E-2</v>
      </c>
      <c r="V21" s="111">
        <f>LN('Lịch sử giá'!V22/'Lịch sử giá'!V21)</f>
        <v>-1.0838447119416847E-2</v>
      </c>
    </row>
    <row r="22" spans="1:22" s="109" customFormat="1" ht="15.75">
      <c r="A22" s="102">
        <v>43312</v>
      </c>
      <c r="B22" s="110">
        <f>LN('Lịch sử giá'!B23/'Lịch sử giá'!B22)</f>
        <v>-2.7724548014854862E-2</v>
      </c>
      <c r="C22" s="110">
        <f>LN('Lịch sử giá'!C23/'Lịch sử giá'!C22)</f>
        <v>-7.2837323952266247E-2</v>
      </c>
      <c r="D22" s="110">
        <f>LN('Lịch sử giá'!D23/'Lịch sử giá'!D22)</f>
        <v>-9.4030515505586693E-2</v>
      </c>
      <c r="E22" s="110">
        <f>LN('Lịch sử giá'!E23/'Lịch sử giá'!E22)</f>
        <v>0</v>
      </c>
      <c r="F22" s="110">
        <f>LN('Lịch sử giá'!F23/'Lịch sử giá'!F22)</f>
        <v>8.879549878313106E-2</v>
      </c>
      <c r="G22" s="110">
        <f>LN('Lịch sử giá'!G23/'Lịch sử giá'!G22)</f>
        <v>-4.3278736740995721E-2</v>
      </c>
      <c r="H22" s="110">
        <f>LN('Lịch sử giá'!H23/'Lịch sử giá'!H22)</f>
        <v>-2.9464895392229202E-2</v>
      </c>
      <c r="I22" s="110">
        <f>LN('Lịch sử giá'!I23/'Lịch sử giá'!I22)</f>
        <v>4.8695111652845048E-2</v>
      </c>
      <c r="J22" s="110">
        <f>LN('Lịch sử giá'!J23/'Lịch sử giá'!J22)</f>
        <v>7.456816568533034E-2</v>
      </c>
      <c r="K22" s="110">
        <f>LN('Lịch sử giá'!K23/'Lịch sử giá'!K22)</f>
        <v>-1.9139340210697395E-2</v>
      </c>
      <c r="L22" s="110">
        <f>LN('Lịch sử giá'!L23/'Lịch sử giá'!L22)</f>
        <v>6.3747068781259464E-2</v>
      </c>
      <c r="M22" s="110">
        <f>LN('Lịch sử giá'!M23/'Lịch sử giá'!M22)</f>
        <v>2.4264621999631298E-2</v>
      </c>
      <c r="N22" s="110">
        <f>LN('Lịch sử giá'!N23/'Lịch sử giá'!N22)</f>
        <v>3.0844675351098569E-2</v>
      </c>
      <c r="O22" s="110">
        <f>LN('Lịch sử giá'!O23/'Lịch sử giá'!O22)</f>
        <v>-1.0644689511414113E-2</v>
      </c>
      <c r="P22" s="110">
        <f>LN('Lịch sử giá'!P23/'Lịch sử giá'!P22)</f>
        <v>0.10363488969035656</v>
      </c>
      <c r="Q22" s="110">
        <f>LN('Lịch sử giá'!Q23/'Lịch sử giá'!Q22)</f>
        <v>0.1012769541484521</v>
      </c>
      <c r="R22" s="110">
        <f>LN('Lịch sử giá'!R23/'Lịch sử giá'!R22)</f>
        <v>8.5897626933807876E-3</v>
      </c>
      <c r="S22" s="110">
        <f>LN('Lịch sử giá'!S23/'Lịch sử giá'!S22)</f>
        <v>1.1472447295416372E-2</v>
      </c>
      <c r="T22" s="110">
        <f>LN('Lịch sử giá'!T23/'Lịch sử giá'!T22)</f>
        <v>-2.7135255438564623E-2</v>
      </c>
      <c r="U22" s="110">
        <f>LN('Lịch sử giá'!U23/'Lịch sử giá'!U22)</f>
        <v>-3.7317763007195165E-2</v>
      </c>
      <c r="V22" s="111">
        <f>LN('Lịch sử giá'!V23/'Lịch sử giá'!V22)</f>
        <v>-4.5796749091361472E-3</v>
      </c>
    </row>
    <row r="23" spans="1:22" s="109" customFormat="1" ht="15.75">
      <c r="A23" s="102">
        <v>43343</v>
      </c>
      <c r="B23" s="110">
        <f>LN('Lịch sử giá'!B24/'Lịch sử giá'!B23)</f>
        <v>6.7295760633457338E-2</v>
      </c>
      <c r="C23" s="110">
        <f>LN('Lịch sử giá'!C24/'Lịch sử giá'!C23)</f>
        <v>-4.0821994520255166E-2</v>
      </c>
      <c r="D23" s="110">
        <f>LN('Lịch sử giá'!D24/'Lịch sử giá'!D23)</f>
        <v>-6.1728055331514854E-2</v>
      </c>
      <c r="E23" s="110">
        <f>LN('Lịch sử giá'!E24/'Lịch sử giá'!E23)</f>
        <v>1.2474174225175818E-2</v>
      </c>
      <c r="F23" s="110">
        <f>LN('Lịch sử giá'!F24/'Lịch sử giá'!F23)</f>
        <v>1.2987195526811112E-2</v>
      </c>
      <c r="G23" s="110">
        <f>LN('Lịch sử giá'!G24/'Lịch sử giá'!G23)</f>
        <v>8.8290863982680476E-2</v>
      </c>
      <c r="H23" s="110">
        <f>LN('Lịch sử giá'!H24/'Lịch sử giá'!H23)</f>
        <v>6.1209811835180913E-2</v>
      </c>
      <c r="I23" s="110">
        <f>LN('Lịch sử giá'!I24/'Lịch sử giá'!I23)</f>
        <v>5.6872191205895144E-3</v>
      </c>
      <c r="J23" s="110">
        <f>LN('Lịch sử giá'!J24/'Lịch sử giá'!J23)</f>
        <v>0.1290294313307058</v>
      </c>
      <c r="K23" s="110">
        <f>LN('Lịch sử giá'!K24/'Lịch sử giá'!K23)</f>
        <v>-1.9512814223581715E-2</v>
      </c>
      <c r="L23" s="110">
        <f>LN('Lịch sử giá'!L24/'Lịch sử giá'!L23)</f>
        <v>0.12068197035225978</v>
      </c>
      <c r="M23" s="110">
        <f>LN('Lịch sử giá'!M24/'Lịch sử giá'!M23)</f>
        <v>2.7028672387919419E-2</v>
      </c>
      <c r="N23" s="110">
        <f>LN('Lịch sử giá'!N24/'Lịch sử giá'!N23)</f>
        <v>3.2186686495901284E-2</v>
      </c>
      <c r="O23" s="110">
        <f>LN('Lịch sử giá'!O24/'Lịch sử giá'!O23)</f>
        <v>-7.0820598176872543E-2</v>
      </c>
      <c r="P23" s="110">
        <f>LN('Lịch sử giá'!P24/'Lịch sử giá'!P23)</f>
        <v>6.6156382677974065E-2</v>
      </c>
      <c r="Q23" s="110">
        <f>LN('Lịch sử giá'!Q24/'Lịch sử giá'!Q23)</f>
        <v>1.4064929467403457E-2</v>
      </c>
      <c r="R23" s="110">
        <f>LN('Lịch sử giá'!R24/'Lịch sử giá'!R23)</f>
        <v>6.6135473641972517E-2</v>
      </c>
      <c r="S23" s="110">
        <f>LN('Lịch sử giá'!S24/'Lịch sử giá'!S23)</f>
        <v>0.26848856663389115</v>
      </c>
      <c r="T23" s="110">
        <f>LN('Lịch sử giá'!T24/'Lịch sử giá'!T23)</f>
        <v>0.14013373786203306</v>
      </c>
      <c r="U23" s="110">
        <f>LN('Lịch sử giá'!U24/'Lịch sử giá'!U23)</f>
        <v>0.16118724471998086</v>
      </c>
      <c r="V23" s="111">
        <f>LN('Lịch sử giá'!V24/'Lịch sử giá'!V23)</f>
        <v>3.4074409029066242E-2</v>
      </c>
    </row>
    <row r="24" spans="1:22" s="109" customFormat="1" ht="15.75">
      <c r="A24" s="102">
        <v>43371</v>
      </c>
      <c r="B24" s="110">
        <f>LN('Lịch sử giá'!B25/'Lịch sử giá'!B24)</f>
        <v>5.7158413839948623E-2</v>
      </c>
      <c r="C24" s="110">
        <f>LN('Lịch sử giá'!C25/'Lịch sử giá'!C24)</f>
        <v>0.15811108104335522</v>
      </c>
      <c r="D24" s="110">
        <f>LN('Lịch sử giá'!D25/'Lịch sử giá'!D24)</f>
        <v>0.10985154687752542</v>
      </c>
      <c r="E24" s="110">
        <f>LN('Lịch sử giá'!E25/'Lịch sử giá'!E24)</f>
        <v>4.8396540861850239E-2</v>
      </c>
      <c r="F24" s="110">
        <f>LN('Lịch sử giá'!F25/'Lịch sử giá'!F24)</f>
        <v>5.032508388751563E-2</v>
      </c>
      <c r="G24" s="110">
        <f>LN('Lịch sử giá'!G25/'Lịch sử giá'!G24)</f>
        <v>5.8138199618091545E-2</v>
      </c>
      <c r="H24" s="110">
        <f>LN('Lịch sử giá'!H25/'Lịch sử giá'!H24)</f>
        <v>0.12329468981195092</v>
      </c>
      <c r="I24" s="110">
        <f>LN('Lịch sử giá'!I25/'Lịch sử giá'!I24)</f>
        <v>1.6870128303484975E-2</v>
      </c>
      <c r="J24" s="110">
        <f>LN('Lịch sử giá'!J25/'Lịch sử giá'!J24)</f>
        <v>0.10956157831307169</v>
      </c>
      <c r="K24" s="110">
        <f>LN('Lịch sử giá'!K25/'Lịch sử giá'!K24)</f>
        <v>8.0421567310574218E-2</v>
      </c>
      <c r="L24" s="110">
        <f>LN('Lịch sử giá'!L25/'Lịch sử giá'!L24)</f>
        <v>-2.3430251808385996E-2</v>
      </c>
      <c r="M24" s="110">
        <f>LN('Lịch sử giá'!M25/'Lịch sử giá'!M24)</f>
        <v>5.8268908123975824E-2</v>
      </c>
      <c r="N24" s="110">
        <f>LN('Lịch sử giá'!N25/'Lịch sử giá'!N24)</f>
        <v>4.6417172008535998E-2</v>
      </c>
      <c r="O24" s="110">
        <f>LN('Lịch sử giá'!O25/'Lịch sử giá'!O24)</f>
        <v>-0.13216483658804978</v>
      </c>
      <c r="P24" s="110">
        <f>LN('Lịch sử giá'!P25/'Lịch sử giá'!P24)</f>
        <v>2.3011561893206935E-2</v>
      </c>
      <c r="Q24" s="110">
        <f>LN('Lịch sử giá'!Q25/'Lịch sử giá'!Q24)</f>
        <v>3.026365763982693E-2</v>
      </c>
      <c r="R24" s="110">
        <f>LN('Lịch sử giá'!R25/'Lịch sử giá'!R24)</f>
        <v>7.9737453004890355E-3</v>
      </c>
      <c r="S24" s="110">
        <f>LN('Lịch sử giá'!S25/'Lịch sử giá'!S24)</f>
        <v>2.2989587696678668E-2</v>
      </c>
      <c r="T24" s="110">
        <f>LN('Lịch sử giá'!T25/'Lịch sử giá'!T24)</f>
        <v>1.4612335356760719E-2</v>
      </c>
      <c r="U24" s="110">
        <f>LN('Lịch sử giá'!U25/'Lịch sử giá'!U24)</f>
        <v>0.29252469692756899</v>
      </c>
      <c r="V24" s="111">
        <f>LN('Lịch sử giá'!V25/'Lịch sử giá'!V24)</f>
        <v>2.7500026139008382E-2</v>
      </c>
    </row>
    <row r="25" spans="1:22" s="109" customFormat="1" ht="15.75">
      <c r="A25" s="102">
        <v>43404</v>
      </c>
      <c r="B25" s="110">
        <f>LN('Lịch sử giá'!B26/'Lịch sử giá'!B25)</f>
        <v>-4.9677082187659927E-2</v>
      </c>
      <c r="C25" s="110">
        <f>LN('Lịch sử giá'!C26/'Lịch sử giá'!C25)</f>
        <v>-0.31519816665876843</v>
      </c>
      <c r="D25" s="110">
        <f>LN('Lịch sử giá'!D26/'Lịch sử giá'!D25)</f>
        <v>-0.40278469131250494</v>
      </c>
      <c r="E25" s="110">
        <f>LN('Lịch sử giá'!E26/'Lịch sử giá'!E25)</f>
        <v>-4.8396540861850211E-2</v>
      </c>
      <c r="F25" s="110">
        <f>LN('Lịch sử giá'!F26/'Lịch sử giá'!F25)</f>
        <v>-0.1239369012307617</v>
      </c>
      <c r="G25" s="110">
        <f>LN('Lịch sử giá'!G26/'Lịch sử giá'!G25)</f>
        <v>-0.21404580180446911</v>
      </c>
      <c r="H25" s="110">
        <f>LN('Lịch sử giá'!H26/'Lịch sử giá'!H25)</f>
        <v>-5.4391548685326876E-2</v>
      </c>
      <c r="I25" s="110">
        <f>LN('Lịch sử giá'!I26/'Lịch sử giá'!I25)</f>
        <v>2.0239881347746118E-2</v>
      </c>
      <c r="J25" s="110">
        <f>LN('Lịch sử giá'!J26/'Lịch sử giá'!J25)</f>
        <v>-2.3867351193934044E-2</v>
      </c>
      <c r="K25" s="110">
        <f>LN('Lịch sử giá'!K26/'Lịch sử giá'!K25)</f>
        <v>-0.11551288712184435</v>
      </c>
      <c r="L25" s="110">
        <f>LN('Lịch sử giá'!L26/'Lịch sử giá'!L25)</f>
        <v>-0.11160603199555701</v>
      </c>
      <c r="M25" s="110">
        <f>LN('Lịch sử giá'!M26/'Lịch sử giá'!M25)</f>
        <v>-0.12014431184206321</v>
      </c>
      <c r="N25" s="110">
        <f>LN('Lịch sử giá'!N26/'Lịch sử giá'!N25)</f>
        <v>-9.8663528178973267E-2</v>
      </c>
      <c r="O25" s="110">
        <f>LN('Lịch sử giá'!O26/'Lịch sử giá'!O25)</f>
        <v>-0.16771642407007958</v>
      </c>
      <c r="P25" s="110">
        <f>LN('Lịch sử giá'!P26/'Lịch sử giá'!P25)</f>
        <v>-8.3999974412738418E-2</v>
      </c>
      <c r="Q25" s="110">
        <f>LN('Lịch sử giá'!Q26/'Lịch sử giá'!Q25)</f>
        <v>-0.15822400521489416</v>
      </c>
      <c r="R25" s="110">
        <f>LN('Lịch sử giá'!R26/'Lịch sử giá'!R25)</f>
        <v>-0.11217856166343665</v>
      </c>
      <c r="S25" s="110">
        <f>LN('Lịch sử giá'!S26/'Lịch sử giá'!S25)</f>
        <v>-0.17665639646460293</v>
      </c>
      <c r="T25" s="110">
        <f>LN('Lịch sử giá'!T26/'Lịch sử giá'!T25)</f>
        <v>-0.16329239595500172</v>
      </c>
      <c r="U25" s="110">
        <f>LN('Lịch sử giá'!U26/'Lịch sử giá'!U25)</f>
        <v>-0.21772348384487053</v>
      </c>
      <c r="V25" s="111">
        <f>LN('Lịch sử giá'!V26/'Lịch sử giá'!V25)</f>
        <v>-0.10607847903319602</v>
      </c>
    </row>
    <row r="26" spans="1:22" s="109" customFormat="1" ht="15.75">
      <c r="A26" s="102">
        <v>43434</v>
      </c>
      <c r="B26" s="110">
        <f>LN('Lịch sử giá'!B27/'Lịch sử giá'!B26)</f>
        <v>-0.19256012794212954</v>
      </c>
      <c r="C26" s="110">
        <f>LN('Lịch sử giá'!C27/'Lịch sử giá'!C26)</f>
        <v>-0.33236367856584392</v>
      </c>
      <c r="D26" s="110">
        <f>LN('Lịch sử giá'!D27/'Lịch sử giá'!D26)</f>
        <v>-0.27043232848194249</v>
      </c>
      <c r="E26" s="110">
        <f>LN('Lịch sử giá'!E27/'Lịch sử giá'!E26)</f>
        <v>4.8396540861850239E-2</v>
      </c>
      <c r="F26" s="110">
        <f>LN('Lịch sử giá'!F27/'Lịch sử giá'!F26)</f>
        <v>-1.0471299867295366E-2</v>
      </c>
      <c r="G26" s="110">
        <f>LN('Lịch sử giá'!G27/'Lịch sử giá'!G26)</f>
        <v>-2.060688589233012E-3</v>
      </c>
      <c r="H26" s="110">
        <f>LN('Lịch sử giá'!H27/'Lịch sử giá'!H26)</f>
        <v>-6.9104811237217623E-2</v>
      </c>
      <c r="I26" s="110">
        <f>LN('Lịch sử giá'!I27/'Lịch sử giá'!I26)</f>
        <v>9.0662452377532603E-3</v>
      </c>
      <c r="J26" s="110">
        <f>LN('Lịch sử giá'!J27/'Lịch sử giá'!J26)</f>
        <v>1.9139235546833843E-2</v>
      </c>
      <c r="K26" s="110">
        <f>LN('Lịch sử giá'!K27/'Lịch sử giá'!K26)</f>
        <v>5.9423420470800806E-2</v>
      </c>
      <c r="L26" s="110">
        <f>LN('Lịch sử giá'!L27/'Lịch sử giá'!L26)</f>
        <v>-3.6813973122716316E-2</v>
      </c>
      <c r="M26" s="110">
        <f>LN('Lịch sử giá'!M27/'Lịch sử giá'!M26)</f>
        <v>-0.28886480470083037</v>
      </c>
      <c r="N26" s="110">
        <f>LN('Lịch sử giá'!N27/'Lịch sử giá'!N26)</f>
        <v>2.2393393020756196E-2</v>
      </c>
      <c r="O26" s="110">
        <f>LN('Lịch sử giá'!O27/'Lịch sử giá'!O26)</f>
        <v>9.7578375215771423E-2</v>
      </c>
      <c r="P26" s="110">
        <f>LN('Lịch sử giá'!P27/'Lịch sử giá'!P26)</f>
        <v>-5.1836035242121707E-2</v>
      </c>
      <c r="Q26" s="110">
        <f>LN('Lịch sử giá'!Q27/'Lịch sử giá'!Q26)</f>
        <v>9.4787439545437387E-3</v>
      </c>
      <c r="R26" s="110">
        <f>LN('Lịch sử giá'!R27/'Lịch sử giá'!R26)</f>
        <v>-3.5966687879309903E-3</v>
      </c>
      <c r="S26" s="110">
        <f>LN('Lịch sử giá'!S27/'Lịch sử giá'!S26)</f>
        <v>6.2417845254912702E-2</v>
      </c>
      <c r="T26" s="110">
        <f>LN('Lịch sử giá'!T27/'Lịch sử giá'!T26)</f>
        <v>-1.7226728907747846E-2</v>
      </c>
      <c r="U26" s="110">
        <f>LN('Lịch sử giá'!U27/'Lịch sử giá'!U26)</f>
        <v>-4.9240716103163239E-2</v>
      </c>
      <c r="V26" s="111">
        <f>LN('Lịch sử giá'!V27/'Lịch sử giá'!V26)</f>
        <v>1.2795482237890255E-2</v>
      </c>
    </row>
    <row r="27" spans="1:22" s="109" customFormat="1" ht="15.75">
      <c r="A27" s="102">
        <v>43462</v>
      </c>
      <c r="B27" s="110">
        <f>LN('Lịch sử giá'!B28/'Lịch sử giá'!B27)</f>
        <v>-7.0176876791837706E-2</v>
      </c>
      <c r="C27" s="110">
        <f>LN('Lịch sử giá'!C28/'Lịch sử giá'!C27)</f>
        <v>-1.6755913728438997E-2</v>
      </c>
      <c r="D27" s="110">
        <f>LN('Lịch sử giá'!D28/'Lịch sử giá'!D27)</f>
        <v>3.9984540792463913E-2</v>
      </c>
      <c r="E27" s="110">
        <f>LN('Lịch sử giá'!E28/'Lịch sử giá'!E27)</f>
        <v>3.4819765159227911E-2</v>
      </c>
      <c r="F27" s="110">
        <f>LN('Lịch sử giá'!F28/'Lịch sử giá'!F27)</f>
        <v>-9.9529595347033054E-2</v>
      </c>
      <c r="G27" s="110">
        <f>LN('Lịch sử giá'!G28/'Lịch sử giá'!G27)</f>
        <v>-1.8733672374431427E-2</v>
      </c>
      <c r="H27" s="110">
        <f>LN('Lịch sử giá'!H28/'Lịch sử giá'!H27)</f>
        <v>9.3642391788391677E-2</v>
      </c>
      <c r="I27" s="110">
        <f>LN('Lịch sử giá'!I28/'Lịch sử giá'!I27)</f>
        <v>-5.7583222682360928E-2</v>
      </c>
      <c r="J27" s="110">
        <f>LN('Lịch sử giá'!J28/'Lịch sử giá'!J27)</f>
        <v>5.3855778667066326E-3</v>
      </c>
      <c r="K27" s="110">
        <f>LN('Lịch sử giá'!K28/'Lịch sử giá'!K27)</f>
        <v>-9.6619109117368589E-3</v>
      </c>
      <c r="L27" s="110">
        <f>LN('Lịch sử giá'!L28/'Lịch sử giá'!L27)</f>
        <v>-3.1748698314580298E-2</v>
      </c>
      <c r="M27" s="110">
        <f>LN('Lịch sử giá'!M28/'Lịch sử giá'!M27)</f>
        <v>2.9156584291455487E-2</v>
      </c>
      <c r="N27" s="110">
        <f>LN('Lịch sử giá'!N28/'Lịch sử giá'!N27)</f>
        <v>-1.6451604892005169E-2</v>
      </c>
      <c r="O27" s="110">
        <f>LN('Lịch sử giá'!O28/'Lịch sử giá'!O27)</f>
        <v>-6.4538521137571178E-2</v>
      </c>
      <c r="P27" s="110">
        <f>LN('Lịch sử giá'!P28/'Lịch sử giá'!P27)</f>
        <v>1.1872778430284345E-2</v>
      </c>
      <c r="Q27" s="110">
        <f>LN('Lịch sử giá'!Q28/'Lịch sử giá'!Q27)</f>
        <v>-3.1951599806602358E-2</v>
      </c>
      <c r="R27" s="110">
        <f>LN('Lịch sử giá'!R28/'Lịch sử giá'!R27)</f>
        <v>-3.4904810782100358E-2</v>
      </c>
      <c r="S27" s="110">
        <f>LN('Lịch sử giá'!S28/'Lịch sử giá'!S27)</f>
        <v>9.1248963513011636E-2</v>
      </c>
      <c r="T27" s="110">
        <f>LN('Lịch sử giá'!T28/'Lịch sử giá'!T27)</f>
        <v>-0.17540397294293658</v>
      </c>
      <c r="U27" s="110">
        <f>LN('Lịch sử giá'!U28/'Lịch sử giá'!U27)</f>
        <v>-8.214797160899881E-2</v>
      </c>
      <c r="V27" s="111">
        <f>LN('Lịch sử giá'!V28/'Lịch sử giá'!V27)</f>
        <v>-3.7385887449401398E-2</v>
      </c>
    </row>
    <row r="28" spans="1:22" s="109" customFormat="1" ht="15.75">
      <c r="A28" s="102">
        <v>43496</v>
      </c>
      <c r="B28" s="110">
        <f>LN('Lịch sử giá'!B29/'Lịch sử giá'!B28)</f>
        <v>-0.11094058593731235</v>
      </c>
      <c r="C28" s="110">
        <f>LN('Lịch sử giá'!C29/'Lịch sử giá'!C28)</f>
        <v>1.3730192811902037E-2</v>
      </c>
      <c r="D28" s="110">
        <f>LN('Lịch sử giá'!D29/'Lịch sử giá'!D28)</f>
        <v>-0.25820700355539544</v>
      </c>
      <c r="E28" s="110">
        <f>LN('Lịch sử giá'!E29/'Lịch sử giá'!E28)</f>
        <v>6.9753038760349093E-2</v>
      </c>
      <c r="F28" s="110">
        <f>LN('Lịch sử giá'!F29/'Lịch sử giá'!F28)</f>
        <v>1.347469858336019E-2</v>
      </c>
      <c r="G28" s="110">
        <f>LN('Lịch sử giá'!G29/'Lịch sử giá'!G28)</f>
        <v>-2.7691277994925746E-2</v>
      </c>
      <c r="H28" s="110">
        <f>LN('Lịch sử giá'!H29/'Lịch sử giá'!H28)</f>
        <v>-9.1978657751977055E-2</v>
      </c>
      <c r="I28" s="110">
        <f>LN('Lịch sử giá'!I29/'Lịch sử giá'!I28)</f>
        <v>-1.3474698583360159E-2</v>
      </c>
      <c r="J28" s="110">
        <f>LN('Lịch sử giá'!J29/'Lịch sử giá'!J28)</f>
        <v>1.403719520989421E-2</v>
      </c>
      <c r="K28" s="110">
        <f>LN('Lịch sử giá'!K29/'Lịch sử giá'!K28)</f>
        <v>-0.146092618497496</v>
      </c>
      <c r="L28" s="110">
        <f>LN('Lịch sử giá'!L29/'Lịch sử giá'!L28)</f>
        <v>2.5773210143005408E-3</v>
      </c>
      <c r="M28" s="110">
        <f>LN('Lịch sử giá'!M29/'Lịch sử giá'!M28)</f>
        <v>-4.7067510857985856E-2</v>
      </c>
      <c r="N28" s="110">
        <f>LN('Lịch sử giá'!N29/'Lịch sử giá'!N28)</f>
        <v>2.3420274208098422E-2</v>
      </c>
      <c r="O28" s="110">
        <f>LN('Lịch sử giá'!O29/'Lịch sử giá'!O28)</f>
        <v>0.11778303565638346</v>
      </c>
      <c r="P28" s="110">
        <f>LN('Lịch sử giá'!P29/'Lịch sử giá'!P28)</f>
        <v>1.9129169908995391E-2</v>
      </c>
      <c r="Q28" s="110">
        <f>LN('Lịch sử giá'!Q29/'Lịch sử giá'!Q28)</f>
        <v>8.9983147378787209E-2</v>
      </c>
      <c r="R28" s="110">
        <f>LN('Lịch sử giá'!R29/'Lịch sử giá'!R28)</f>
        <v>5.9867245539999794E-2</v>
      </c>
      <c r="S28" s="110">
        <f>LN('Lịch sử giá'!S29/'Lịch sử giá'!S28)</f>
        <v>-8.8069299964469841E-2</v>
      </c>
      <c r="T28" s="110">
        <f>LN('Lịch sử giá'!T29/'Lịch sử giá'!T28)</f>
        <v>2.0547421113898658E-2</v>
      </c>
      <c r="U28" s="110">
        <f>LN('Lịch sử giá'!U29/'Lịch sử giá'!U28)</f>
        <v>0.11014357909842591</v>
      </c>
      <c r="V28" s="111">
        <f>LN('Lịch sử giá'!V29/'Lịch sử giá'!V28)</f>
        <v>2.0087299667881062E-2</v>
      </c>
    </row>
    <row r="29" spans="1:22" s="109" customFormat="1" ht="15.75">
      <c r="A29" s="102">
        <v>43524</v>
      </c>
      <c r="B29" s="110">
        <f>LN('Lịch sử giá'!B30/'Lịch sử giá'!B29)</f>
        <v>0.19309365377586565</v>
      </c>
      <c r="C29" s="110">
        <f>LN('Lịch sử giá'!C30/'Lịch sử giá'!C29)</f>
        <v>0.27740214183203149</v>
      </c>
      <c r="D29" s="110">
        <f>LN('Lịch sử giá'!D30/'Lịch sử giá'!D29)</f>
        <v>0.23129192931653147</v>
      </c>
      <c r="E29" s="110">
        <f>LN('Lịch sử giá'!E30/'Lịch sử giá'!E29)</f>
        <v>3.1416196233378914E-2</v>
      </c>
      <c r="F29" s="110">
        <f>LN('Lịch sử giá'!F30/'Lịch sử giá'!F29)</f>
        <v>9.5148196413384883E-3</v>
      </c>
      <c r="G29" s="110">
        <f>LN('Lịch sử giá'!G30/'Lịch sử giá'!G29)</f>
        <v>5.6680219593392818E-2</v>
      </c>
      <c r="H29" s="110">
        <f>LN('Lịch sử giá'!H30/'Lịch sử giá'!H29)</f>
        <v>2.2987921855820815E-2</v>
      </c>
      <c r="I29" s="110">
        <f>LN('Lịch sử giá'!I30/'Lịch sử giá'!I29)</f>
        <v>6.3811512744953766E-2</v>
      </c>
      <c r="J29" s="110">
        <f>LN('Lịch sử giá'!J30/'Lịch sử giá'!J29)</f>
        <v>-7.5665228025017049E-3</v>
      </c>
      <c r="K29" s="110">
        <f>LN('Lịch sử giá'!K30/'Lịch sử giá'!K29)</f>
        <v>5.6022555486697516E-3</v>
      </c>
      <c r="L29" s="110">
        <f>LN('Lịch sử giá'!L30/'Lịch sử giá'!L29)</f>
        <v>0.1346568851462572</v>
      </c>
      <c r="M29" s="110">
        <f>LN('Lịch sử giá'!M30/'Lịch sử giá'!M29)</f>
        <v>4.476601386970664E-2</v>
      </c>
      <c r="N29" s="110">
        <f>LN('Lịch sử giá'!N30/'Lịch sử giá'!N29)</f>
        <v>2.2884293833587806E-2</v>
      </c>
      <c r="O29" s="110">
        <f>LN('Lịch sử giá'!O30/'Lịch sử giá'!O29)</f>
        <v>4.4194080420338899E-2</v>
      </c>
      <c r="P29" s="110">
        <f>LN('Lịch sử giá'!P30/'Lịch sử giá'!P29)</f>
        <v>1.4629310015959096E-2</v>
      </c>
      <c r="Q29" s="110">
        <f>LN('Lịch sử giá'!Q30/'Lịch sử giá'!Q29)</f>
        <v>-1.9476271060620803E-2</v>
      </c>
      <c r="R29" s="110">
        <f>LN('Lịch sử giá'!R30/'Lịch sử giá'!R29)</f>
        <v>6.3105367082452263E-2</v>
      </c>
      <c r="S29" s="110">
        <f>LN('Lịch sử giá'!S30/'Lịch sử giá'!S29)</f>
        <v>3.125264621747853E-2</v>
      </c>
      <c r="T29" s="110">
        <f>LN('Lịch sử giá'!T30/'Lịch sử giá'!T29)</f>
        <v>5.4311082075737156E-2</v>
      </c>
      <c r="U29" s="110">
        <f>LN('Lịch sử giá'!U30/'Lịch sử giá'!U29)</f>
        <v>4.2048236243499404E-2</v>
      </c>
      <c r="V29" s="111">
        <f>LN('Lịch sử giá'!V30/'Lịch sử giá'!V29)</f>
        <v>5.8456399157844181E-2</v>
      </c>
    </row>
    <row r="30" spans="1:22" s="109" customFormat="1" ht="15.75">
      <c r="A30" s="102">
        <v>43553</v>
      </c>
      <c r="B30" s="110">
        <f>LN('Lịch sử giá'!B31/'Lịch sử giá'!B30)</f>
        <v>-4.2559614418795889E-2</v>
      </c>
      <c r="C30" s="110">
        <f>LN('Lịch sử giá'!C31/'Lịch sử giá'!C30)</f>
        <v>7.6237898411546698E-2</v>
      </c>
      <c r="D30" s="110">
        <f>LN('Lịch sử giá'!D31/'Lịch sử giá'!D30)</f>
        <v>-5.3349066191501399E-2</v>
      </c>
      <c r="E30" s="110">
        <f>LN('Lịch sử giá'!E31/'Lịch sử giá'!E30)</f>
        <v>1.0256500167189061E-2</v>
      </c>
      <c r="F30" s="110">
        <f>LN('Lịch sử giá'!F31/'Lịch sử giá'!F30)</f>
        <v>4.08219945202552E-2</v>
      </c>
      <c r="G30" s="110">
        <f>LN('Lịch sử giá'!G31/'Lịch sử giá'!G30)</f>
        <v>-9.4086465856258683E-2</v>
      </c>
      <c r="H30" s="110">
        <f>LN('Lịch sử giá'!H31/'Lịch sử giá'!H30)</f>
        <v>2.8800677212747306E-2</v>
      </c>
      <c r="I30" s="110">
        <f>LN('Lịch sử giá'!I31/'Lịch sử giá'!I30)</f>
        <v>-3.7041271680349097E-2</v>
      </c>
      <c r="J30" s="110">
        <f>LN('Lịch sử giá'!J31/'Lịch sử giá'!J30)</f>
        <v>-7.3526775415442849E-2</v>
      </c>
      <c r="K30" s="110">
        <f>LN('Lịch sử giá'!K31/'Lịch sử giá'!K30)</f>
        <v>5.5710450494554295E-3</v>
      </c>
      <c r="L30" s="110">
        <f>LN('Lịch sử giá'!L31/'Lịch sử giá'!L30)</f>
        <v>-5.3130277512049122E-2</v>
      </c>
      <c r="M30" s="110">
        <f>LN('Lịch sử giá'!M31/'Lịch sử giá'!M30)</f>
        <v>-2.3311078868447108E-2</v>
      </c>
      <c r="N30" s="110">
        <f>LN('Lịch sử giá'!N31/'Lịch sử giá'!N30)</f>
        <v>2.8987536873252187E-2</v>
      </c>
      <c r="O30" s="110">
        <f>LN('Lịch sử giá'!O31/'Lịch sử giá'!O30)</f>
        <v>-4.5676660380561639E-2</v>
      </c>
      <c r="P30" s="110">
        <f>LN('Lịch sử giá'!P31/'Lịch sử giá'!P30)</f>
        <v>3.1651442548047262E-2</v>
      </c>
      <c r="Q30" s="110">
        <f>LN('Lịch sử giá'!Q31/'Lịch sử giá'!Q30)</f>
        <v>-3.6984184279522964E-2</v>
      </c>
      <c r="R30" s="110">
        <f>LN('Lịch sử giá'!R31/'Lịch sử giá'!R30)</f>
        <v>0.10651630212922433</v>
      </c>
      <c r="S30" s="110">
        <f>LN('Lịch sử giá'!S31/'Lịch sử giá'!S30)</f>
        <v>9.6708102312669228E-2</v>
      </c>
      <c r="T30" s="110">
        <f>LN('Lịch sử giá'!T31/'Lịch sử giá'!T30)</f>
        <v>7.6352181212008555E-2</v>
      </c>
      <c r="U30" s="110">
        <f>LN('Lịch sử giá'!U31/'Lịch sử giá'!U30)</f>
        <v>5.1587368790493263E-2</v>
      </c>
      <c r="V30" s="111">
        <f>LN('Lịch sử giá'!V31/'Lịch sử giá'!V30)</f>
        <v>1.5712751913641795E-2</v>
      </c>
    </row>
    <row r="31" spans="1:22" s="109" customFormat="1" ht="15.75">
      <c r="A31" s="102">
        <v>43581</v>
      </c>
      <c r="B31" s="110">
        <f>LN('Lịch sử giá'!B32/'Lịch sử giá'!B31)</f>
        <v>4.2559614418795903E-2</v>
      </c>
      <c r="C31" s="110">
        <f>LN('Lịch sử giá'!C32/'Lịch sử giá'!C31)</f>
        <v>-0.16126814759612226</v>
      </c>
      <c r="D31" s="110">
        <f>LN('Lịch sử giá'!D32/'Lịch sử giá'!D31)</f>
        <v>-7.6850920581959595E-2</v>
      </c>
      <c r="E31" s="110">
        <f>LN('Lịch sử giá'!E32/'Lịch sử giá'!E31)</f>
        <v>-1.7153079226249469E-2</v>
      </c>
      <c r="F31" s="110">
        <f>LN('Lịch sử giá'!F32/'Lịch sử giá'!F31)</f>
        <v>7.1897739179581532E-2</v>
      </c>
      <c r="G31" s="110">
        <f>LN('Lịch sử giá'!G32/'Lịch sử giá'!G31)</f>
        <v>-4.5880868292487435E-2</v>
      </c>
      <c r="H31" s="110">
        <f>LN('Lịch sử giá'!H32/'Lịch sử giá'!H31)</f>
        <v>-2.232795603729516E-2</v>
      </c>
      <c r="I31" s="110">
        <f>LN('Lịch sử giá'!I32/'Lịch sử giá'!I31)</f>
        <v>-2.2901764286684455E-2</v>
      </c>
      <c r="J31" s="110">
        <f>LN('Lịch sử giá'!J32/'Lịch sử giá'!J31)</f>
        <v>-8.2083127774785249E-3</v>
      </c>
      <c r="K31" s="110">
        <f>LN('Lịch sử giá'!K32/'Lịch sử giá'!K31)</f>
        <v>-2.8170876966696335E-2</v>
      </c>
      <c r="L31" s="110">
        <f>LN('Lịch sử giá'!L32/'Lịch sử giá'!L31)</f>
        <v>3.0376167263536487E-2</v>
      </c>
      <c r="M31" s="110">
        <f>LN('Lịch sử giá'!M32/'Lịch sử giá'!M31)</f>
        <v>1.1785505194442023E-3</v>
      </c>
      <c r="N31" s="110">
        <f>LN('Lịch sử giá'!N32/'Lịch sử giá'!N31)</f>
        <v>8.5269934819092175E-2</v>
      </c>
      <c r="O31" s="110">
        <f>LN('Lịch sử giá'!O32/'Lịch sử giá'!O31)</f>
        <v>-3.7797394208217046E-2</v>
      </c>
      <c r="P31" s="110">
        <f>LN('Lịch sử giá'!P32/'Lịch sử giá'!P31)</f>
        <v>6.0120421566277529E-3</v>
      </c>
      <c r="Q31" s="110">
        <f>LN('Lịch sử giá'!Q32/'Lịch sử giá'!Q31)</f>
        <v>-1.5710922320412123E-3</v>
      </c>
      <c r="R31" s="110">
        <f>LN('Lịch sử giá'!R32/'Lịch sử giá'!R31)</f>
        <v>8.8735696749369652E-3</v>
      </c>
      <c r="S31" s="110">
        <f>LN('Lịch sử giá'!S32/'Lịch sử giá'!S31)</f>
        <v>-2.8330591029347051E-2</v>
      </c>
      <c r="T31" s="110">
        <f>LN('Lịch sử giá'!T32/'Lịch sử giá'!T31)</f>
        <v>-5.4931061091761269E-2</v>
      </c>
      <c r="U31" s="110">
        <f>LN('Lịch sử giá'!U32/'Lịch sử giá'!U31)</f>
        <v>5.7003218681726114E-2</v>
      </c>
      <c r="V31" s="111">
        <f>LN('Lịch sử giá'!V32/'Lịch sử giá'!V31)</f>
        <v>-1.1426240786115921E-3</v>
      </c>
    </row>
    <row r="32" spans="1:22" s="109" customFormat="1" ht="15.75">
      <c r="A32" s="102">
        <v>43616</v>
      </c>
      <c r="B32" s="110">
        <f>LN('Lịch sử giá'!B33/'Lịch sử giá'!B32)</f>
        <v>-4.5670036833188321E-2</v>
      </c>
      <c r="C32" s="110">
        <f>LN('Lịch sử giá'!C33/'Lịch sử giá'!C32)</f>
        <v>1.611938187988339E-2</v>
      </c>
      <c r="D32" s="110">
        <f>LN('Lịch sử giá'!D33/'Lịch sử giá'!D32)</f>
        <v>-8.8086218595168922E-2</v>
      </c>
      <c r="E32" s="110">
        <f>LN('Lịch sử giá'!E33/'Lịch sử giá'!E32)</f>
        <v>-3.466207976486284E-3</v>
      </c>
      <c r="F32" s="110">
        <f>LN('Lịch sử giá'!F33/'Lịch sử giá'!F32)</f>
        <v>0</v>
      </c>
      <c r="G32" s="110">
        <f>LN('Lịch sử giá'!G33/'Lịch sử giá'!G32)</f>
        <v>-0.15180263566061916</v>
      </c>
      <c r="H32" s="110">
        <f>LN('Lịch sử giá'!H33/'Lịch sử giá'!H32)</f>
        <v>0</v>
      </c>
      <c r="I32" s="110">
        <f>LN('Lịch sử giá'!I33/'Lịch sử giá'!I32)</f>
        <v>7.6923456231556449E-3</v>
      </c>
      <c r="J32" s="110">
        <f>LN('Lịch sử giá'!J33/'Lịch sử giá'!J32)</f>
        <v>-8.2762471876049563E-3</v>
      </c>
      <c r="K32" s="110">
        <f>LN('Lịch sử giá'!K33/'Lịch sử giá'!K32)</f>
        <v>-2.8987536873252298E-2</v>
      </c>
      <c r="L32" s="110">
        <f>LN('Lịch sử giá'!L33/'Lịch sử giá'!L32)</f>
        <v>-1.2739025777429714E-2</v>
      </c>
      <c r="M32" s="110">
        <f>LN('Lịch sử giá'!M33/'Lịch sử giá'!M32)</f>
        <v>1.4035318116383583E-2</v>
      </c>
      <c r="N32" s="110">
        <f>LN('Lịch sử giá'!N33/'Lịch sử giá'!N32)</f>
        <v>-0.11652247832319675</v>
      </c>
      <c r="O32" s="110">
        <f>LN('Lịch sử giá'!O33/'Lịch sử giá'!O32)</f>
        <v>-2.3139231303972345E-3</v>
      </c>
      <c r="P32" s="110">
        <f>LN('Lịch sử giá'!P33/'Lịch sử giá'!P32)</f>
        <v>2.9529704701739434E-2</v>
      </c>
      <c r="Q32" s="110">
        <f>LN('Lịch sử giá'!Q33/'Lịch sử giá'!Q32)</f>
        <v>2.1773799549560754E-2</v>
      </c>
      <c r="R32" s="110">
        <f>LN('Lịch sử giá'!R33/'Lịch sử giá'!R32)</f>
        <v>-1.0372685477531949E-2</v>
      </c>
      <c r="S32" s="110">
        <f>LN('Lịch sử giá'!S33/'Lịch sử giá'!S32)</f>
        <v>-9.963015750080069E-2</v>
      </c>
      <c r="T32" s="110">
        <f>LN('Lịch sử giá'!T33/'Lịch sử giá'!T32)</f>
        <v>-4.5756583972658686E-2</v>
      </c>
      <c r="U32" s="110">
        <f>LN('Lịch sử giá'!U33/'Lịch sử giá'!U32)</f>
        <v>-1.3280407667894378E-2</v>
      </c>
      <c r="V32" s="111">
        <f>LN('Lịch sử giá'!V33/'Lịch sử giá'!V32)</f>
        <v>-2.0376880588696265E-2</v>
      </c>
    </row>
    <row r="33" spans="1:22" s="109" customFormat="1" ht="15.75">
      <c r="A33" s="102">
        <v>43644</v>
      </c>
      <c r="B33" s="110">
        <f>LN('Lịch sử giá'!B34/'Lịch sử giá'!B33)</f>
        <v>-0.31185560898585696</v>
      </c>
      <c r="C33" s="110">
        <f>LN('Lịch sử giá'!C34/'Lịch sử giá'!C33)</f>
        <v>-9.138186638043018E-2</v>
      </c>
      <c r="D33" s="110">
        <f>LN('Lịch sử giá'!D34/'Lịch sử giá'!D33)</f>
        <v>2.710404505138889E-2</v>
      </c>
      <c r="E33" s="110">
        <f>LN('Lịch sử giá'!E34/'Lịch sử giá'!E33)</f>
        <v>-1.3986241974739839E-2</v>
      </c>
      <c r="F33" s="110">
        <f>LN('Lịch sử giá'!F34/'Lịch sử giá'!F33)</f>
        <v>-1.5345569674660421E-2</v>
      </c>
      <c r="G33" s="110">
        <f>LN('Lịch sử giá'!G34/'Lịch sử giá'!G33)</f>
        <v>1.8945943369229362E-2</v>
      </c>
      <c r="H33" s="110">
        <f>LN('Lịch sử giá'!H34/'Lịch sử giá'!H33)</f>
        <v>3.5442767766339443E-2</v>
      </c>
      <c r="I33" s="110">
        <f>LN('Lịch sử giá'!I34/'Lịch sử giá'!I33)</f>
        <v>-3.8387763071657129E-3</v>
      </c>
      <c r="J33" s="110">
        <f>LN('Lịch sử giá'!J34/'Lịch sử giá'!J33)</f>
        <v>-4.8232180880986436E-2</v>
      </c>
      <c r="K33" s="110">
        <f>LN('Lịch sử giá'!K34/'Lịch sử giá'!K33)</f>
        <v>0</v>
      </c>
      <c r="L33" s="110">
        <f>LN('Lịch sử giá'!L34/'Lịch sử giá'!L33)</f>
        <v>-3.317839869731868E-2</v>
      </c>
      <c r="M33" s="110">
        <f>LN('Lịch sử giá'!M34/'Lịch sử giá'!M33)</f>
        <v>7.4937228358469804E-2</v>
      </c>
      <c r="N33" s="110">
        <f>LN('Lịch sử giá'!N34/'Lịch sử giá'!N33)</f>
        <v>3.125254350410453E-2</v>
      </c>
      <c r="O33" s="110">
        <f>LN('Lịch sử giá'!O34/'Lịch sử giá'!O33)</f>
        <v>-5.1496525767174957E-2</v>
      </c>
      <c r="P33" s="110">
        <f>LN('Lịch sử giá'!P34/'Lịch sử giá'!P33)</f>
        <v>-0.34523994987452317</v>
      </c>
      <c r="Q33" s="110">
        <f>LN('Lịch sử giá'!Q34/'Lịch sử giá'!Q33)</f>
        <v>-2.3347363996991177E-2</v>
      </c>
      <c r="R33" s="110">
        <f>LN('Lịch sử giá'!R34/'Lịch sử giá'!R33)</f>
        <v>4.7949676637214042E-2</v>
      </c>
      <c r="S33" s="110">
        <f>LN('Lịch sử giá'!S34/'Lịch sử giá'!S33)</f>
        <v>6.3291561127503584E-3</v>
      </c>
      <c r="T33" s="110">
        <f>LN('Lịch sử giá'!T34/'Lịch sử giá'!T33)</f>
        <v>-4.0170547003780394E-2</v>
      </c>
      <c r="U33" s="110">
        <f>LN('Lịch sử giá'!U34/'Lịch sử giá'!U33)</f>
        <v>-2.6773777707164029E-3</v>
      </c>
      <c r="V33" s="111">
        <f>LN('Lịch sử giá'!V34/'Lịch sử giá'!V33)</f>
        <v>-1.0409451943424842E-2</v>
      </c>
    </row>
    <row r="34" spans="1:22" s="109" customFormat="1" ht="15.75">
      <c r="A34" s="102">
        <v>43677</v>
      </c>
      <c r="B34" s="110">
        <f>LN('Lịch sử giá'!B35/'Lịch sử giá'!B34)</f>
        <v>-4.1265355201425928E-2</v>
      </c>
      <c r="C34" s="110">
        <f>LN('Lịch sử giá'!C35/'Lịch sử giá'!C34)</f>
        <v>-1.0840214552864833E-2</v>
      </c>
      <c r="D34" s="110">
        <f>LN('Lịch sử giá'!D35/'Lịch sử giá'!D34)</f>
        <v>-4.5030857550568501E-2</v>
      </c>
      <c r="E34" s="110">
        <f>LN('Lịch sử giá'!E35/'Lịch sử giá'!E34)</f>
        <v>3.8001118178613839E-2</v>
      </c>
      <c r="F34" s="110">
        <f>LN('Lịch sử giá'!F35/'Lịch sử giá'!F34)</f>
        <v>4.2058343328060507E-2</v>
      </c>
      <c r="G34" s="110">
        <f>LN('Lịch sử giá'!G35/'Lịch sử giá'!G34)</f>
        <v>-7.2254588958733657E-2</v>
      </c>
      <c r="H34" s="110">
        <f>LN('Lịch sử giá'!H35/'Lịch sử giá'!H34)</f>
        <v>-9.4486375951129839E-2</v>
      </c>
      <c r="I34" s="110">
        <f>LN('Lịch sử giá'!I35/'Lịch sử giá'!I34)</f>
        <v>3.8387763071656669E-3</v>
      </c>
      <c r="J34" s="110">
        <f>LN('Lịch sử giá'!J35/'Lịch sử giá'!J34)</f>
        <v>-8.9021176215030116E-3</v>
      </c>
      <c r="K34" s="110">
        <f>LN('Lịch sử giá'!K35/'Lịch sử giá'!K34)</f>
        <v>-2.1403908663153493E-2</v>
      </c>
      <c r="L34" s="110">
        <f>LN('Lịch sử giá'!L35/'Lịch sử giá'!L34)</f>
        <v>-3.6813973122716316E-2</v>
      </c>
      <c r="M34" s="110">
        <f>LN('Lịch sử giá'!M35/'Lịch sử giá'!M34)</f>
        <v>0.14051128673393967</v>
      </c>
      <c r="N34" s="110">
        <f>LN('Lịch sử giá'!N35/'Lịch sử giá'!N34)</f>
        <v>6.1787487765681284E-2</v>
      </c>
      <c r="O34" s="110">
        <f>LN('Lịch sử giá'!O35/'Lịch sử giá'!O34)</f>
        <v>1.6246957270019829E-3</v>
      </c>
      <c r="P34" s="110">
        <f>LN('Lịch sử giá'!P35/'Lịch sử giá'!P34)</f>
        <v>5.0745199005235254E-2</v>
      </c>
      <c r="Q34" s="110">
        <f>LN('Lịch sử giá'!Q35/'Lịch sử giá'!Q34)</f>
        <v>3.1010236742560218E-2</v>
      </c>
      <c r="R34" s="110">
        <f>LN('Lịch sử giá'!R35/'Lịch sử giá'!R34)</f>
        <v>0.12890358369925475</v>
      </c>
      <c r="S34" s="110">
        <f>LN('Lịch sử giá'!S35/'Lịch sử giá'!S34)</f>
        <v>0.11321637067046354</v>
      </c>
      <c r="T34" s="110">
        <f>LN('Lịch sử giá'!T35/'Lịch sử giá'!T34)</f>
        <v>6.211360681491792E-2</v>
      </c>
      <c r="U34" s="110">
        <f>LN('Lịch sử giá'!U35/'Lịch sử giá'!U34)</f>
        <v>-0.10149548929145376</v>
      </c>
      <c r="V34" s="111">
        <f>LN('Lịch sử giá'!V35/'Lịch sử giá'!V34)</f>
        <v>4.2981481894641509E-2</v>
      </c>
    </row>
    <row r="35" spans="1:22" s="109" customFormat="1" ht="15.75">
      <c r="A35" s="102">
        <v>43707</v>
      </c>
      <c r="B35" s="110">
        <f>LN('Lịch sử giá'!B36/'Lịch sử giá'!B35)</f>
        <v>-1.5642777070453577E-2</v>
      </c>
      <c r="C35" s="110">
        <f>LN('Lịch sử giá'!C36/'Lịch sử giá'!C35)</f>
        <v>-7.3479370771053529E-2</v>
      </c>
      <c r="D35" s="110">
        <f>LN('Lịch sử giá'!D36/'Lịch sử giá'!D35)</f>
        <v>3.2358871876512596E-2</v>
      </c>
      <c r="E35" s="110">
        <f>LN('Lịch sử giá'!E36/'Lịch sử giá'!E35)</f>
        <v>8.446576679019599E-2</v>
      </c>
      <c r="F35" s="110">
        <f>LN('Lịch sử giá'!F36/'Lịch sử giá'!F35)</f>
        <v>-4.9545931246833411E-3</v>
      </c>
      <c r="G35" s="110">
        <f>LN('Lịch sử giá'!G36/'Lịch sử giá'!G35)</f>
        <v>0.12774940167220591</v>
      </c>
      <c r="H35" s="110">
        <f>LN('Lịch sử giá'!H36/'Lịch sử giá'!H35)</f>
        <v>8.0041223587759239E-2</v>
      </c>
      <c r="I35" s="110">
        <f>LN('Lịch sử giá'!I36/'Lịch sử giá'!I35)</f>
        <v>9.1471403497159112E-2</v>
      </c>
      <c r="J35" s="110">
        <f>LN('Lịch sử giá'!J36/'Lịch sử giá'!J35)</f>
        <v>-9.0509066043832718E-3</v>
      </c>
      <c r="K35" s="110">
        <f>LN('Lịch sử giá'!K36/'Lịch sử giá'!K35)</f>
        <v>-1.5748356968139168E-2</v>
      </c>
      <c r="L35" s="110">
        <f>LN('Lịch sử giá'!L36/'Lịch sử giá'!L35)</f>
        <v>-5.9219359659971216E-2</v>
      </c>
      <c r="M35" s="110">
        <f>LN('Lịch sử giá'!M36/'Lịch sử giá'!M35)</f>
        <v>9.0360941951928217E-2</v>
      </c>
      <c r="N35" s="110">
        <f>LN('Lịch sử giá'!N36/'Lịch sử giá'!N35)</f>
        <v>9.267711452530708E-2</v>
      </c>
      <c r="O35" s="110">
        <f>LN('Lịch sử giá'!O36/'Lịch sử giá'!O35)</f>
        <v>-1.624695727001922E-3</v>
      </c>
      <c r="P35" s="110">
        <f>LN('Lịch sử giá'!P36/'Lịch sử giá'!P35)</f>
        <v>6.7950661908507751E-2</v>
      </c>
      <c r="Q35" s="110">
        <f>LN('Lịch sử giá'!Q36/'Lịch sử giá'!Q35)</f>
        <v>0.11251046625139963</v>
      </c>
      <c r="R35" s="110">
        <f>LN('Lịch sử giá'!R36/'Lịch sử giá'!R35)</f>
        <v>-3.16712504919709E-2</v>
      </c>
      <c r="S35" s="110">
        <f>LN('Lịch sử giá'!S36/'Lịch sử giá'!S35)</f>
        <v>8.7599664556812729E-2</v>
      </c>
      <c r="T35" s="110">
        <f>LN('Lịch sử giá'!T36/'Lịch sử giá'!T35)</f>
        <v>-2.6851905573018014E-2</v>
      </c>
      <c r="U35" s="110">
        <f>LN('Lịch sử giá'!U36/'Lịch sử giá'!U35)</f>
        <v>0.10149548929145374</v>
      </c>
      <c r="V35" s="111">
        <f>LN('Lịch sử giá'!V36/'Lịch sử giá'!V35)</f>
        <v>-7.6934357968748155E-3</v>
      </c>
    </row>
    <row r="36" spans="1:22" s="109" customFormat="1" ht="15.75">
      <c r="A36" s="102">
        <v>43738</v>
      </c>
      <c r="B36" s="110">
        <f>LN('Lịch sử giá'!B37/'Lịch sử giá'!B36)</f>
        <v>-1.13251493570534E-2</v>
      </c>
      <c r="C36" s="110">
        <f>LN('Lịch sử giá'!C37/'Lịch sử giá'!C36)</f>
        <v>-1.7751945458450338E-2</v>
      </c>
      <c r="D36" s="110">
        <f>LN('Lịch sử giá'!D37/'Lịch sử giá'!D36)</f>
        <v>-0.11817503202985122</v>
      </c>
      <c r="E36" s="110">
        <f>LN('Lịch sử giá'!E37/'Lịch sử giá'!E36)</f>
        <v>-6.7658648473814809E-2</v>
      </c>
      <c r="F36" s="110">
        <f>LN('Lịch sử giá'!F37/'Lịch sử giá'!F36)</f>
        <v>-8.2805903684232532E-2</v>
      </c>
      <c r="G36" s="110">
        <f>LN('Lịch sử giá'!G37/'Lịch sử giá'!G36)</f>
        <v>0.11849586190241984</v>
      </c>
      <c r="H36" s="110">
        <f>LN('Lịch sử giá'!H37/'Lịch sử giá'!H36)</f>
        <v>5.8540627113618141E-2</v>
      </c>
      <c r="I36" s="110">
        <f>LN('Lịch sử giá'!I37/'Lịch sử giá'!I36)</f>
        <v>-4.286370443178239E-2</v>
      </c>
      <c r="J36" s="110">
        <f>LN('Lịch sử giá'!J37/'Lịch sử giá'!J36)</f>
        <v>7.8646334884424199E-2</v>
      </c>
      <c r="K36" s="110">
        <f>LN('Lịch sử giá'!K37/'Lịch sử giá'!K36)</f>
        <v>-9.0681105878592211E-2</v>
      </c>
      <c r="L36" s="110">
        <f>LN('Lịch sử giá'!L37/'Lịch sử giá'!L36)</f>
        <v>4.0291349774452381E-2</v>
      </c>
      <c r="M36" s="110">
        <f>LN('Lịch sử giá'!M37/'Lịch sử giá'!M36)</f>
        <v>7.5756374492851081E-2</v>
      </c>
      <c r="N36" s="110">
        <f>LN('Lịch sử giá'!N37/'Lịch sử giá'!N36)</f>
        <v>8.3080245266160743E-2</v>
      </c>
      <c r="O36" s="110">
        <f>LN('Lịch sử giá'!O37/'Lịch sử giá'!O36)</f>
        <v>5.3039735949980675E-2</v>
      </c>
      <c r="P36" s="110">
        <f>LN('Lịch sử giá'!P37/'Lịch sử giá'!P36)</f>
        <v>-2.2141125877213518E-2</v>
      </c>
      <c r="Q36" s="110">
        <f>LN('Lịch sử giá'!Q37/'Lịch sử giá'!Q36)</f>
        <v>4.0112329397805506E-2</v>
      </c>
      <c r="R36" s="110">
        <f>LN('Lịch sử giá'!R37/'Lịch sử giá'!R36)</f>
        <v>5.5090360759371196E-2</v>
      </c>
      <c r="S36" s="110">
        <f>LN('Lịch sử giá'!S37/'Lịch sử giá'!S36)</f>
        <v>1.6633748463526079E-2</v>
      </c>
      <c r="T36" s="110">
        <f>LN('Lịch sử giá'!T37/'Lịch sử giá'!T36)</f>
        <v>4.5928692091776011E-2</v>
      </c>
      <c r="U36" s="110">
        <f>LN('Lịch sử giá'!U37/'Lịch sử giá'!U36)</f>
        <v>-2.7175585378964782E-2</v>
      </c>
      <c r="V36" s="111">
        <f>LN('Lịch sử giá'!V37/'Lịch sử giá'!V36)</f>
        <v>1.2622477774764659E-2</v>
      </c>
    </row>
    <row r="37" spans="1:22" s="109" customFormat="1" ht="15.75">
      <c r="A37" s="102">
        <v>43769</v>
      </c>
      <c r="B37" s="110">
        <f>LN('Lịch sử giá'!B38/'Lịch sử giá'!B37)</f>
        <v>-6.8571697261370235E-3</v>
      </c>
      <c r="C37" s="110">
        <f>LN('Lịch sử giá'!C38/'Lịch sử giá'!C37)</f>
        <v>6.5004830308995995E-2</v>
      </c>
      <c r="D37" s="110">
        <f>LN('Lịch sử giá'!D38/'Lịch sử giá'!D37)</f>
        <v>8.087073467600564E-2</v>
      </c>
      <c r="E37" s="110">
        <f>LN('Lịch sử giá'!E38/'Lịch sử giá'!E37)</f>
        <v>-2.7028672387919259E-2</v>
      </c>
      <c r="F37" s="110">
        <f>LN('Lịch sử giá'!F38/'Lịch sử giá'!F37)</f>
        <v>2.6620915405427895E-2</v>
      </c>
      <c r="G37" s="110">
        <f>LN('Lịch sử giá'!G38/'Lịch sử giá'!G37)</f>
        <v>-0.12172849120791436</v>
      </c>
      <c r="H37" s="110">
        <f>LN('Lịch sử giá'!H38/'Lịch sử giá'!H37)</f>
        <v>2.7083651154764E-2</v>
      </c>
      <c r="I37" s="110">
        <f>LN('Lịch sử giá'!I38/'Lịch sử giá'!I37)</f>
        <v>-2.5879447987820721E-2</v>
      </c>
      <c r="J37" s="110">
        <f>LN('Lịch sử giá'!J38/'Lịch sử giá'!J37)</f>
        <v>4.9190290463769909E-2</v>
      </c>
      <c r="K37" s="110">
        <f>LN('Lịch sử giá'!K38/'Lịch sử giá'!K37)</f>
        <v>-1.6172859245600957E-2</v>
      </c>
      <c r="L37" s="110">
        <f>LN('Lịch sử giá'!L38/'Lịch sử giá'!L37)</f>
        <v>-5.6334474615027968E-2</v>
      </c>
      <c r="M37" s="110">
        <f>LN('Lịch sử giá'!M38/'Lịch sử giá'!M37)</f>
        <v>-1.1966636617521063E-2</v>
      </c>
      <c r="N37" s="110">
        <f>LN('Lịch sử giá'!N38/'Lịch sử giá'!N37)</f>
        <v>3.4602110648956526E-3</v>
      </c>
      <c r="O37" s="110">
        <f>LN('Lịch sử giá'!O38/'Lịch sử giá'!O37)</f>
        <v>2.3103591331843066E-3</v>
      </c>
      <c r="P37" s="110">
        <f>LN('Lịch sử giá'!P38/'Lịch sử giá'!P37)</f>
        <v>3.5434372987876293E-2</v>
      </c>
      <c r="Q37" s="110">
        <f>LN('Lịch sử giá'!Q38/'Lịch sử giá'!Q37)</f>
        <v>-1.7184824754100856E-2</v>
      </c>
      <c r="R37" s="110">
        <f>LN('Lịch sử giá'!R38/'Lịch sử giá'!R37)</f>
        <v>6.5987229345149057E-2</v>
      </c>
      <c r="S37" s="110">
        <f>LN('Lịch sử giá'!S38/'Lịch sử giá'!S37)</f>
        <v>3.0002329186107932E-2</v>
      </c>
      <c r="T37" s="110">
        <f>LN('Lịch sử giá'!T38/'Lịch sử giá'!T37)</f>
        <v>3.9403310855086575E-2</v>
      </c>
      <c r="U37" s="110">
        <f>LN('Lịch sử giá'!U38/'Lịch sử giá'!U37)</f>
        <v>-0.10138922588070702</v>
      </c>
      <c r="V37" s="111">
        <f>LN('Lịch sử giá'!V38/'Lịch sử giá'!V37)</f>
        <v>2.2652336561375338E-3</v>
      </c>
    </row>
    <row r="38" spans="1:22" s="109" customFormat="1" ht="15.75">
      <c r="A38" s="102">
        <v>43798</v>
      </c>
      <c r="B38" s="110">
        <f>LN('Lịch sử giá'!B39/'Lịch sử giá'!B38)</f>
        <v>4.7041147545170477E-2</v>
      </c>
      <c r="C38" s="110">
        <f>LN('Lịch sử giá'!C39/'Lịch sử giá'!C38)</f>
        <v>8.4443981484383923E-2</v>
      </c>
      <c r="D38" s="110">
        <f>LN('Lịch sử giá'!D39/'Lịch sử giá'!D38)</f>
        <v>1.6511941208394235E-3</v>
      </c>
      <c r="E38" s="110">
        <f>LN('Lịch sử giá'!E39/'Lịch sử giá'!E38)</f>
        <v>5.0093945318915492E-2</v>
      </c>
      <c r="F38" s="110">
        <f>LN('Lịch sử giá'!F39/'Lịch sử giá'!F38)</f>
        <v>-3.3841163378914955E-2</v>
      </c>
      <c r="G38" s="110">
        <f>LN('Lịch sử giá'!G39/'Lịch sử giá'!G38)</f>
        <v>-8.7899560685401043E-2</v>
      </c>
      <c r="H38" s="110">
        <f>LN('Lịch sử giá'!H39/'Lịch sử giá'!H38)</f>
        <v>7.605342458384185E-3</v>
      </c>
      <c r="I38" s="110">
        <f>LN('Lịch sử giá'!I39/'Lịch sử giá'!I38)</f>
        <v>-0.11708103492555369</v>
      </c>
      <c r="J38" s="110">
        <f>LN('Lịch sử giá'!J39/'Lịch sử giá'!J38)</f>
        <v>-2.6742185581698917E-3</v>
      </c>
      <c r="K38" s="110">
        <f>LN('Lịch sử giá'!K39/'Lịch sử giá'!K38)</f>
        <v>-6.8895826506526883E-2</v>
      </c>
      <c r="L38" s="110">
        <f>LN('Lịch sử giá'!L39/'Lịch sử giá'!L38)</f>
        <v>-5.8268908123975761E-2</v>
      </c>
      <c r="M38" s="110">
        <f>LN('Lịch sử giá'!M39/'Lịch sử giá'!M38)</f>
        <v>-0.13376072412420903</v>
      </c>
      <c r="N38" s="110">
        <f>LN('Lịch sử giá'!N39/'Lịch sử giá'!N38)</f>
        <v>-2.6248226074936327E-2</v>
      </c>
      <c r="O38" s="110">
        <f>LN('Lịch sử giá'!O39/'Lịch sử giá'!O38)</f>
        <v>-6.7620187674979265E-2</v>
      </c>
      <c r="P38" s="110">
        <f>LN('Lịch sử giá'!P39/'Lịch sử giá'!P38)</f>
        <v>-2.5533302005164762E-2</v>
      </c>
      <c r="Q38" s="110">
        <f>LN('Lịch sử giá'!Q39/'Lịch sử giá'!Q38)</f>
        <v>-3.666398437159147E-2</v>
      </c>
      <c r="R38" s="110">
        <f>LN('Lịch sử giá'!R39/'Lịch sử giá'!R38)</f>
        <v>-2.7752202091170249E-2</v>
      </c>
      <c r="S38" s="110">
        <f>LN('Lịch sử giá'!S39/'Lịch sử giá'!S38)</f>
        <v>3.0988172335328881E-2</v>
      </c>
      <c r="T38" s="110">
        <f>LN('Lịch sử giá'!T39/'Lịch sử giá'!T38)</f>
        <v>-7.3055174432895845E-2</v>
      </c>
      <c r="U38" s="110">
        <f>LN('Lịch sử giá'!U39/'Lịch sử giá'!U38)</f>
        <v>-5.9672331486398326E-2</v>
      </c>
      <c r="V38" s="111">
        <f>LN('Lịch sử giá'!V39/'Lịch sử giá'!V38)</f>
        <v>-2.8505613622197966E-2</v>
      </c>
    </row>
    <row r="39" spans="1:22" s="109" customFormat="1" ht="15.75">
      <c r="A39" s="102">
        <v>43830</v>
      </c>
      <c r="B39" s="110">
        <f>LN('Lịch sử giá'!B40/'Lịch sử giá'!B39)</f>
        <v>2.8049303809899586E-2</v>
      </c>
      <c r="C39" s="110">
        <f>LN('Lịch sử giá'!C40/'Lịch sử giá'!C39)</f>
        <v>3.8486256612944563E-3</v>
      </c>
      <c r="D39" s="110">
        <f>LN('Lịch sử giá'!D40/'Lịch sử giá'!D39)</f>
        <v>0.12981658881892902</v>
      </c>
      <c r="E39" s="110">
        <f>LN('Lịch sử giá'!E40/'Lịch sử giá'!E39)</f>
        <v>6.4935293105483115E-3</v>
      </c>
      <c r="F39" s="110">
        <f>LN('Lịch sử giá'!F40/'Lịch sử giá'!F39)</f>
        <v>-3.6297680505787237E-3</v>
      </c>
      <c r="G39" s="110">
        <f>LN('Lịch sử giá'!G40/'Lịch sử giá'!G39)</f>
        <v>2.4438257098158059E-2</v>
      </c>
      <c r="H39" s="110">
        <f>LN('Lịch sử giá'!H40/'Lịch sử giá'!H39)</f>
        <v>1.8760105243907199E-2</v>
      </c>
      <c r="I39" s="110">
        <f>LN('Lịch sử giá'!I40/'Lịch sử giá'!I39)</f>
        <v>-1.9129169908995304E-2</v>
      </c>
      <c r="J39" s="110">
        <f>LN('Lịch sử giá'!J40/'Lịch sử giá'!J39)</f>
        <v>-1.0752224730984476E-2</v>
      </c>
      <c r="K39" s="110">
        <f>LN('Lịch sử giá'!K40/'Lịch sử giá'!K39)</f>
        <v>-5.53619293326666E-2</v>
      </c>
      <c r="L39" s="110">
        <f>LN('Lịch sử giá'!L40/'Lịch sử giá'!L39)</f>
        <v>-0.21425460389696371</v>
      </c>
      <c r="M39" s="110">
        <f>LN('Lịch sử giá'!M40/'Lịch sử giá'!M39)</f>
        <v>4.4850566165351713E-2</v>
      </c>
      <c r="N39" s="110">
        <f>LN('Lịch sử giá'!N40/'Lịch sử giá'!N39)</f>
        <v>3.3132934852433446E-2</v>
      </c>
      <c r="O39" s="110">
        <f>LN('Lịch sử giá'!O40/'Lịch sử giá'!O39)</f>
        <v>-4.2022989774847926E-2</v>
      </c>
      <c r="P39" s="110">
        <f>LN('Lịch sử giá'!P40/'Lịch sử giá'!P39)</f>
        <v>5.7432049085875396E-2</v>
      </c>
      <c r="Q39" s="110">
        <f>LN('Lịch sử giá'!Q40/'Lịch sử giá'!Q39)</f>
        <v>4.1407926660313871E-3</v>
      </c>
      <c r="R39" s="110">
        <f>LN('Lịch sử giá'!R40/'Lịch sử giá'!R39)</f>
        <v>5.5850910623095176E-2</v>
      </c>
      <c r="S39" s="110">
        <f>LN('Lịch sử giá'!S40/'Lịch sử giá'!S39)</f>
        <v>0.13059430401240957</v>
      </c>
      <c r="T39" s="110">
        <f>LN('Lịch sử giá'!T40/'Lịch sử giá'!T39)</f>
        <v>2.1783719643206342E-2</v>
      </c>
      <c r="U39" s="110">
        <f>LN('Lịch sử giá'!U40/'Lịch sử giá'!U39)</f>
        <v>-2.6231012148869758E-2</v>
      </c>
      <c r="V39" s="111">
        <f>LN('Lịch sử giá'!V40/'Lịch sử giá'!V39)</f>
        <v>-1.0104965522888453E-2</v>
      </c>
    </row>
    <row r="40" spans="1:22" s="109" customFormat="1" ht="15.75">
      <c r="A40" s="102">
        <v>43861</v>
      </c>
      <c r="B40" s="110">
        <f>LN('Lịch sử giá'!B41/'Lịch sử giá'!B40)</f>
        <v>2.521141934649607E-2</v>
      </c>
      <c r="C40" s="110">
        <f>LN('Lịch sử giá'!C41/'Lịch sử giá'!C40)</f>
        <v>4.2612963401176825E-2</v>
      </c>
      <c r="D40" s="110">
        <f>LN('Lịch sử giá'!D41/'Lịch sử giá'!D40)</f>
        <v>0.1895427620991158</v>
      </c>
      <c r="E40" s="110">
        <f>LN('Lịch sử giá'!E41/'Lịch sử giá'!E40)</f>
        <v>-6.3460353917225806E-2</v>
      </c>
      <c r="F40" s="110">
        <f>LN('Lịch sử giá'!F41/'Lịch sử giá'!F40)</f>
        <v>-3.7041271680349097E-2</v>
      </c>
      <c r="G40" s="110">
        <f>LN('Lịch sử giá'!G41/'Lịch sử giá'!G40)</f>
        <v>-0.22746139278643099</v>
      </c>
      <c r="H40" s="110">
        <f>LN('Lịch sử giá'!H41/'Lịch sử giá'!H40)</f>
        <v>-7.3249458639240234E-2</v>
      </c>
      <c r="I40" s="110">
        <f>LN('Lịch sử giá'!I41/'Lịch sử giá'!I40)</f>
        <v>-0.19876502551907066</v>
      </c>
      <c r="J40" s="110">
        <f>LN('Lịch sử giá'!J41/'Lịch sử giá'!J40)</f>
        <v>2.7030884595577388E-3</v>
      </c>
      <c r="K40" s="110">
        <f>LN('Lịch sử giá'!K41/'Lịch sử giá'!K40)</f>
        <v>-9.5156345483584662E-2</v>
      </c>
      <c r="L40" s="110">
        <f>LN('Lịch sử giá'!L41/'Lịch sử giá'!L40)</f>
        <v>-0.12021963006157614</v>
      </c>
      <c r="M40" s="110">
        <f>LN('Lịch sử giá'!M41/'Lịch sử giá'!M40)</f>
        <v>-2.8471674081312001E-2</v>
      </c>
      <c r="N40" s="110">
        <f>LN('Lịch sử giá'!N41/'Lịch sử giá'!N40)</f>
        <v>-0.11435837477501934</v>
      </c>
      <c r="O40" s="110">
        <f>LN('Lịch sử giá'!O41/'Lịch sử giá'!O40)</f>
        <v>-7.1141100025241072E-2</v>
      </c>
      <c r="P40" s="110">
        <f>LN('Lịch sử giá'!P41/'Lịch sử giá'!P40)</f>
        <v>-1.996543124569793E-2</v>
      </c>
      <c r="Q40" s="110">
        <f>LN('Lịch sử giá'!Q41/'Lịch sử giá'!Q40)</f>
        <v>-6.8402726884400522E-2</v>
      </c>
      <c r="R40" s="110">
        <f>LN('Lịch sử giá'!R41/'Lịch sử giá'!R40)</f>
        <v>-1.6759759561490849E-2</v>
      </c>
      <c r="S40" s="110">
        <f>LN('Lịch sử giá'!S41/'Lịch sử giá'!S40)</f>
        <v>0.10968638277694739</v>
      </c>
      <c r="T40" s="110">
        <f>LN('Lịch sử giá'!T41/'Lịch sử giá'!T40)</f>
        <v>0.1548091103606363</v>
      </c>
      <c r="U40" s="110">
        <f>LN('Lịch sử giá'!U41/'Lịch sử giá'!U40)</f>
        <v>-0.12361395596717664</v>
      </c>
      <c r="V40" s="111">
        <f>LN('Lịch sử giá'!V41/'Lịch sử giá'!V40)</f>
        <v>-2.5686352734423688E-2</v>
      </c>
    </row>
    <row r="41" spans="1:22" s="109" customFormat="1" ht="15.75">
      <c r="A41" s="102">
        <v>43889</v>
      </c>
      <c r="B41" s="110">
        <f>LN('Lịch sử giá'!B42/'Lịch sử giá'!B41)</f>
        <v>-7.5385519437031437E-2</v>
      </c>
      <c r="C41" s="110">
        <f>LN('Lịch sử giá'!C42/'Lịch sử giá'!C41)</f>
        <v>-6.9869679960486E-2</v>
      </c>
      <c r="D41" s="110">
        <f>LN('Lịch sử giá'!D42/'Lịch sử giá'!D41)</f>
        <v>-6.0242993853546678E-3</v>
      </c>
      <c r="E41" s="110">
        <f>LN('Lịch sử giá'!E42/'Lịch sử giá'!E41)</f>
        <v>-3.5091319811270061E-2</v>
      </c>
      <c r="F41" s="110">
        <f>LN('Lịch sử giá'!F42/'Lịch sử giá'!F41)</f>
        <v>-5.8268908123975761E-2</v>
      </c>
      <c r="G41" s="110">
        <f>LN('Lịch sử giá'!G42/'Lịch sử giá'!G41)</f>
        <v>2.5635624752533497E-2</v>
      </c>
      <c r="H41" s="110">
        <f>LN('Lịch sử giá'!H42/'Lịch sử giá'!H41)</f>
        <v>-1.8165776325771262E-2</v>
      </c>
      <c r="I41" s="110">
        <f>LN('Lịch sử giá'!I42/'Lịch sử giá'!I41)</f>
        <v>-7.88440352414887E-3</v>
      </c>
      <c r="J41" s="110">
        <f>LN('Lịch sử giá'!J42/'Lịch sử giá'!J41)</f>
        <v>0.1545346499156979</v>
      </c>
      <c r="K41" s="110">
        <f>LN('Lịch sử giá'!K42/'Lịch sử giá'!K41)</f>
        <v>2.8358864560068711E-2</v>
      </c>
      <c r="L41" s="110">
        <f>LN('Lịch sử giá'!L42/'Lịch sử giá'!L41)</f>
        <v>-2.220070998019253E-2</v>
      </c>
      <c r="M41" s="110">
        <f>LN('Lịch sử giá'!M42/'Lịch sử giá'!M41)</f>
        <v>-3.9581789163703626E-2</v>
      </c>
      <c r="N41" s="110">
        <f>LN('Lịch sử giá'!N42/'Lịch sử giá'!N41)</f>
        <v>5.7905997577441456E-2</v>
      </c>
      <c r="O41" s="110">
        <f>LN('Lịch sử giá'!O42/'Lịch sử giá'!O41)</f>
        <v>-3.7563101575648496E-2</v>
      </c>
      <c r="P41" s="110">
        <f>LN('Lịch sử giá'!P42/'Lịch sử giá'!P41)</f>
        <v>-3.1327863141852583E-2</v>
      </c>
      <c r="Q41" s="110">
        <f>LN('Lịch sử giá'!Q42/'Lịch sử giá'!Q41)</f>
        <v>5.8823699030666129E-3</v>
      </c>
      <c r="R41" s="110">
        <f>LN('Lịch sử giá'!R42/'Lịch sử giá'!R41)</f>
        <v>-7.3685776915809173E-2</v>
      </c>
      <c r="S41" s="110">
        <f>LN('Lịch sử giá'!S42/'Lịch sử giá'!S41)</f>
        <v>-0.12386928642050364</v>
      </c>
      <c r="T41" s="110">
        <f>LN('Lịch sử giá'!T42/'Lịch sử giá'!T41)</f>
        <v>5.385496581456832E-2</v>
      </c>
      <c r="U41" s="110">
        <f>LN('Lịch sử giá'!U42/'Lịch sử giá'!U41)</f>
        <v>-0.12391079463754008</v>
      </c>
      <c r="V41" s="111">
        <f>LN('Lịch sử giá'!V42/'Lịch sử giá'!V41)</f>
        <v>-5.9870198045988476E-2</v>
      </c>
    </row>
    <row r="42" spans="1:22" s="109" customFormat="1" ht="15.75">
      <c r="A42" s="102">
        <v>43921</v>
      </c>
      <c r="B42" s="110">
        <f>LN('Lịch sử giá'!B43/'Lịch sử giá'!B42)</f>
        <v>-0.28247566426120718</v>
      </c>
      <c r="C42" s="110">
        <f>LN('Lịch sử giá'!C43/'Lịch sử giá'!C42)</f>
        <v>-0.51302101432942626</v>
      </c>
      <c r="D42" s="110">
        <f>LN('Lịch sử giá'!D43/'Lịch sử giá'!D42)</f>
        <v>-0.63343365322792855</v>
      </c>
      <c r="E42" s="110">
        <f>LN('Lịch sử giá'!E43/'Lịch sử giá'!E42)</f>
        <v>-0.23211222129697021</v>
      </c>
      <c r="F42" s="110">
        <f>LN('Lịch sử giá'!F43/'Lịch sử giá'!F42)</f>
        <v>-0.22314355131420971</v>
      </c>
      <c r="G42" s="110">
        <f>LN('Lịch sử giá'!G43/'Lịch sử giá'!G42)</f>
        <v>-0.42463489899413231</v>
      </c>
      <c r="H42" s="110">
        <f>LN('Lịch sử giá'!H43/'Lịch sử giá'!H42)</f>
        <v>-0.28293920069931561</v>
      </c>
      <c r="I42" s="110">
        <f>LN('Lịch sử giá'!I43/'Lịch sử giá'!I42)</f>
        <v>-0.23709263169173989</v>
      </c>
      <c r="J42" s="110">
        <f>LN('Lịch sử giá'!J43/'Lịch sử giá'!J42)</f>
        <v>-0.53340665277194088</v>
      </c>
      <c r="K42" s="110">
        <f>LN('Lịch sử giá'!K43/'Lịch sử giá'!K42)</f>
        <v>-0.13541286072422823</v>
      </c>
      <c r="L42" s="110">
        <f>LN('Lịch sử giá'!L43/'Lịch sử giá'!L42)</f>
        <v>0</v>
      </c>
      <c r="M42" s="110">
        <f>LN('Lịch sử giá'!M43/'Lịch sử giá'!M42)</f>
        <v>-0.59230389449193888</v>
      </c>
      <c r="N42" s="110">
        <f>LN('Lịch sử giá'!N43/'Lịch sử giá'!N42)</f>
        <v>-0.29314159465667988</v>
      </c>
      <c r="O42" s="110">
        <f>LN('Lịch sử giá'!O43/'Lịch sử giá'!O42)</f>
        <v>-0.13832756488801567</v>
      </c>
      <c r="P42" s="110">
        <f>LN('Lịch sử giá'!P43/'Lịch sử giá'!P42)</f>
        <v>-0.55503632641372347</v>
      </c>
      <c r="Q42" s="110">
        <f>LN('Lịch sử giá'!Q43/'Lịch sử giá'!Q42)</f>
        <v>-0.22241068209855711</v>
      </c>
      <c r="R42" s="110">
        <f>LN('Lịch sử giá'!R43/'Lịch sử giá'!R42)</f>
        <v>-0.28445318312373286</v>
      </c>
      <c r="S42" s="110">
        <f>LN('Lịch sử giá'!S43/'Lịch sử giá'!S42)</f>
        <v>-0.38857552126973655</v>
      </c>
      <c r="T42" s="110">
        <f>LN('Lịch sử giá'!T43/'Lịch sử giá'!T42)</f>
        <v>-0.40351711304099497</v>
      </c>
      <c r="U42" s="110">
        <f>LN('Lịch sử giá'!U43/'Lịch sử giá'!U42)</f>
        <v>-0.55431073570572942</v>
      </c>
      <c r="V42" s="111">
        <f>LN('Lịch sử giá'!V43/'Lịch sử giá'!V42)</f>
        <v>-0.28634161245447587</v>
      </c>
    </row>
    <row r="43" spans="1:22" s="109" customFormat="1" ht="15.75">
      <c r="A43" s="102">
        <v>43950</v>
      </c>
      <c r="B43" s="110">
        <f>LN('Lịch sử giá'!B44/'Lịch sử giá'!B43)</f>
        <v>0.24370227833524646</v>
      </c>
      <c r="C43" s="110">
        <f>LN('Lịch sử giá'!C44/'Lịch sử giá'!C43)</f>
        <v>0.47957308026188628</v>
      </c>
      <c r="D43" s="110">
        <f>LN('Lịch sử giá'!D44/'Lịch sử giá'!D43)</f>
        <v>0.38556787641596318</v>
      </c>
      <c r="E43" s="110">
        <f>LN('Lịch sử giá'!E44/'Lịch sử giá'!E43)</f>
        <v>0.1346568851462572</v>
      </c>
      <c r="F43" s="110">
        <f>LN('Lịch sử giá'!F44/'Lịch sử giá'!F43)</f>
        <v>0.11778303565638346</v>
      </c>
      <c r="G43" s="110">
        <f>LN('Lịch sử giá'!G44/'Lịch sử giá'!G43)</f>
        <v>0.24383581840859514</v>
      </c>
      <c r="H43" s="110">
        <f>LN('Lịch sử giá'!H44/'Lịch sử giá'!H43)</f>
        <v>0.12436919895738739</v>
      </c>
      <c r="I43" s="110">
        <f>LN('Lịch sử giá'!I44/'Lịch sử giá'!I43)</f>
        <v>0.21845028088246018</v>
      </c>
      <c r="J43" s="110">
        <f>LN('Lịch sử giá'!J44/'Lịch sử giá'!J43)</f>
        <v>7.9438427021216729E-2</v>
      </c>
      <c r="K43" s="110">
        <f>LN('Lịch sử giá'!K44/'Lịch sử giá'!K43)</f>
        <v>0.46575733836428446</v>
      </c>
      <c r="L43" s="110">
        <f>LN('Lịch sử giá'!L44/'Lịch sử giá'!L43)</f>
        <v>0.18232155679395459</v>
      </c>
      <c r="M43" s="110">
        <f>LN('Lịch sử giá'!M44/'Lịch sử giá'!M43)</f>
        <v>0.32721291120841622</v>
      </c>
      <c r="N43" s="110">
        <f>LN('Lịch sử giá'!N44/'Lịch sử giá'!N43)</f>
        <v>0.21188823308224733</v>
      </c>
      <c r="O43" s="110">
        <f>LN('Lịch sử giá'!O44/'Lịch sử giá'!O43)</f>
        <v>8.4260343617739805E-2</v>
      </c>
      <c r="P43" s="110">
        <f>LN('Lịch sử giá'!P44/'Lịch sử giá'!P43)</f>
        <v>0.19327766568005159</v>
      </c>
      <c r="Q43" s="110">
        <f>LN('Lịch sử giá'!Q44/'Lịch sử giá'!Q43)</f>
        <v>9.4310679471241415E-2</v>
      </c>
      <c r="R43" s="110">
        <f>LN('Lịch sử giá'!R44/'Lịch sử giá'!R43)</f>
        <v>9.2381928695293103E-2</v>
      </c>
      <c r="S43" s="110">
        <f>LN('Lịch sử giá'!S44/'Lịch sử giá'!S43)</f>
        <v>0.14320829953029887</v>
      </c>
      <c r="T43" s="110">
        <f>LN('Lịch sử giá'!T44/'Lịch sử giá'!T43)</f>
        <v>0.1508511962278592</v>
      </c>
      <c r="U43" s="110">
        <f>LN('Lịch sử giá'!U44/'Lịch sử giá'!U43)</f>
        <v>0.30421137440299156</v>
      </c>
      <c r="V43" s="111">
        <f>LN('Lịch sử giá'!V44/'Lịch sử giá'!V43)</f>
        <v>0.14916816233485578</v>
      </c>
    </row>
    <row r="44" spans="1:22" s="109" customFormat="1" ht="15.75">
      <c r="A44" s="102">
        <v>43980</v>
      </c>
      <c r="B44" s="110">
        <f>LN('Lịch sử giá'!B45/'Lịch sử giá'!B44)</f>
        <v>0.24249007826040739</v>
      </c>
      <c r="C44" s="110">
        <f>LN('Lịch sử giá'!C45/'Lịch sử giá'!C44)</f>
        <v>0.30488027074900159</v>
      </c>
      <c r="D44" s="110">
        <f>LN('Lịch sử giá'!D45/'Lịch sử giá'!D44)</f>
        <v>0.17143771035886915</v>
      </c>
      <c r="E44" s="110">
        <f>LN('Lịch sử giá'!E45/'Lịch sử giá'!E44)</f>
        <v>0.10102040231520922</v>
      </c>
      <c r="F44" s="110">
        <f>LN('Lịch sử giá'!F45/'Lịch sử giá'!F44)</f>
        <v>3.0636969461889801E-2</v>
      </c>
      <c r="G44" s="110">
        <f>LN('Lịch sử giá'!G45/'Lịch sử giá'!G44)</f>
        <v>0.13327990751642141</v>
      </c>
      <c r="H44" s="110">
        <f>LN('Lịch sử giá'!H45/'Lịch sử giá'!H44)</f>
        <v>4.8903574669078097E-2</v>
      </c>
      <c r="I44" s="110">
        <f>LN('Lịch sử giá'!I45/'Lịch sử giá'!I44)</f>
        <v>5.2367985517315939E-2</v>
      </c>
      <c r="J44" s="110">
        <f>LN('Lịch sử giá'!J45/'Lịch sử giá'!J44)</f>
        <v>8.0319919478990115E-2</v>
      </c>
      <c r="K44" s="110">
        <f>LN('Lịch sử giá'!K45/'Lịch sử giá'!K44)</f>
        <v>3.5398267051239868E-3</v>
      </c>
      <c r="L44" s="110">
        <f>LN('Lịch sử giá'!L45/'Lịch sử giá'!L44)</f>
        <v>6.4219592734293798E-2</v>
      </c>
      <c r="M44" s="110">
        <f>LN('Lịch sử giá'!M45/'Lịch sử giá'!M44)</f>
        <v>3.4880264746220378E-2</v>
      </c>
      <c r="N44" s="110">
        <f>LN('Lịch sử giá'!N45/'Lịch sử giá'!N44)</f>
        <v>-5.7737553254988992E-2</v>
      </c>
      <c r="O44" s="110">
        <f>LN('Lịch sử giá'!O45/'Lịch sử giá'!O44)</f>
        <v>0.14981227822866008</v>
      </c>
      <c r="P44" s="110">
        <f>LN('Lịch sử giá'!P45/'Lịch sử giá'!P44)</f>
        <v>0.10342542841488232</v>
      </c>
      <c r="Q44" s="110">
        <f>LN('Lịch sử giá'!Q45/'Lịch sử giá'!Q44)</f>
        <v>4.08219945202552E-2</v>
      </c>
      <c r="R44" s="110">
        <f>LN('Lịch sử giá'!R45/'Lịch sử giá'!R44)</f>
        <v>0.22549512075179876</v>
      </c>
      <c r="S44" s="110">
        <f>LN('Lịch sử giá'!S45/'Lịch sử giá'!S44)</f>
        <v>0.1190312022270827</v>
      </c>
      <c r="T44" s="110">
        <f>LN('Lịch sử giá'!T45/'Lịch sử giá'!T44)</f>
        <v>0.11774922502970028</v>
      </c>
      <c r="U44" s="110">
        <f>LN('Lịch sử giá'!U45/'Lịch sử giá'!U44)</f>
        <v>0.14710012183059148</v>
      </c>
      <c r="V44" s="111">
        <f>LN('Lịch sử giá'!V45/'Lịch sử giá'!V44)</f>
        <v>0.11688260019239091</v>
      </c>
    </row>
    <row r="45" spans="1:22" s="109" customFormat="1" ht="15.75">
      <c r="A45" s="102">
        <v>44012</v>
      </c>
      <c r="B45" s="110">
        <f>LN('Lịch sử giá'!B46/'Lịch sử giá'!B45)</f>
        <v>-2.2141125877213518E-2</v>
      </c>
      <c r="C45" s="110">
        <f>LN('Lịch sử giá'!C46/'Lịch sử giá'!C45)</f>
        <v>0.13840914602650164</v>
      </c>
      <c r="D45" s="110">
        <f>LN('Lịch sử giá'!D46/'Lịch sử giá'!D45)</f>
        <v>-7.2905989401501101E-2</v>
      </c>
      <c r="E45" s="110">
        <f>LN('Lịch sử giá'!E46/'Lịch sử giá'!E45)</f>
        <v>-1.4337163146407218E-2</v>
      </c>
      <c r="F45" s="110">
        <f>LN('Lịch sử giá'!F46/'Lịch sử giá'!F45)</f>
        <v>5.4520838878417112E-2</v>
      </c>
      <c r="G45" s="110">
        <f>LN('Lịch sử giá'!G46/'Lịch sử giá'!G45)</f>
        <v>-8.8933998548760829E-3</v>
      </c>
      <c r="H45" s="110">
        <f>LN('Lịch sử giá'!H46/'Lịch sử giá'!H45)</f>
        <v>5.3110244893810499E-2</v>
      </c>
      <c r="I45" s="110">
        <f>LN('Lịch sử giá'!I46/'Lịch sử giá'!I45)</f>
        <v>-5.2367985517315925E-2</v>
      </c>
      <c r="J45" s="110">
        <f>LN('Lịch sử giá'!J46/'Lịch sử giá'!J45)</f>
        <v>-0.10984072760841604</v>
      </c>
      <c r="K45" s="110">
        <f>LN('Lịch sử giá'!K46/'Lịch sử giá'!K45)</f>
        <v>3.5273405179684406E-3</v>
      </c>
      <c r="L45" s="110">
        <f>LN('Lịch sử giá'!L46/'Lịch sử giá'!L45)</f>
        <v>-0.14752726178643918</v>
      </c>
      <c r="M45" s="110">
        <f>LN('Lịch sử giá'!M46/'Lịch sử giá'!M45)</f>
        <v>-4.5957301085127848E-2</v>
      </c>
      <c r="N45" s="110">
        <f>LN('Lịch sử giá'!N46/'Lịch sử giá'!N45)</f>
        <v>-4.915519428846981E-2</v>
      </c>
      <c r="O45" s="110">
        <f>LN('Lịch sử giá'!O46/'Lịch sử giá'!O45)</f>
        <v>-2.0202707317519466E-2</v>
      </c>
      <c r="P45" s="110">
        <f>LN('Lịch sử giá'!P46/'Lịch sử giá'!P45)</f>
        <v>-9.467646622164673E-2</v>
      </c>
      <c r="Q45" s="110">
        <f>LN('Lịch sử giá'!Q46/'Lịch sử giá'!Q45)</f>
        <v>-1.9386713800190095E-2</v>
      </c>
      <c r="R45" s="110">
        <f>LN('Lịch sử giá'!R46/'Lịch sử giá'!R45)</f>
        <v>-5.9239667049506062E-2</v>
      </c>
      <c r="S45" s="110">
        <f>LN('Lịch sử giá'!S46/'Lịch sử giá'!S45)</f>
        <v>-5.6425931497421908E-2</v>
      </c>
      <c r="T45" s="110">
        <f>LN('Lịch sử giá'!T46/'Lịch sử giá'!T45)</f>
        <v>-4.3112506824728176E-2</v>
      </c>
      <c r="U45" s="110">
        <f>LN('Lịch sử giá'!U46/'Lịch sử giá'!U45)</f>
        <v>-6.0270910794648837E-2</v>
      </c>
      <c r="V45" s="111">
        <f>LN('Lịch sử giá'!V46/'Lịch sử giá'!V45)</f>
        <v>-4.6599891601331218E-2</v>
      </c>
    </row>
    <row r="46" spans="1:22" s="109" customFormat="1" ht="15.75">
      <c r="A46" s="102">
        <v>44043</v>
      </c>
      <c r="B46" s="110">
        <f>LN('Lịch sử giá'!B47/'Lịch sử giá'!B46)</f>
        <v>-0.21108962697039718</v>
      </c>
      <c r="C46" s="110">
        <f>LN('Lịch sử giá'!C47/'Lịch sử giá'!C46)</f>
        <v>-0.18669793139375346</v>
      </c>
      <c r="D46" s="110">
        <f>LN('Lịch sử giá'!D47/'Lịch sử giá'!D46)</f>
        <v>-0.14277995182241948</v>
      </c>
      <c r="E46" s="110">
        <f>LN('Lịch sử giá'!E47/'Lịch sử giá'!E46)</f>
        <v>-0.11058876002235637</v>
      </c>
      <c r="F46" s="110">
        <f>LN('Lịch sử giá'!F47/'Lịch sử giá'!F46)</f>
        <v>2.0202707317519469E-2</v>
      </c>
      <c r="G46" s="110">
        <f>LN('Lịch sử giá'!G47/'Lịch sử giá'!G46)</f>
        <v>-0.24343196774740714</v>
      </c>
      <c r="H46" s="110">
        <f>LN('Lịch sử giá'!H47/'Lịch sử giá'!H46)</f>
        <v>-1.5202645929421083E-2</v>
      </c>
      <c r="I46" s="110">
        <f>LN('Lịch sử giá'!I47/'Lịch sử giá'!I46)</f>
        <v>-1.6260520871780291E-2</v>
      </c>
      <c r="J46" s="110">
        <f>LN('Lịch sử giá'!J47/'Lịch sử giá'!J46)</f>
        <v>-1.1300873521692742E-2</v>
      </c>
      <c r="K46" s="110">
        <f>LN('Lịch sử giá'!K47/'Lịch sử giá'!K46)</f>
        <v>-7.5553581368248607E-2</v>
      </c>
      <c r="L46" s="110">
        <f>LN('Lịch sử giá'!L47/'Lịch sử giá'!L46)</f>
        <v>-6.8860849571121652E-2</v>
      </c>
      <c r="M46" s="110">
        <f>LN('Lịch sử giá'!M47/'Lịch sử giá'!M46)</f>
        <v>-8.1177840141535812E-2</v>
      </c>
      <c r="N46" s="110">
        <f>LN('Lịch sử giá'!N47/'Lịch sử giá'!N46)</f>
        <v>-2.5514417868782946E-2</v>
      </c>
      <c r="O46" s="110">
        <f>LN('Lịch sử giá'!O47/'Lịch sử giá'!O46)</f>
        <v>-5.190058658382448E-2</v>
      </c>
      <c r="P46" s="110">
        <f>LN('Lịch sử giá'!P47/'Lịch sử giá'!P46)</f>
        <v>-0.10652263083800363</v>
      </c>
      <c r="Q46" s="110">
        <f>LN('Lịch sử giá'!Q47/'Lịch sử giá'!Q46)</f>
        <v>5.7067780767878551E-2</v>
      </c>
      <c r="R46" s="110">
        <f>LN('Lịch sử giá'!R47/'Lịch sử giá'!R46)</f>
        <v>-4.9781238925958059E-2</v>
      </c>
      <c r="S46" s="110">
        <f>LN('Lịch sử giá'!S47/'Lịch sử giá'!S46)</f>
        <v>-3.3537998564477388E-2</v>
      </c>
      <c r="T46" s="110">
        <f>LN('Lịch sử giá'!T47/'Lịch sử giá'!T46)</f>
        <v>-1.6371637641730181E-2</v>
      </c>
      <c r="U46" s="110">
        <f>LN('Lịch sử giá'!U47/'Lịch sử giá'!U46)</f>
        <v>-0.10447024183984376</v>
      </c>
      <c r="V46" s="111">
        <f>LN('Lịch sử giá'!V47/'Lịch sử giá'!V46)</f>
        <v>-3.2919510911200545E-2</v>
      </c>
    </row>
    <row r="47" spans="1:22" s="109" customFormat="1" ht="15.75">
      <c r="A47" s="102">
        <v>44074</v>
      </c>
      <c r="B47" s="110">
        <f>LN('Lịch sử giá'!B48/'Lịch sử giá'!B47)</f>
        <v>0.12339959369411575</v>
      </c>
      <c r="C47" s="110">
        <f>LN('Lịch sử giá'!C48/'Lịch sử giá'!C47)</f>
        <v>0.17351092711179966</v>
      </c>
      <c r="D47" s="110">
        <f>LN('Lịch sử giá'!D48/'Lịch sử giá'!D47)</f>
        <v>0.18796699484519169</v>
      </c>
      <c r="E47" s="110">
        <f>LN('Lịch sử giá'!E48/'Lịch sử giá'!E47)</f>
        <v>9.9699360223087966E-2</v>
      </c>
      <c r="F47" s="110">
        <f>LN('Lịch sử giá'!F48/'Lịch sử giá'!F47)</f>
        <v>9.8939947854903648E-2</v>
      </c>
      <c r="G47" s="110">
        <f>LN('Lịch sử giá'!G48/'Lịch sử giá'!G47)</f>
        <v>9.7584248797044415E-2</v>
      </c>
      <c r="H47" s="110">
        <f>LN('Lịch sử giá'!H48/'Lịch sử giá'!H47)</f>
        <v>0.13195797577013738</v>
      </c>
      <c r="I47" s="110">
        <f>LN('Lịch sử giá'!I48/'Lịch sử giá'!I47)</f>
        <v>0.21546386463998177</v>
      </c>
      <c r="J47" s="110">
        <f>LN('Lịch sử giá'!J48/'Lịch sử giá'!J47)</f>
        <v>8.3530523536492027E-2</v>
      </c>
      <c r="K47" s="110">
        <f>LN('Lịch sử giá'!K48/'Lịch sử giá'!K47)</f>
        <v>0.16207579335277139</v>
      </c>
      <c r="L47" s="110">
        <f>LN('Lịch sử giá'!L48/'Lịch sử giá'!L47)</f>
        <v>8.535984895115685E-2</v>
      </c>
      <c r="M47" s="110">
        <f>LN('Lịch sử giá'!M48/'Lịch sử giá'!M47)</f>
        <v>0.22609221984928318</v>
      </c>
      <c r="N47" s="110">
        <f>LN('Lịch sử giá'!N48/'Lịch sử giá'!N47)</f>
        <v>0.10648348040245013</v>
      </c>
      <c r="O47" s="110">
        <f>LN('Lịch sử giá'!O48/'Lịch sử giá'!O47)</f>
        <v>0.12296171113483492</v>
      </c>
      <c r="P47" s="110">
        <f>LN('Lịch sử giá'!P48/'Lịch sử giá'!P47)</f>
        <v>0.15082288973458369</v>
      </c>
      <c r="Q47" s="110">
        <f>LN('Lịch sử giá'!Q48/'Lịch sử giá'!Q47)</f>
        <v>0.1285111078963824</v>
      </c>
      <c r="R47" s="110">
        <f>LN('Lịch sử giá'!R48/'Lịch sử giá'!R47)</f>
        <v>8.2862617565730629E-2</v>
      </c>
      <c r="S47" s="110">
        <f>LN('Lịch sử giá'!S48/'Lịch sử giá'!S47)</f>
        <v>0.1109381922426267</v>
      </c>
      <c r="T47" s="110">
        <f>LN('Lịch sử giá'!T48/'Lịch sử giá'!T47)</f>
        <v>0.19246877327086886</v>
      </c>
      <c r="U47" s="110">
        <f>LN('Lịch sử giá'!U48/'Lịch sử giá'!U47)</f>
        <v>0.22425528016690016</v>
      </c>
      <c r="V47" s="111">
        <f>LN('Lịch sử giá'!V48/'Lịch sử giá'!V47)</f>
        <v>9.9197951985217608E-2</v>
      </c>
    </row>
    <row r="48" spans="1:22" s="109" customFormat="1" ht="15.75">
      <c r="A48" s="102">
        <v>44104</v>
      </c>
      <c r="B48" s="110">
        <f>LN('Lịch sử giá'!B49/'Lịch sử giá'!B48)</f>
        <v>7.2652155911740873E-2</v>
      </c>
      <c r="C48" s="110">
        <f>LN('Lịch sử giá'!C49/'Lịch sử giá'!C48)</f>
        <v>0.32566819126786739</v>
      </c>
      <c r="D48" s="110">
        <f>LN('Lịch sử giá'!D49/'Lịch sử giá'!D48)</f>
        <v>0.11376123499417486</v>
      </c>
      <c r="E48" s="110">
        <f>LN('Lịch sử giá'!E49/'Lịch sử giá'!E48)</f>
        <v>3.5846131773135878E-2</v>
      </c>
      <c r="F48" s="110">
        <f>LN('Lịch sử giá'!F49/'Lịch sử giá'!F48)</f>
        <v>-6.9381145613359133E-2</v>
      </c>
      <c r="G48" s="110">
        <f>LN('Lịch sử giá'!G49/'Lịch sử giá'!G48)</f>
        <v>4.2471499401910445E-2</v>
      </c>
      <c r="H48" s="110">
        <f>LN('Lịch sử giá'!H49/'Lịch sử giá'!H48)</f>
        <v>-4.1152321451065439E-3</v>
      </c>
      <c r="I48" s="110">
        <f>LN('Lịch sử giá'!I49/'Lịch sử giá'!I48)</f>
        <v>5.3603399369567338E-2</v>
      </c>
      <c r="J48" s="110">
        <f>LN('Lịch sử giá'!J49/'Lịch sử giá'!J48)</f>
        <v>3.0880884630855001E-2</v>
      </c>
      <c r="K48" s="110">
        <f>LN('Lịch sử giá'!K49/'Lịch sử giá'!K48)</f>
        <v>0.24338931475539302</v>
      </c>
      <c r="L48" s="110">
        <f>LN('Lịch sử giá'!L49/'Lịch sử giá'!L48)</f>
        <v>-7.2993024816116079E-3</v>
      </c>
      <c r="M48" s="110">
        <f>LN('Lịch sử giá'!M49/'Lịch sử giá'!M48)</f>
        <v>0.11038001677192982</v>
      </c>
      <c r="N48" s="110">
        <f>LN('Lịch sử giá'!N49/'Lịch sử giá'!N48)</f>
        <v>1.0050335853501506E-2</v>
      </c>
      <c r="O48" s="110">
        <f>LN('Lịch sử giá'!O49/'Lịch sử giá'!O48)</f>
        <v>-0.10536051565782628</v>
      </c>
      <c r="P48" s="110">
        <f>LN('Lịch sử giá'!P49/'Lịch sử giá'!P48)</f>
        <v>1.4888612493750559E-2</v>
      </c>
      <c r="Q48" s="110">
        <f>LN('Lịch sử giá'!Q49/'Lịch sử giá'!Q48)</f>
        <v>8.5655444578493806E-2</v>
      </c>
      <c r="R48" s="110">
        <f>LN('Lịch sử giá'!R49/'Lịch sử giá'!R48)</f>
        <v>1.3164673772969118E-2</v>
      </c>
      <c r="S48" s="110">
        <f>LN('Lịch sử giá'!S49/'Lịch sử giá'!S48)</f>
        <v>-3.669664979243792E-3</v>
      </c>
      <c r="T48" s="110">
        <f>LN('Lịch sử giá'!T49/'Lịch sử giá'!T48)</f>
        <v>3.2538978769640153E-2</v>
      </c>
      <c r="U48" s="110">
        <f>LN('Lịch sử giá'!U49/'Lịch sử giá'!U48)</f>
        <v>2.6317308317373358E-2</v>
      </c>
      <c r="V48" s="111">
        <f>LN('Lịch sử giá'!V49/'Lịch sử giá'!V48)</f>
        <v>2.6371809126797572E-2</v>
      </c>
    </row>
    <row r="49" spans="1:22" s="109" customFormat="1" ht="15.75">
      <c r="A49" s="102">
        <v>44134</v>
      </c>
      <c r="B49" s="110">
        <f>LN('Lịch sử giá'!B50/'Lịch sử giá'!B49)</f>
        <v>0.14600067546533388</v>
      </c>
      <c r="C49" s="110">
        <f>LN('Lịch sử giá'!C50/'Lịch sử giá'!C49)</f>
        <v>-4.2420715883952138E-2</v>
      </c>
      <c r="D49" s="110">
        <f>LN('Lịch sử giá'!D50/'Lịch sử giá'!D49)</f>
        <v>-2.0527875903625911E-2</v>
      </c>
      <c r="E49" s="110">
        <f>LN('Lịch sử giá'!E50/'Lịch sử giá'!E49)</f>
        <v>-2.4956731973867507E-2</v>
      </c>
      <c r="F49" s="110">
        <f>LN('Lịch sử giá'!F50/'Lịch sử giá'!F49)</f>
        <v>5.4782346192206587E-2</v>
      </c>
      <c r="G49" s="110">
        <f>LN('Lịch sử giá'!G50/'Lịch sử giá'!G49)</f>
        <v>0.12981260162149055</v>
      </c>
      <c r="H49" s="110">
        <f>LN('Lịch sử giá'!H50/'Lịch sử giá'!H49)</f>
        <v>3.0459207484708439E-2</v>
      </c>
      <c r="I49" s="110">
        <f>LN('Lịch sử giá'!I50/'Lịch sử giá'!I49)</f>
        <v>-2.1097828964635926E-2</v>
      </c>
      <c r="J49" s="110">
        <f>LN('Lịch sử giá'!J50/'Lịch sử giá'!J49)</f>
        <v>2.5171298570797959E-2</v>
      </c>
      <c r="K49" s="110">
        <f>LN('Lịch sử giá'!K50/'Lịch sử giá'!K49)</f>
        <v>4.2105325363434578E-3</v>
      </c>
      <c r="L49" s="110">
        <f>LN('Lịch sử giá'!L50/'Lịch sử giá'!L49)</f>
        <v>0.43078291609245434</v>
      </c>
      <c r="M49" s="110">
        <f>LN('Lịch sử giá'!M50/'Lịch sử giá'!M49)</f>
        <v>3.8277558697644661E-3</v>
      </c>
      <c r="N49" s="110">
        <f>LN('Lịch sử giá'!N50/'Lịch sử giá'!N49)</f>
        <v>2.9558802241544429E-2</v>
      </c>
      <c r="O49" s="110">
        <f>LN('Lịch sử giá'!O50/'Lịch sử giá'!O49)</f>
        <v>-8.2988028146950658E-3</v>
      </c>
      <c r="P49" s="110">
        <f>LN('Lịch sử giá'!P50/'Lịch sử giá'!P49)</f>
        <v>0.13209357785489514</v>
      </c>
      <c r="Q49" s="110">
        <f>LN('Lịch sử giá'!Q50/'Lịch sử giá'!Q49)</f>
        <v>4.141883130311675E-2</v>
      </c>
      <c r="R49" s="110">
        <f>LN('Lịch sử giá'!R50/'Lịch sử giá'!R49)</f>
        <v>-1.3164673772969197E-2</v>
      </c>
      <c r="S49" s="110">
        <f>LN('Lịch sử giá'!S50/'Lịch sử giá'!S49)</f>
        <v>-5.8023678267108358E-2</v>
      </c>
      <c r="T49" s="110">
        <f>LN('Lịch sử giá'!T50/'Lịch sử giá'!T49)</f>
        <v>8.825224957761979E-2</v>
      </c>
      <c r="U49" s="110">
        <f>LN('Lịch sử giá'!U50/'Lịch sử giá'!U49)</f>
        <v>-6.252035698133393E-2</v>
      </c>
      <c r="V49" s="111">
        <f>LN('Lịch sử giá'!V50/'Lịch sử giá'!V49)</f>
        <v>2.2134755596588503E-2</v>
      </c>
    </row>
    <row r="50" spans="1:22" s="109" customFormat="1" ht="15.75">
      <c r="A50" s="102">
        <v>44165</v>
      </c>
      <c r="B50" s="110">
        <f>LN('Lịch sử giá'!B51/'Lịch sử giá'!B50)</f>
        <v>0.15016801086376586</v>
      </c>
      <c r="C50" s="110">
        <f>LN('Lịch sử giá'!C51/'Lịch sử giá'!C50)</f>
        <v>0.18232155679395459</v>
      </c>
      <c r="D50" s="110">
        <f>LN('Lịch sử giá'!D51/'Lịch sử giá'!D50)</f>
        <v>0.36819266339267404</v>
      </c>
      <c r="E50" s="110">
        <f>LN('Lịch sử giá'!E51/'Lịch sử giá'!E50)</f>
        <v>0.13488426768994216</v>
      </c>
      <c r="F50" s="110">
        <f>LN('Lịch sử giá'!F51/'Lịch sử giá'!F50)</f>
        <v>5.7158413839948623E-2</v>
      </c>
      <c r="G50" s="110">
        <f>LN('Lịch sử giá'!G51/'Lịch sử giá'!G50)</f>
        <v>0.18954540188327432</v>
      </c>
      <c r="H50" s="110">
        <f>LN('Lịch sử giá'!H51/'Lịch sử giá'!H50)</f>
        <v>6.7658648473814864E-2</v>
      </c>
      <c r="I50" s="110">
        <f>LN('Lịch sử giá'!I51/'Lịch sử giá'!I50)</f>
        <v>0.17016552580430291</v>
      </c>
      <c r="J50" s="110">
        <f>LN('Lịch sử giá'!J51/'Lịch sử giá'!J50)</f>
        <v>0.20529819099419924</v>
      </c>
      <c r="K50" s="110">
        <f>LN('Lịch sử giá'!K51/'Lịch sử giá'!K50)</f>
        <v>0</v>
      </c>
      <c r="L50" s="110">
        <f>LN('Lịch sử giá'!L51/'Lịch sử giá'!L50)</f>
        <v>-2.409755157906053E-2</v>
      </c>
      <c r="M50" s="110">
        <f>LN('Lịch sử giá'!M51/'Lịch sử giá'!M50)</f>
        <v>0.10249107322987355</v>
      </c>
      <c r="N50" s="110">
        <f>LN('Lịch sử giá'!N51/'Lịch sử giá'!N50)</f>
        <v>7.2997786083547761E-2</v>
      </c>
      <c r="O50" s="110">
        <f>LN('Lịch sử giá'!O51/'Lịch sử giá'!O50)</f>
        <v>1.8501392881613734E-3</v>
      </c>
      <c r="P50" s="110">
        <f>LN('Lịch sử giá'!P51/'Lịch sử giá'!P50)</f>
        <v>0.11409920030595613</v>
      </c>
      <c r="Q50" s="110">
        <f>LN('Lịch sử giá'!Q51/'Lịch sử giá'!Q50)</f>
        <v>0.14833770397835613</v>
      </c>
      <c r="R50" s="110">
        <f>LN('Lịch sử giá'!R51/'Lịch sử giá'!R50)</f>
        <v>0.11375718747298505</v>
      </c>
      <c r="S50" s="110">
        <f>LN('Lịch sử giá'!S51/'Lịch sử giá'!S50)</f>
        <v>7.9842349100110066E-2</v>
      </c>
      <c r="T50" s="110">
        <f>LN('Lịch sử giá'!T51/'Lịch sử giá'!T50)</f>
        <v>0.14426840242215538</v>
      </c>
      <c r="U50" s="110">
        <f>LN('Lịch sử giá'!U51/'Lịch sử giá'!U50)</f>
        <v>0.17693070815907824</v>
      </c>
      <c r="V50" s="111">
        <f>LN('Lịch sử giá'!V51/'Lịch sử giá'!V50)</f>
        <v>8.052882892174644E-2</v>
      </c>
    </row>
    <row r="51" spans="1:22" s="109" customFormat="1" ht="15.75">
      <c r="A51" s="102">
        <v>44196</v>
      </c>
      <c r="B51" s="110">
        <f>LN('Lịch sử giá'!B52/'Lịch sử giá'!B51)</f>
        <v>0.15495518509993386</v>
      </c>
      <c r="C51" s="110">
        <f>LN('Lịch sử giá'!C52/'Lịch sử giá'!C51)</f>
        <v>0.20746573859498002</v>
      </c>
      <c r="D51" s="110">
        <f>LN('Lịch sử giá'!D52/'Lịch sử giá'!D51)</f>
        <v>0.25572700654356856</v>
      </c>
      <c r="E51" s="110">
        <f>LN('Lịch sử giá'!E52/'Lịch sử giá'!E51)</f>
        <v>0.43141363197586657</v>
      </c>
      <c r="F51" s="110">
        <f>LN('Lịch sử giá'!F52/'Lịch sử giá'!F51)</f>
        <v>2.4014876203873919E-2</v>
      </c>
      <c r="G51" s="110">
        <f>LN('Lịch sử giá'!G52/'Lịch sử giá'!G51)</f>
        <v>0.13756889981222101</v>
      </c>
      <c r="H51" s="110">
        <f>LN('Lịch sử giá'!H52/'Lịch sử giá'!H51)</f>
        <v>9.1053042681006099E-2</v>
      </c>
      <c r="I51" s="110">
        <f>LN('Lịch sử giá'!I52/'Lịch sử giá'!I51)</f>
        <v>0.15927626767607062</v>
      </c>
      <c r="J51" s="110">
        <f>LN('Lịch sử giá'!J52/'Lịch sử giá'!J51)</f>
        <v>0.14899296158925682</v>
      </c>
      <c r="K51" s="110">
        <f>LN('Lịch sử giá'!K52/'Lịch sử giá'!K51)</f>
        <v>0.16251892949777494</v>
      </c>
      <c r="L51" s="110">
        <f>LN('Lịch sử giá'!L52/'Lịch sử giá'!L51)</f>
        <v>8.0792895255605846E-2</v>
      </c>
      <c r="M51" s="110">
        <f>LN('Lịch sử giá'!M52/'Lịch sử giá'!M51)</f>
        <v>2.4692612590371414E-2</v>
      </c>
      <c r="N51" s="110">
        <f>LN('Lịch sử giá'!N52/'Lịch sử giá'!N51)</f>
        <v>6.465133065881444E-2</v>
      </c>
      <c r="O51" s="110">
        <f>LN('Lịch sử giá'!O52/'Lịch sử giá'!O51)</f>
        <v>5.5299680094611755E-3</v>
      </c>
      <c r="P51" s="110">
        <f>LN('Lịch sử giá'!P52/'Lịch sử giá'!P51)</f>
        <v>3.9023201795736241E-2</v>
      </c>
      <c r="Q51" s="110">
        <f>LN('Lịch sử giá'!Q52/'Lịch sử giá'!Q51)</f>
        <v>7.1758380700714117E-3</v>
      </c>
      <c r="R51" s="110">
        <f>LN('Lịch sử giá'!R52/'Lịch sử giá'!R51)</f>
        <v>5.9465947067649579E-2</v>
      </c>
      <c r="S51" s="110">
        <f>LN('Lịch sử giá'!S52/'Lịch sử giá'!S51)</f>
        <v>0.1554044229853129</v>
      </c>
      <c r="T51" s="110">
        <f>LN('Lịch sử giá'!T52/'Lịch sử giá'!T51)</f>
        <v>4.5082141457303083E-2</v>
      </c>
      <c r="U51" s="110">
        <f>LN('Lịch sử giá'!U52/'Lịch sử giá'!U51)</f>
        <v>0.22391545409279159</v>
      </c>
      <c r="V51" s="111">
        <f>LN('Lịch sử giá'!V52/'Lịch sử giá'!V51)</f>
        <v>9.5746920781284744E-2</v>
      </c>
    </row>
    <row r="52" spans="1:22" s="109" customFormat="1" ht="15.75">
      <c r="A52" s="102">
        <v>44225</v>
      </c>
      <c r="B52" s="110">
        <f>LN('Lịch sử giá'!B53/'Lịch sử giá'!B52)</f>
        <v>-5.7087459144491925E-2</v>
      </c>
      <c r="C52" s="110">
        <f>LN('Lịch sử giá'!C53/'Lịch sử giá'!C52)</f>
        <v>5.2759487623761751E-2</v>
      </c>
      <c r="D52" s="110">
        <f>LN('Lịch sử giá'!D53/'Lịch sử giá'!D52)</f>
        <v>3.278982282299097E-2</v>
      </c>
      <c r="E52" s="110">
        <f>LN('Lịch sử giá'!E53/'Lịch sử giá'!E52)</f>
        <v>0.41227248633618951</v>
      </c>
      <c r="F52" s="110">
        <f>LN('Lịch sử giá'!F53/'Lịch sử giá'!F52)</f>
        <v>9.6849825989917621E-2</v>
      </c>
      <c r="G52" s="110">
        <f>LN('Lịch sử giá'!G53/'Lịch sử giá'!G52)</f>
        <v>0.20606950468116253</v>
      </c>
      <c r="H52" s="110">
        <f>LN('Lịch sử giá'!H53/'Lịch sử giá'!H52)</f>
        <v>8.5018493767777259E-2</v>
      </c>
      <c r="I52" s="110">
        <f>LN('Lịch sử giá'!I53/'Lịch sử giá'!I52)</f>
        <v>-8.9803894861303135E-2</v>
      </c>
      <c r="J52" s="110">
        <f>LN('Lịch sử giá'!J53/'Lịch sử giá'!J52)</f>
        <v>-0.15176688847198208</v>
      </c>
      <c r="K52" s="110">
        <f>LN('Lịch sử giá'!K53/'Lịch sử giá'!K52)</f>
        <v>-9.3526058010823476E-2</v>
      </c>
      <c r="L52" s="110">
        <f>LN('Lịch sử giá'!L53/'Lịch sử giá'!L52)</f>
        <v>-3.8995766577144327E-2</v>
      </c>
      <c r="M52" s="110">
        <f>LN('Lịch sử giá'!M53/'Lịch sử giá'!M52)</f>
        <v>0.10980813764142566</v>
      </c>
      <c r="N52" s="110">
        <f>LN('Lịch sử giá'!N53/'Lịch sử giá'!N52)</f>
        <v>5.9130523226822461E-2</v>
      </c>
      <c r="O52" s="110">
        <f>LN('Lịch sử giá'!O53/'Lịch sử giá'!O52)</f>
        <v>-5.6725981400777545E-2</v>
      </c>
      <c r="P52" s="110">
        <f>LN('Lịch sử giá'!P53/'Lịch sử giá'!P52)</f>
        <v>2.5595547188963723E-2</v>
      </c>
      <c r="Q52" s="110">
        <f>LN('Lịch sử giá'!Q53/'Lịch sử giá'!Q52)</f>
        <v>4.1026263747806289E-2</v>
      </c>
      <c r="R52" s="110">
        <f>LN('Lịch sử giá'!R53/'Lịch sử giá'!R52)</f>
        <v>-5.1347056383208814E-2</v>
      </c>
      <c r="S52" s="110">
        <f>LN('Lịch sử giá'!S53/'Lịch sử giá'!S52)</f>
        <v>-0.18273918052105179</v>
      </c>
      <c r="T52" s="110">
        <f>LN('Lịch sử giá'!T53/'Lịch sử giá'!T52)</f>
        <v>-0.12468086660031301</v>
      </c>
      <c r="U52" s="110">
        <f>LN('Lịch sử giá'!U53/'Lịch sử giá'!U52)</f>
        <v>8.8553397341445031E-2</v>
      </c>
      <c r="V52" s="111">
        <f>LN('Lịch sử giá'!V53/'Lịch sử giá'!V52)</f>
        <v>-4.375651727540552E-2</v>
      </c>
    </row>
    <row r="53" spans="1:22" s="109" customFormat="1" ht="15.75">
      <c r="A53" s="102">
        <v>44253</v>
      </c>
      <c r="B53" s="110">
        <f>LN('Lịch sử giá'!B54/'Lịch sử giá'!B53)</f>
        <v>0.15250729408352834</v>
      </c>
      <c r="C53" s="110">
        <f>LN('Lịch sử giá'!C54/'Lịch sử giá'!C53)</f>
        <v>0.12654774887727013</v>
      </c>
      <c r="D53" s="110">
        <f>LN('Lịch sử giá'!D54/'Lịch sử giá'!D53)</f>
        <v>0.12989575945410481</v>
      </c>
      <c r="E53" s="110">
        <f>LN('Lịch sử giá'!E54/'Lịch sử giá'!E53)</f>
        <v>5.6706027494300884E-2</v>
      </c>
      <c r="F53" s="110">
        <f>LN('Lịch sử giá'!F54/'Lịch sử giá'!F53)</f>
        <v>0.10781902949603364</v>
      </c>
      <c r="G53" s="110">
        <f>LN('Lịch sử giá'!G54/'Lịch sử giá'!G53)</f>
        <v>0.18147043046771877</v>
      </c>
      <c r="H53" s="110">
        <f>LN('Lịch sử giá'!H54/'Lịch sử giá'!H53)</f>
        <v>0</v>
      </c>
      <c r="I53" s="110">
        <f>LN('Lịch sử giá'!I54/'Lịch sử giá'!I53)</f>
        <v>0.11703704531966207</v>
      </c>
      <c r="J53" s="110">
        <f>LN('Lịch sử giá'!J54/'Lịch sử giá'!J53)</f>
        <v>0.18694050265024911</v>
      </c>
      <c r="K53" s="110">
        <f>LN('Lịch sử giá'!K54/'Lịch sử giá'!K53)</f>
        <v>5.7158413839948623E-2</v>
      </c>
      <c r="L53" s="110">
        <f>LN('Lịch sử giá'!L54/'Lịch sử giá'!L53)</f>
        <v>5.4621084480225159E-2</v>
      </c>
      <c r="M53" s="110">
        <f>LN('Lịch sử giá'!M54/'Lịch sử giá'!M53)</f>
        <v>1.7183837100267718E-2</v>
      </c>
      <c r="N53" s="110">
        <f>LN('Lịch sử giá'!N54/'Lịch sử giá'!N53)</f>
        <v>0.1950000150537255</v>
      </c>
      <c r="O53" s="110">
        <f>LN('Lịch sử giá'!O54/'Lịch sử giá'!O53)</f>
        <v>1.9268418865876987E-2</v>
      </c>
      <c r="P53" s="110">
        <f>LN('Lịch sử giá'!P54/'Lịch sử giá'!P53)</f>
        <v>2.142939145589921E-2</v>
      </c>
      <c r="Q53" s="110">
        <f>LN('Lịch sử giá'!Q54/'Lịch sử giá'!Q53)</f>
        <v>0.10594857800938065</v>
      </c>
      <c r="R53" s="110">
        <f>LN('Lịch sử giá'!R54/'Lịch sử giá'!R53)</f>
        <v>5.4406722207164263E-2</v>
      </c>
      <c r="S53" s="110">
        <f>LN('Lịch sử giá'!S54/'Lịch sử giá'!S53)</f>
        <v>8.8680826459170803E-2</v>
      </c>
      <c r="T53" s="110">
        <f>LN('Lịch sử giá'!T54/'Lịch sử giá'!T53)</f>
        <v>0.1999252612122025</v>
      </c>
      <c r="U53" s="110">
        <f>LN('Lịch sử giá'!U54/'Lịch sử giá'!U53)</f>
        <v>0.27917138278387232</v>
      </c>
      <c r="V53" s="111">
        <f>LN('Lịch sử giá'!V54/'Lịch sử giá'!V53)</f>
        <v>0.10062953070343703</v>
      </c>
    </row>
    <row r="54" spans="1:22" s="109" customFormat="1" ht="15.75">
      <c r="A54" s="102">
        <v>44286</v>
      </c>
      <c r="B54" s="110">
        <f>LN('Lịch sử giá'!B55/'Lịch sử giá'!B54)</f>
        <v>2.5975486403260736E-2</v>
      </c>
      <c r="C54" s="110">
        <f>LN('Lịch sử giá'!C55/'Lịch sử giá'!C54)</f>
        <v>6.924441217498381E-2</v>
      </c>
      <c r="D54" s="110">
        <f>LN('Lịch sử giá'!D55/'Lịch sử giá'!D54)</f>
        <v>0.30314267555815916</v>
      </c>
      <c r="E54" s="110">
        <f>LN('Lịch sử giá'!E55/'Lịch sử giá'!E54)</f>
        <v>-2.2035888399180449E-2</v>
      </c>
      <c r="F54" s="110">
        <f>LN('Lịch sử giá'!F55/'Lịch sử giá'!F54)</f>
        <v>-3.3711057342311723E-2</v>
      </c>
      <c r="G54" s="110">
        <f>LN('Lịch sử giá'!G55/'Lịch sử giá'!G54)</f>
        <v>2.1054224799642363E-2</v>
      </c>
      <c r="H54" s="110">
        <f>LN('Lịch sử giá'!H55/'Lịch sử giá'!H54)</f>
        <v>-4.6520015634892817E-2</v>
      </c>
      <c r="I54" s="110">
        <f>LN('Lịch sử giá'!I55/'Lịch sử giá'!I54)</f>
        <v>1.0393560527263302E-2</v>
      </c>
      <c r="J54" s="110">
        <f>LN('Lịch sử giá'!J55/'Lịch sử giá'!J54)</f>
        <v>3.174869831458027E-2</v>
      </c>
      <c r="K54" s="110">
        <f>LN('Lịch sử giá'!K55/'Lịch sử giá'!K54)</f>
        <v>0.25664996320405237</v>
      </c>
      <c r="L54" s="110">
        <f>LN('Lịch sử giá'!L55/'Lịch sử giá'!L54)</f>
        <v>2.4071184095439783E-2</v>
      </c>
      <c r="M54" s="110">
        <f>LN('Lịch sử giá'!M55/'Lịch sử giá'!M54)</f>
        <v>-4.0050687116031207E-2</v>
      </c>
      <c r="N54" s="110">
        <f>LN('Lịch sử giá'!N55/'Lịch sử giá'!N54)</f>
        <v>1.9493794681001132E-2</v>
      </c>
      <c r="O54" s="110">
        <f>LN('Lịch sử giá'!O55/'Lịch sử giá'!O54)</f>
        <v>-6.3012967828734043E-2</v>
      </c>
      <c r="P54" s="110">
        <f>LN('Lịch sử giá'!P55/'Lịch sử giá'!P54)</f>
        <v>-4.7225589541735032E-3</v>
      </c>
      <c r="Q54" s="110">
        <f>LN('Lịch sử giá'!Q55/'Lịch sử giá'!Q54)</f>
        <v>-7.5058090990042264E-2</v>
      </c>
      <c r="R54" s="110">
        <f>LN('Lịch sử giá'!R55/'Lịch sử giá'!R54)</f>
        <v>-3.523680609944408E-2</v>
      </c>
      <c r="S54" s="110">
        <f>LN('Lịch sử giá'!S55/'Lịch sử giá'!S54)</f>
        <v>-1.5020501924724251E-2</v>
      </c>
      <c r="T54" s="110">
        <f>LN('Lịch sử giá'!T55/'Lịch sử giá'!T54)</f>
        <v>7.4970495567202089E-2</v>
      </c>
      <c r="U54" s="110">
        <f>LN('Lịch sử giá'!U55/'Lịch sử giá'!U54)</f>
        <v>-3.4786116085415542E-2</v>
      </c>
      <c r="V54" s="111">
        <f>LN('Lịch sử giá'!V55/'Lịch sử giá'!V54)</f>
        <v>1.9467458869230698E-2</v>
      </c>
    </row>
    <row r="55" spans="1:22" s="109" customFormat="1" ht="15.75">
      <c r="A55" s="102">
        <v>44315</v>
      </c>
      <c r="B55" s="110">
        <f>LN('Lịch sử giá'!B56/'Lịch sử giá'!B55)</f>
        <v>0.21628246093426451</v>
      </c>
      <c r="C55" s="110">
        <f>LN('Lịch sử giá'!C56/'Lịch sử giá'!C55)</f>
        <v>0.1115035801715403</v>
      </c>
      <c r="D55" s="110">
        <f>LN('Lịch sử giá'!D56/'Lịch sử giá'!D55)</f>
        <v>8.4218079084017017E-2</v>
      </c>
      <c r="E55" s="110">
        <f>LN('Lịch sử giá'!E56/'Lịch sử giá'!E55)</f>
        <v>-1.8519047767237527E-2</v>
      </c>
      <c r="F55" s="110">
        <f>LN('Lịch sử giá'!F56/'Lịch sử giá'!F55)</f>
        <v>3.6469679781391415E-2</v>
      </c>
      <c r="G55" s="110">
        <f>LN('Lịch sử giá'!G56/'Lịch sử giá'!G55)</f>
        <v>-2.3185215340573877E-2</v>
      </c>
      <c r="H55" s="110">
        <f>LN('Lịch sử giá'!H56/'Lịch sử giá'!H55)</f>
        <v>0.1435386241007679</v>
      </c>
      <c r="I55" s="110">
        <f>LN('Lịch sử giá'!I56/'Lịch sử giá'!I55)</f>
        <v>1.0286644710275525E-2</v>
      </c>
      <c r="J55" s="110">
        <f>LN('Lịch sử giá'!J56/'Lịch sử giá'!J55)</f>
        <v>-0.11332868530700312</v>
      </c>
      <c r="K55" s="110">
        <f>LN('Lịch sử giá'!K56/'Lịch sử giá'!K55)</f>
        <v>-8.6750926408654866E-2</v>
      </c>
      <c r="L55" s="110">
        <f>LN('Lịch sử giá'!L56/'Lịch sử giá'!L55)</f>
        <v>5.7758834152192469E-2</v>
      </c>
      <c r="M55" s="110">
        <f>LN('Lịch sử giá'!M56/'Lịch sử giá'!M55)</f>
        <v>8.282632758223625E-2</v>
      </c>
      <c r="N55" s="110">
        <f>LN('Lịch sử giá'!N56/'Lịch sử giá'!N55)</f>
        <v>4.0358566690844241E-2</v>
      </c>
      <c r="O55" s="110">
        <f>LN('Lịch sử giá'!O56/'Lịch sử giá'!O55)</f>
        <v>-5.1079367763566433E-2</v>
      </c>
      <c r="P55" s="110">
        <f>LN('Lịch sử giá'!P56/'Lịch sử giá'!P55)</f>
        <v>0.1482159443074437</v>
      </c>
      <c r="Q55" s="110">
        <f>LN('Lịch sử giá'!Q56/'Lịch sử giá'!Q55)</f>
        <v>1.8832948333092178E-2</v>
      </c>
      <c r="R55" s="110">
        <f>LN('Lịch sử giá'!R56/'Lịch sử giá'!R55)</f>
        <v>5.3400776727115247E-2</v>
      </c>
      <c r="S55" s="110">
        <f>LN('Lịch sử giá'!S56/'Lịch sử giá'!S55)</f>
        <v>-4.6464581725956619E-2</v>
      </c>
      <c r="T55" s="110">
        <f>LN('Lịch sử giá'!T56/'Lịch sử giá'!T55)</f>
        <v>1.6059641017345399E-2</v>
      </c>
      <c r="U55" s="110">
        <f>LN('Lịch sử giá'!U56/'Lịch sử giá'!U55)</f>
        <v>-0.16564719065158515</v>
      </c>
      <c r="V55" s="111">
        <f>LN('Lịch sử giá'!V56/'Lịch sử giá'!V55)</f>
        <v>3.9456663497641681E-2</v>
      </c>
    </row>
    <row r="56" spans="1:22" s="109" customFormat="1" ht="15.75">
      <c r="A56" s="102">
        <v>44347</v>
      </c>
      <c r="B56" s="110">
        <f>LN('Lịch sử giá'!B57/'Lịch sử giá'!B56)</f>
        <v>-9.7550208310548933E-2</v>
      </c>
      <c r="C56" s="110">
        <f>LN('Lịch sử giá'!C57/'Lịch sử giá'!C56)</f>
        <v>0.32402159474242492</v>
      </c>
      <c r="D56" s="110">
        <f>LN('Lịch sử giá'!D57/'Lịch sử giá'!D56)</f>
        <v>0.23689472292703412</v>
      </c>
      <c r="E56" s="110">
        <f>LN('Lịch sử giá'!E57/'Lịch sử giá'!E56)</f>
        <v>-0.11744931297683034</v>
      </c>
      <c r="F56" s="110">
        <f>LN('Lịch sử giá'!F57/'Lịch sử giá'!F56)</f>
        <v>7.1743904858841315E-2</v>
      </c>
      <c r="G56" s="110">
        <f>LN('Lịch sử giá'!G57/'Lịch sử giá'!G56)</f>
        <v>0.17733315707340916</v>
      </c>
      <c r="H56" s="110">
        <f>LN('Lịch sử giá'!H57/'Lịch sử giá'!H56)</f>
        <v>0.1154094290352093</v>
      </c>
      <c r="I56" s="110">
        <f>LN('Lịch sử giá'!I57/'Lịch sử giá'!I56)</f>
        <v>8.0042707673536356E-2</v>
      </c>
      <c r="J56" s="110">
        <f>LN('Lịch sử giá'!J57/'Lịch sử giá'!J56)</f>
        <v>-5.0125418235442863E-3</v>
      </c>
      <c r="K56" s="110">
        <f>LN('Lịch sử giá'!K57/'Lịch sử giá'!K56)</f>
        <v>4.8790164169432049E-2</v>
      </c>
      <c r="L56" s="110">
        <f>LN('Lịch sử giá'!L57/'Lịch sử giá'!L56)</f>
        <v>0.11642156505806239</v>
      </c>
      <c r="M56" s="110">
        <f>LN('Lịch sử giá'!M57/'Lịch sử giá'!M56)</f>
        <v>-1.7180093277241317E-2</v>
      </c>
      <c r="N56" s="110">
        <f>LN('Lịch sử giá'!N57/'Lịch sử giá'!N56)</f>
        <v>0.19073272547201864</v>
      </c>
      <c r="O56" s="110">
        <f>LN('Lịch sử giá'!O57/'Lịch sử giá'!O56)</f>
        <v>-3.2611585588760893E-2</v>
      </c>
      <c r="P56" s="110">
        <f>LN('Lịch sử giá'!P57/'Lịch sử giá'!P56)</f>
        <v>2.9162448688991375E-2</v>
      </c>
      <c r="Q56" s="110">
        <f>LN('Lịch sử giá'!Q57/'Lịch sử giá'!Q56)</f>
        <v>8.2336286660635805E-2</v>
      </c>
      <c r="R56" s="110">
        <f>LN('Lịch sử giá'!R57/'Lịch sử giá'!R56)</f>
        <v>-1.4098924379501648E-2</v>
      </c>
      <c r="S56" s="110">
        <f>LN('Lịch sử giá'!S57/'Lịch sử giá'!S56)</f>
        <v>0.17210696338423626</v>
      </c>
      <c r="T56" s="110">
        <f>LN('Lịch sử giá'!T57/'Lịch sử giá'!T56)</f>
        <v>0.26349484683777719</v>
      </c>
      <c r="U56" s="110">
        <f>LN('Lịch sử giá'!U57/'Lịch sử giá'!U56)</f>
        <v>0.12960725416838825</v>
      </c>
      <c r="V56" s="111">
        <f>LN('Lịch sử giá'!V57/'Lịch sử giá'!V56)</f>
        <v>6.9092377854768725E-2</v>
      </c>
    </row>
    <row r="57" spans="1:22" s="109" customFormat="1" ht="15.75">
      <c r="A57" s="102">
        <v>44377</v>
      </c>
      <c r="B57" s="110">
        <f>LN('Lịch sử giá'!B58/'Lịch sử giá'!B57)</f>
        <v>-2.3033647877626233E-2</v>
      </c>
      <c r="C57" s="110">
        <f>LN('Lịch sử giá'!C58/'Lịch sử giá'!C57)</f>
        <v>-4.6628493153033572E-2</v>
      </c>
      <c r="D57" s="110">
        <f>LN('Lịch sử giá'!D58/'Lịch sử giá'!D57)</f>
        <v>7.4541435532853806E-2</v>
      </c>
      <c r="E57" s="110">
        <f>LN('Lịch sử giá'!E58/'Lịch sử giá'!E57)</f>
        <v>0.14250006260728301</v>
      </c>
      <c r="F57" s="110">
        <f>LN('Lịch sử giá'!F58/'Lịch sử giá'!F57)</f>
        <v>0</v>
      </c>
      <c r="G57" s="110">
        <f>LN('Lịch sử giá'!G58/'Lịch sử giá'!G57)</f>
        <v>-0.15414794173283516</v>
      </c>
      <c r="H57" s="110">
        <f>LN('Lịch sử giá'!H58/'Lịch sử giá'!H57)</f>
        <v>-4.9360669081739542E-2</v>
      </c>
      <c r="I57" s="110">
        <f>LN('Lịch sử giá'!I58/'Lịch sử giá'!I57)</f>
        <v>0.14893176395146659</v>
      </c>
      <c r="J57" s="110">
        <f>LN('Lịch sử giá'!J58/'Lịch sử giá'!J57)</f>
        <v>5.3802705992976194E-2</v>
      </c>
      <c r="K57" s="110">
        <f>LN('Lịch sử giá'!K58/'Lịch sử giá'!K57)</f>
        <v>0.22314355131420976</v>
      </c>
      <c r="L57" s="110">
        <f>LN('Lịch sử giá'!L58/'Lịch sử giá'!L57)</f>
        <v>1.1738283764549431E-2</v>
      </c>
      <c r="M57" s="110">
        <f>LN('Lịch sử giá'!M58/'Lịch sử giá'!M57)</f>
        <v>9.3010195218883249E-2</v>
      </c>
      <c r="N57" s="110">
        <f>LN('Lịch sử giá'!N58/'Lịch sử giá'!N57)</f>
        <v>-0.10660973505825826</v>
      </c>
      <c r="O57" s="110">
        <f>LN('Lịch sử giá'!O58/'Lịch sử giá'!O57)</f>
        <v>-1.105583307749644E-3</v>
      </c>
      <c r="P57" s="110">
        <f>LN('Lịch sử giá'!P58/'Lịch sử giá'!P57)</f>
        <v>-7.9602410383884277E-3</v>
      </c>
      <c r="Q57" s="110">
        <f>LN('Lịch sử giá'!Q58/'Lịch sử giá'!Q57)</f>
        <v>-8.6281812233382302E-3</v>
      </c>
      <c r="R57" s="110">
        <f>LN('Lịch sử giá'!R58/'Lịch sử giá'!R57)</f>
        <v>0.16596127368874769</v>
      </c>
      <c r="S57" s="110">
        <f>LN('Lịch sử giá'!S58/'Lịch sử giá'!S57)</f>
        <v>-3.0226376148792315E-2</v>
      </c>
      <c r="T57" s="110">
        <f>LN('Lịch sử giá'!T58/'Lịch sử giá'!T57)</f>
        <v>-7.5614727005764749E-3</v>
      </c>
      <c r="U57" s="110">
        <f>LN('Lịch sử giá'!U58/'Lịch sử giá'!U57)</f>
        <v>9.1324835632724723E-3</v>
      </c>
      <c r="V57" s="111">
        <f>LN('Lịch sử giá'!V58/'Lịch sử giá'!V57)</f>
        <v>5.8849105513882109E-2</v>
      </c>
    </row>
    <row r="58" spans="1:22" s="109" customFormat="1" ht="15.75">
      <c r="A58" s="102">
        <v>44407</v>
      </c>
      <c r="B58" s="110">
        <f>LN('Lịch sử giá'!B59/'Lịch sử giá'!B58)</f>
        <v>-8.2959578968659714E-2</v>
      </c>
      <c r="C58" s="110">
        <f>LN('Lịch sử giá'!C59/'Lịch sử giá'!C58)</f>
        <v>-0.1136151225076058</v>
      </c>
      <c r="D58" s="110">
        <f>LN('Lịch sử giá'!D59/'Lịch sử giá'!D58)</f>
        <v>-5.2034859123054118E-2</v>
      </c>
      <c r="E58" s="110">
        <f>LN('Lịch sử giá'!E59/'Lịch sử giá'!E58)</f>
        <v>-0.10564990938000222</v>
      </c>
      <c r="F58" s="110">
        <f>LN('Lịch sử giá'!F59/'Lịch sử giá'!F58)</f>
        <v>9.6475002300618021E-2</v>
      </c>
      <c r="G58" s="110">
        <f>LN('Lịch sử giá'!G59/'Lịch sử giá'!G58)</f>
        <v>-0.10768130459471592</v>
      </c>
      <c r="H58" s="110">
        <f>LN('Lịch sử giá'!H59/'Lịch sử giá'!H58)</f>
        <v>8.0554714238405586E-2</v>
      </c>
      <c r="I58" s="110">
        <f>LN('Lịch sử giá'!I59/'Lịch sử giá'!I58)</f>
        <v>7.0696845255298818E-2</v>
      </c>
      <c r="J58" s="110">
        <f>LN('Lịch sử giá'!J59/'Lịch sử giá'!J58)</f>
        <v>-0.12405264866997888</v>
      </c>
      <c r="K58" s="110">
        <f>LN('Lịch sử giá'!K59/'Lịch sử giá'!K58)</f>
        <v>-4.6293283970844749E-2</v>
      </c>
      <c r="L58" s="110">
        <f>LN('Lịch sử giá'!L59/'Lịch sử giá'!L58)</f>
        <v>0.19214745094524574</v>
      </c>
      <c r="M58" s="110">
        <f>LN('Lịch sử giá'!M59/'Lịch sử giá'!M58)</f>
        <v>8.0852096629094969E-2</v>
      </c>
      <c r="N58" s="110">
        <f>LN('Lịch sử giá'!N59/'Lịch sử giá'!N58)</f>
        <v>7.2320661579626078E-2</v>
      </c>
      <c r="O58" s="110">
        <f>LN('Lịch sử giá'!O59/'Lịch sử giá'!O58)</f>
        <v>-4.5256591588120829E-2</v>
      </c>
      <c r="P58" s="110">
        <f>LN('Lịch sử giá'!P59/'Lịch sử giá'!P58)</f>
        <v>-6.3939300106957683E-2</v>
      </c>
      <c r="Q58" s="110">
        <f>LN('Lịch sử giá'!Q59/'Lịch sử giá'!Q58)</f>
        <v>-8.3080245266160715E-2</v>
      </c>
      <c r="R58" s="110">
        <f>LN('Lịch sử giá'!R59/'Lịch sử giá'!R58)</f>
        <v>-0.17206505662676552</v>
      </c>
      <c r="S58" s="110">
        <f>LN('Lịch sử giá'!S59/'Lịch sử giá'!S58)</f>
        <v>-0.13944453243756283</v>
      </c>
      <c r="T58" s="110">
        <f>LN('Lịch sử giá'!T59/'Lịch sử giá'!T58)</f>
        <v>-0.42655889116796403</v>
      </c>
      <c r="U58" s="110">
        <f>LN('Lịch sử giá'!U59/'Lịch sử giá'!U58)</f>
        <v>-0.18962085927556618</v>
      </c>
      <c r="V58" s="111">
        <f>LN('Lịch sử giá'!V59/'Lịch sử giá'!V58)</f>
        <v>-7.249550203815347E-2</v>
      </c>
    </row>
    <row r="59" spans="1:22" s="109" customFormat="1" ht="15.75">
      <c r="A59" s="102">
        <v>44439</v>
      </c>
      <c r="B59" s="110">
        <f>LN('Lịch sử giá'!B60/'Lịch sử giá'!B59)</f>
        <v>4.2339829367690388E-2</v>
      </c>
      <c r="C59" s="110">
        <f>LN('Lịch sử giá'!C60/'Lịch sử giá'!C59)</f>
        <v>6.3451700815737727E-2</v>
      </c>
      <c r="D59" s="110">
        <f>LN('Lịch sử giá'!D60/'Lịch sử giá'!D59)</f>
        <v>0.13186085859333688</v>
      </c>
      <c r="E59" s="110">
        <f>LN('Lịch sử giá'!E60/'Lịch sử giá'!E59)</f>
        <v>0.20709652571669221</v>
      </c>
      <c r="F59" s="110">
        <f>LN('Lịch sử giá'!F60/'Lịch sử giá'!F59)</f>
        <v>1.5020501924724306E-2</v>
      </c>
      <c r="G59" s="110">
        <f>LN('Lịch sử giá'!G60/'Lịch sử giá'!G59)</f>
        <v>2.9715618979179976E-2</v>
      </c>
      <c r="H59" s="110">
        <f>LN('Lịch sử giá'!H60/'Lịch sử giá'!H59)</f>
        <v>-2.3618251348208455E-2</v>
      </c>
      <c r="I59" s="110">
        <f>LN('Lịch sử giá'!I60/'Lịch sử giá'!I59)</f>
        <v>0.11549318831657623</v>
      </c>
      <c r="J59" s="110">
        <f>LN('Lịch sử giá'!J60/'Lịch sử giá'!J59)</f>
        <v>0.19748011722479597</v>
      </c>
      <c r="K59" s="110">
        <f>LN('Lịch sử giá'!K60/'Lịch sử giá'!K59)</f>
        <v>0.20451728918573889</v>
      </c>
      <c r="L59" s="110">
        <f>LN('Lịch sử giá'!L60/'Lịch sử giá'!L59)</f>
        <v>3.6968618813262026E-3</v>
      </c>
      <c r="M59" s="110">
        <f>LN('Lịch sử giá'!M60/'Lịch sử giá'!M59)</f>
        <v>-0.39881252838713693</v>
      </c>
      <c r="N59" s="110">
        <f>LN('Lịch sử giá'!N60/'Lịch sử giá'!N59)</f>
        <v>-1.5983291774811163E-2</v>
      </c>
      <c r="O59" s="110">
        <f>LN('Lịch sử giá'!O60/'Lịch sử giá'!O59)</f>
        <v>9.2166551049240476E-3</v>
      </c>
      <c r="P59" s="110">
        <f>LN('Lịch sử giá'!P60/'Lịch sử giá'!P59)</f>
        <v>-8.788308996070951E-2</v>
      </c>
      <c r="Q59" s="110">
        <f>LN('Lịch sử giá'!Q60/'Lịch sử giá'!Q59)</f>
        <v>0.21747781377853248</v>
      </c>
      <c r="R59" s="110">
        <f>LN('Lịch sử giá'!R60/'Lịch sử giá'!R59)</f>
        <v>1.4184634991956381E-2</v>
      </c>
      <c r="S59" s="110">
        <f>LN('Lịch sử giá'!S60/'Lịch sử giá'!S59)</f>
        <v>-5.3729349185431645E-2</v>
      </c>
      <c r="T59" s="110">
        <f>LN('Lịch sử giá'!T60/'Lịch sử giá'!T59)</f>
        <v>-7.8590274593221543E-2</v>
      </c>
      <c r="U59" s="110">
        <f>LN('Lịch sử giá'!U60/'Lịch sử giá'!U59)</f>
        <v>7.4107972153721835E-2</v>
      </c>
      <c r="V59" s="111">
        <f>LN('Lịch sử giá'!V60/'Lịch sử giá'!V59)</f>
        <v>1.6218290614311823E-2</v>
      </c>
    </row>
    <row r="60" spans="1:22" s="109" customFormat="1" ht="15.75">
      <c r="A60" s="102">
        <v>44469</v>
      </c>
      <c r="B60" s="110">
        <f>LN('Lịch sử giá'!B61/'Lịch sử giá'!B60)</f>
        <v>6.7441280795532479E-2</v>
      </c>
      <c r="C60" s="110">
        <f>LN('Lịch sử giá'!C61/'Lịch sử giá'!C60)</f>
        <v>0.15432990735708654</v>
      </c>
      <c r="D60" s="110">
        <f>LN('Lịch sử giá'!D61/'Lịch sử giá'!D60)</f>
        <v>0.14049667550228562</v>
      </c>
      <c r="E60" s="110">
        <f>LN('Lịch sử giá'!E61/'Lịch sử giá'!E60)</f>
        <v>2.3256862164267183E-2</v>
      </c>
      <c r="F60" s="110">
        <f>LN('Lịch sử giá'!F61/'Lịch sử giá'!F60)</f>
        <v>-3.8578717441773415E-2</v>
      </c>
      <c r="G60" s="110">
        <f>LN('Lịch sử giá'!G61/'Lịch sử giá'!G60)</f>
        <v>-1.0639533969944352E-2</v>
      </c>
      <c r="H60" s="110">
        <f>LN('Lịch sử giá'!H61/'Lịch sử giá'!H60)</f>
        <v>4.5490326166876684E-2</v>
      </c>
      <c r="I60" s="110">
        <f>LN('Lịch sử giá'!I61/'Lịch sử giá'!I60)</f>
        <v>-4.3399315534555602E-2</v>
      </c>
      <c r="J60" s="110">
        <f>LN('Lịch sử giá'!J61/'Lịch sử giá'!J60)</f>
        <v>-7.1049346149849826E-2</v>
      </c>
      <c r="K60" s="110">
        <f>LN('Lịch sử giá'!K61/'Lịch sử giá'!K60)</f>
        <v>7.2509715365991267E-2</v>
      </c>
      <c r="L60" s="110">
        <f>LN('Lịch sử giá'!L61/'Lịch sử giá'!L60)</f>
        <v>5.1071867660439932E-2</v>
      </c>
      <c r="M60" s="110">
        <f>LN('Lịch sử giá'!M61/'Lịch sử giá'!M60)</f>
        <v>0.14454645285520001</v>
      </c>
      <c r="N60" s="110">
        <f>LN('Lịch sử giá'!N61/'Lịch sử giá'!N60)</f>
        <v>-1.0746911297654092E-3</v>
      </c>
      <c r="O60" s="110">
        <f>LN('Lịch sử giá'!O61/'Lịch sử giá'!O60)</f>
        <v>2.7150989065950898E-2</v>
      </c>
      <c r="P60" s="110">
        <f>LN('Lịch sử giá'!P61/'Lịch sử giá'!P60)</f>
        <v>0.13773765018592823</v>
      </c>
      <c r="Q60" s="110">
        <f>LN('Lịch sử giá'!Q61/'Lịch sử giá'!Q60)</f>
        <v>-1.2195273093818243E-2</v>
      </c>
      <c r="R60" s="110">
        <f>LN('Lịch sử giá'!R61/'Lịch sử giá'!R60)</f>
        <v>-2.2381402196134995E-2</v>
      </c>
      <c r="S60" s="110">
        <f>LN('Lịch sử giá'!S61/'Lịch sử giá'!S60)</f>
        <v>1.2755274975126083E-2</v>
      </c>
      <c r="T60" s="110">
        <f>LN('Lịch sử giá'!T61/'Lịch sử giá'!T60)</f>
        <v>-4.5023681373955127E-2</v>
      </c>
      <c r="U60" s="110">
        <f>LN('Lịch sử giá'!U61/'Lịch sử giá'!U60)</f>
        <v>0.1512309697239235</v>
      </c>
      <c r="V60" s="111">
        <f>LN('Lịch sử giá'!V61/'Lịch sử giá'!V60)</f>
        <v>7.9221519011009114E-3</v>
      </c>
    </row>
    <row r="61" spans="1:22" s="109" customFormat="1" ht="15.75">
      <c r="A61" s="102">
        <v>44498</v>
      </c>
      <c r="B61" s="110">
        <f>LN('Lịch sử giá'!B62/'Lịch sử giá'!B61)</f>
        <v>7.6400777797710914E-2</v>
      </c>
      <c r="C61" s="110">
        <f>LN('Lịch sử giá'!C62/'Lịch sử giá'!C61)</f>
        <v>1.9169916107720123E-2</v>
      </c>
      <c r="D61" s="110">
        <f>LN('Lịch sử giá'!D62/'Lịch sử giá'!D61)</f>
        <v>0.2065087824079585</v>
      </c>
      <c r="E61" s="110">
        <f>LN('Lịch sử giá'!E62/'Lịch sử giá'!E61)</f>
        <v>0.11189087053737563</v>
      </c>
      <c r="F61" s="110">
        <f>LN('Lịch sử giá'!F62/'Lịch sử giá'!F61)</f>
        <v>0.32396457763320419</v>
      </c>
      <c r="G61" s="110">
        <f>LN('Lịch sử giá'!G62/'Lịch sử giá'!G61)</f>
        <v>0.23459604504599751</v>
      </c>
      <c r="H61" s="110">
        <f>LN('Lịch sử giá'!H62/'Lịch sử giá'!H61)</f>
        <v>0.20372546545710823</v>
      </c>
      <c r="I61" s="110">
        <f>LN('Lịch sử giá'!I62/'Lịch sử giá'!I61)</f>
        <v>5.3005537339995426E-2</v>
      </c>
      <c r="J61" s="110">
        <f>LN('Lịch sử giá'!J62/'Lịch sử giá'!J61)</f>
        <v>4.4141893229925358E-2</v>
      </c>
      <c r="K61" s="110">
        <f>LN('Lịch sử giá'!K62/'Lịch sử giá'!K61)</f>
        <v>0.23030123868208979</v>
      </c>
      <c r="L61" s="110">
        <f>LN('Lịch sử giá'!L62/'Lịch sử giá'!L61)</f>
        <v>5.6573857793607588E-2</v>
      </c>
      <c r="M61" s="110">
        <f>LN('Lịch sử giá'!M62/'Lịch sử giá'!M61)</f>
        <v>2.7779564107075671E-2</v>
      </c>
      <c r="N61" s="110">
        <f>LN('Lịch sử giá'!N62/'Lịch sử giá'!N61)</f>
        <v>4.1080025743464657E-2</v>
      </c>
      <c r="O61" s="110">
        <f>LN('Lịch sử giá'!O62/'Lịch sử giá'!O61)</f>
        <v>1.2202037140206226E-2</v>
      </c>
      <c r="P61" s="110">
        <f>LN('Lịch sử giá'!P62/'Lịch sử giá'!P61)</f>
        <v>5.2305952701936761E-2</v>
      </c>
      <c r="Q61" s="110">
        <f>LN('Lịch sử giá'!Q62/'Lịch sử giá'!Q61)</f>
        <v>0.13735841604782431</v>
      </c>
      <c r="R61" s="110">
        <f>LN('Lịch sử giá'!R62/'Lịch sử giá'!R61)</f>
        <v>8.1967672041784907E-3</v>
      </c>
      <c r="S61" s="110">
        <f>LN('Lịch sử giá'!S62/'Lịch sử giá'!S61)</f>
        <v>5.065937994476933E-2</v>
      </c>
      <c r="T61" s="110">
        <f>LN('Lịch sử giá'!T62/'Lịch sử giá'!T61)</f>
        <v>3.5544937419411289E-2</v>
      </c>
      <c r="U61" s="110">
        <f>LN('Lịch sử giá'!U62/'Lịch sử giá'!U61)</f>
        <v>0.20722809600831033</v>
      </c>
      <c r="V61" s="111">
        <f>LN('Lịch sử giá'!V62/'Lịch sử giá'!V61)</f>
        <v>7.3398256662330685E-2</v>
      </c>
    </row>
    <row r="62" spans="1:22" s="109" customFormat="1" ht="16.5" thickBot="1">
      <c r="A62" s="103">
        <v>44530</v>
      </c>
      <c r="B62" s="112">
        <f>LN('Lịch sử giá'!B63/'Lịch sử giá'!B62)</f>
        <v>-0.15400474768544517</v>
      </c>
      <c r="C62" s="112">
        <f>LN('Lịch sử giá'!C63/'Lịch sử giá'!C62)</f>
        <v>-0.18105653448736797</v>
      </c>
      <c r="D62" s="112">
        <f>LN('Lịch sử giá'!D63/'Lịch sử giá'!D62)</f>
        <v>-0.23516403816833456</v>
      </c>
      <c r="E62" s="112">
        <f>LN('Lịch sử giá'!E63/'Lịch sử giá'!E62)</f>
        <v>2.7371196796131977E-2</v>
      </c>
      <c r="F62" s="112">
        <f>LN('Lịch sử giá'!F63/'Lịch sử giá'!F62)</f>
        <v>-3.8669141159154048E-2</v>
      </c>
      <c r="G62" s="112">
        <f>LN('Lịch sử giá'!G63/'Lịch sử giá'!G62)</f>
        <v>0.30309069780462594</v>
      </c>
      <c r="H62" s="112">
        <f>LN('Lịch sử giá'!H63/'Lịch sử giá'!H62)</f>
        <v>-9.3449167464478261E-2</v>
      </c>
      <c r="I62" s="112">
        <f>LN('Lịch sử giá'!I63/'Lịch sử giá'!I62)</f>
        <v>-4.8981387040269997E-2</v>
      </c>
      <c r="J62" s="112">
        <f>LN('Lịch sử giá'!J63/'Lịch sử giá'!J62)</f>
        <v>0.10763066419236536</v>
      </c>
      <c r="K62" s="112">
        <f>LN('Lịch sử giá'!K63/'Lịch sử giá'!K62)</f>
        <v>0.13202876273998765</v>
      </c>
      <c r="L62" s="112">
        <f>LN('Lịch sử giá'!L63/'Lịch sử giá'!L62)</f>
        <v>-1.132967800414277E-2</v>
      </c>
      <c r="M62" s="112">
        <f>LN('Lịch sử giá'!M63/'Lịch sử giá'!M62)</f>
        <v>5.5508143709788023E-2</v>
      </c>
      <c r="N62" s="112">
        <f>LN('Lịch sử giá'!N63/'Lịch sử giá'!N62)</f>
        <v>2.0618564005587771E-3</v>
      </c>
      <c r="O62" s="112">
        <f>LN('Lịch sử giá'!O63/'Lịch sử giá'!O62)</f>
        <v>-3.4776359178745192E-2</v>
      </c>
      <c r="P62" s="112">
        <f>LN('Lịch sử giá'!P63/'Lịch sử giá'!P62)</f>
        <v>-6.0444349604907979E-2</v>
      </c>
      <c r="Q62" s="112">
        <f>LN('Lịch sử giá'!Q63/'Lịch sử giá'!Q62)</f>
        <v>-5.9205175162208599E-2</v>
      </c>
      <c r="R62" s="112">
        <f>LN('Lịch sử giá'!R63/'Lịch sử giá'!R62)</f>
        <v>9.1417599580945093E-3</v>
      </c>
      <c r="S62" s="112">
        <f>LN('Lịch sử giá'!S63/'Lịch sử giá'!S62)</f>
        <v>6.7546042201526393E-2</v>
      </c>
      <c r="T62" s="112">
        <f>LN('Lịch sử giá'!T63/'Lịch sử giá'!T62)</f>
        <v>6.3049317586103409E-2</v>
      </c>
      <c r="U62" s="112">
        <f>LN('Lịch sử giá'!U63/'Lịch sử giá'!U62)</f>
        <v>-3.077165866675366E-2</v>
      </c>
      <c r="V62" s="113">
        <f>LN('Lịch sử giá'!V63/'Lịch sử giá'!V62)</f>
        <v>2.3383474214967243E-2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1C24-27E2-4B7C-8977-87CE42014737}">
  <dimension ref="A1:V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defaultRowHeight="15"/>
  <cols>
    <col min="1" max="1" width="16.85546875" style="7" customWidth="1"/>
    <col min="2" max="21" width="9.140625" style="7"/>
    <col min="22" max="22" width="11.5703125" style="7" bestFit="1" customWidth="1"/>
    <col min="23" max="16384" width="9.140625" style="7"/>
  </cols>
  <sheetData>
    <row r="1" spans="1:22" s="147" customFormat="1" ht="19.5" customHeight="1">
      <c r="A1" s="178"/>
      <c r="B1" s="179" t="s">
        <v>6</v>
      </c>
      <c r="C1" s="179" t="s">
        <v>7</v>
      </c>
      <c r="D1" s="179" t="s">
        <v>8</v>
      </c>
      <c r="E1" s="179" t="s">
        <v>13</v>
      </c>
      <c r="F1" s="179" t="s">
        <v>2</v>
      </c>
      <c r="G1" s="179" t="s">
        <v>10</v>
      </c>
      <c r="H1" s="179" t="s">
        <v>3</v>
      </c>
      <c r="I1" s="179" t="s">
        <v>19</v>
      </c>
      <c r="J1" s="179" t="s">
        <v>11</v>
      </c>
      <c r="K1" s="179" t="s">
        <v>15</v>
      </c>
      <c r="L1" s="179" t="s">
        <v>4</v>
      </c>
      <c r="M1" s="179" t="s">
        <v>17</v>
      </c>
      <c r="N1" s="179" t="s">
        <v>16</v>
      </c>
      <c r="O1" s="179" t="s">
        <v>5</v>
      </c>
      <c r="P1" s="179" t="s">
        <v>18</v>
      </c>
      <c r="Q1" s="177" t="s">
        <v>21</v>
      </c>
      <c r="R1" s="179" t="s">
        <v>1</v>
      </c>
      <c r="S1" s="179" t="s">
        <v>9</v>
      </c>
      <c r="T1" s="179" t="s">
        <v>0</v>
      </c>
      <c r="U1" s="179" t="s">
        <v>14</v>
      </c>
      <c r="V1" s="180" t="s">
        <v>20</v>
      </c>
    </row>
    <row r="2" spans="1:22">
      <c r="A2" s="174" t="s">
        <v>22</v>
      </c>
      <c r="B2" s="15">
        <f>AVERAGE(TSSL!B2:B62)</f>
        <v>3.0056316276991478E-3</v>
      </c>
      <c r="C2" s="15">
        <f>AVERAGE(TSSL!C2:C62)</f>
        <v>-2.0595048033942925E-4</v>
      </c>
      <c r="D2" s="15">
        <f>AVERAGE(TSSL!D2:D62)</f>
        <v>1.6297053927811975E-2</v>
      </c>
      <c r="E2" s="15">
        <f>AVERAGE(TSSL!E2:E62)</f>
        <v>1.7304144249305951E-2</v>
      </c>
      <c r="F2" s="15">
        <f>AVERAGE(TSSL!F2:F62)</f>
        <v>1.5445247735288071E-2</v>
      </c>
      <c r="G2" s="15">
        <f>AVERAGE(TSSL!G2:G62)</f>
        <v>2.8375650625609986E-2</v>
      </c>
      <c r="H2" s="15">
        <f>AVERAGE(TSSL!H2:H62)</f>
        <v>2.2425395684207896E-2</v>
      </c>
      <c r="I2" s="15">
        <f>AVERAGE(TSSL!I2:I62)</f>
        <v>9.9147214873550066E-3</v>
      </c>
      <c r="J2" s="15">
        <f>AVERAGE(TSSL!J2:J62)</f>
        <v>1.0267414022377809E-3</v>
      </c>
      <c r="K2" s="15">
        <f>AVERAGE(TSSL!K2:K62)</f>
        <v>2.0322801425049428E-2</v>
      </c>
      <c r="L2" s="15">
        <f>AVERAGE(TSSL!L2:L62)</f>
        <v>1.3445717414411402E-2</v>
      </c>
      <c r="M2" s="15">
        <f>AVERAGE(TSSL!M2:M62)</f>
        <v>-7.0458184688976114E-4</v>
      </c>
      <c r="N2" s="15">
        <f>AVERAGE(TSSL!N2:N62)</f>
        <v>1.3163613724633453E-2</v>
      </c>
      <c r="O2" s="15">
        <f>AVERAGE(TSSL!O2:O62)</f>
        <v>-7.9187878632608986E-3</v>
      </c>
      <c r="P2" s="15">
        <f>AVERAGE(TSSL!P2:P62)</f>
        <v>5.9744072845960327E-3</v>
      </c>
      <c r="Q2" s="15">
        <f>AVERAGE(TSSL!Q2:Q62)</f>
        <v>1.9659931384390116E-2</v>
      </c>
      <c r="R2" s="15">
        <f>AVERAGE(TSSL!R2:R62)</f>
        <v>1.7261426829864836E-2</v>
      </c>
      <c r="S2" s="15">
        <f>AVERAGE(TSSL!S2:S62)</f>
        <v>1.821804185955966E-2</v>
      </c>
      <c r="T2" s="15">
        <f>AVERAGE(TSSL!T2:T62)</f>
        <v>1.2801304704463079E-2</v>
      </c>
      <c r="U2" s="15">
        <f>AVERAGE(TSSL!U2:U62)</f>
        <v>1.8819730478435938E-3</v>
      </c>
      <c r="V2" s="16">
        <f>AVERAGE(TSSL!V2:V62)</f>
        <v>1.2833534139643825E-2</v>
      </c>
    </row>
    <row r="3" spans="1:22">
      <c r="A3" s="174" t="s">
        <v>23</v>
      </c>
      <c r="B3" s="175">
        <f>_xlfn.VAR.S(TSSL!B2:B62)</f>
        <v>1.7620287183942134E-2</v>
      </c>
      <c r="C3" s="175">
        <f>_xlfn.VAR.S(TSSL!C2:C62)</f>
        <v>3.4330204918178286E-2</v>
      </c>
      <c r="D3" s="175">
        <f>_xlfn.VAR.S(TSSL!D2:D62)</f>
        <v>3.1569191996430018E-2</v>
      </c>
      <c r="E3" s="175">
        <f>_xlfn.VAR.S(TSSL!E2:E62)</f>
        <v>1.1947507506366299E-2</v>
      </c>
      <c r="F3" s="175">
        <f>_xlfn.VAR.S(TSSL!F2:F62)</f>
        <v>7.0708600279486824E-3</v>
      </c>
      <c r="G3" s="175">
        <f>_xlfn.VAR.S(TSSL!G2:G62)</f>
        <v>2.0010600479579744E-2</v>
      </c>
      <c r="H3" s="175">
        <f>_xlfn.VAR.S(TSSL!H2:H62)</f>
        <v>7.0741526379013908E-3</v>
      </c>
      <c r="I3" s="175">
        <f>_xlfn.VAR.S(TSSL!I2:I62)</f>
        <v>9.5852320820930311E-3</v>
      </c>
      <c r="J3" s="175">
        <f>_xlfn.VAR.S(TSSL!J2:J62)</f>
        <v>1.4860441307654062E-2</v>
      </c>
      <c r="K3" s="175">
        <f>_xlfn.VAR.S(TSSL!K2:K62)</f>
        <v>1.3193466118016393E-2</v>
      </c>
      <c r="L3" s="175">
        <f>_xlfn.VAR.S(TSSL!L2:L62)</f>
        <v>1.5046157647177448E-2</v>
      </c>
      <c r="M3" s="175">
        <f>_xlfn.VAR.S(TSSL!M2:M62)</f>
        <v>2.2550139748295655E-2</v>
      </c>
      <c r="N3" s="175">
        <f>_xlfn.VAR.S(TSSL!N2:N62)</f>
        <v>7.2598830432005447E-3</v>
      </c>
      <c r="O3" s="175">
        <f>_xlfn.VAR.S(TSSL!O2:O62)</f>
        <v>5.0081523834955158E-3</v>
      </c>
      <c r="P3" s="175">
        <f>_xlfn.VAR.S(TSSL!P2:P62)</f>
        <v>2.0965779214226783E-2</v>
      </c>
      <c r="Q3" s="175">
        <f>_xlfn.VAR.S(TSSL!Q2:Q62)</f>
        <v>6.2310107180590605E-3</v>
      </c>
      <c r="R3" s="175">
        <f>_xlfn.VAR.S(TSSL!R2:R62)</f>
        <v>7.6659344415835424E-3</v>
      </c>
      <c r="S3" s="175">
        <f>_xlfn.VAR.S(TSSL!S2:S62)</f>
        <v>1.4238894876019613E-2</v>
      </c>
      <c r="T3" s="175">
        <f>_xlfn.VAR.S(TSSL!T2:T62)</f>
        <v>1.6377121633580925E-2</v>
      </c>
      <c r="U3" s="175">
        <f>_xlfn.VAR.S(TSSL!U2:U62)</f>
        <v>2.3473618438171313E-2</v>
      </c>
      <c r="V3" s="176"/>
    </row>
    <row r="4" spans="1:22">
      <c r="A4" s="174" t="s">
        <v>24</v>
      </c>
      <c r="B4" s="175">
        <f>SQRT(B3)</f>
        <v>0.13274142979470327</v>
      </c>
      <c r="C4" s="175">
        <f t="shared" ref="C4:U4" si="0">SQRT(C3)</f>
        <v>0.18528411944410747</v>
      </c>
      <c r="D4" s="175">
        <f t="shared" si="0"/>
        <v>0.17767721293522706</v>
      </c>
      <c r="E4" s="175">
        <f t="shared" si="0"/>
        <v>0.1093046545503269</v>
      </c>
      <c r="F4" s="175">
        <f t="shared" si="0"/>
        <v>8.4088406025733906E-2</v>
      </c>
      <c r="G4" s="175">
        <f t="shared" si="0"/>
        <v>0.14145882962749176</v>
      </c>
      <c r="H4" s="175">
        <f t="shared" si="0"/>
        <v>8.4107982010635532E-2</v>
      </c>
      <c r="I4" s="175">
        <f t="shared" si="0"/>
        <v>9.7904198490631811E-2</v>
      </c>
      <c r="J4" s="175">
        <f t="shared" si="0"/>
        <v>0.1219034097458068</v>
      </c>
      <c r="K4" s="175">
        <f t="shared" si="0"/>
        <v>0.11486281433961294</v>
      </c>
      <c r="L4" s="175">
        <f t="shared" si="0"/>
        <v>0.12266278020319549</v>
      </c>
      <c r="M4" s="175">
        <f t="shared" si="0"/>
        <v>0.15016703948701809</v>
      </c>
      <c r="N4" s="175">
        <f t="shared" si="0"/>
        <v>8.5204947292986125E-2</v>
      </c>
      <c r="O4" s="175">
        <f t="shared" si="0"/>
        <v>7.0768300696678568E-2</v>
      </c>
      <c r="P4" s="175">
        <f t="shared" si="0"/>
        <v>0.14479564639251685</v>
      </c>
      <c r="Q4" s="175">
        <f t="shared" si="0"/>
        <v>7.8936751377663497E-2</v>
      </c>
      <c r="R4" s="175">
        <f t="shared" si="0"/>
        <v>8.755532217737276E-2</v>
      </c>
      <c r="S4" s="175">
        <f t="shared" si="0"/>
        <v>0.11932684055156917</v>
      </c>
      <c r="T4" s="175">
        <f t="shared" si="0"/>
        <v>0.12797312856057291</v>
      </c>
      <c r="U4" s="175">
        <f t="shared" si="0"/>
        <v>0.15321102583747462</v>
      </c>
      <c r="V4" s="4"/>
    </row>
    <row r="5" spans="1:22" ht="15.75" thickBot="1">
      <c r="A5" s="71" t="s">
        <v>25</v>
      </c>
      <c r="B5" s="117">
        <f>SLOPE(TSSL!B2:B62,TSSL!$V$2:$V$62)</f>
        <v>1.179619500744514</v>
      </c>
      <c r="C5" s="117">
        <f>SLOPE(TSSL!C2:C62,TSSL!$V$2:$V$62)</f>
        <v>1.7697067775495308</v>
      </c>
      <c r="D5" s="117">
        <f>SLOPE(TSSL!D2:D62,TSSL!$V$2:$V$62)</f>
        <v>1.9193731623067043</v>
      </c>
      <c r="E5" s="117">
        <f>SLOPE(TSSL!E2:E62,TSSL!$V$2:$V$62)</f>
        <v>0.73873949581585208</v>
      </c>
      <c r="F5" s="117">
        <f>SLOPE(TSSL!F2:F62,TSSL!$V$2:$V$62)</f>
        <v>0.75869566837815317</v>
      </c>
      <c r="G5" s="117">
        <f>SLOPE(TSSL!G2:G62,TSSL!$V$2:$V$62)</f>
        <v>1.3722148075799903</v>
      </c>
      <c r="H5" s="117">
        <f>SLOPE(TSSL!H2:H62,TSSL!$V$2:$V$62)</f>
        <v>0.74791963777654336</v>
      </c>
      <c r="I5" s="117">
        <f>SLOPE(TSSL!I2:I62,TSSL!$V$2:$V$62)</f>
        <v>0.86788928187615488</v>
      </c>
      <c r="J5" s="117">
        <f>SLOPE(TSSL!J2:J62,TSSL!$V$2:$V$62)</f>
        <v>1.0212900033240753</v>
      </c>
      <c r="K5" s="117">
        <f>SLOPE(TSSL!K2:K62,TSSL!$V$2:$V$62)</f>
        <v>0.83974117054972852</v>
      </c>
      <c r="L5" s="117">
        <f>SLOPE(TSSL!L2:L62,TSSL!$V$2:$V$62)</f>
        <v>0.653590518081134</v>
      </c>
      <c r="M5" s="117">
        <f>SLOPE(TSSL!M2:M62,TSSL!$V$2:$V$62)</f>
        <v>1.0790943698575615</v>
      </c>
      <c r="N5" s="117">
        <f>SLOPE(TSSL!N2:N62,TSSL!$V$2:$V$62)</f>
        <v>0.8856279214212881</v>
      </c>
      <c r="O5" s="117">
        <f>SLOPE(TSSL!O2:O62,TSSL!$V$2:$V$62)</f>
        <v>0.66771796899637426</v>
      </c>
      <c r="P5" s="117">
        <f>SLOPE(TSSL!P2:P62,TSSL!$V$2:$V$62)</f>
        <v>1.3410599762430071</v>
      </c>
      <c r="Q5" s="117">
        <f>SLOPE(TSSL!Q2:Q62,TSSL!V2:V62)</f>
        <v>0.75171771556758116</v>
      </c>
      <c r="R5" s="117">
        <f>SLOPE(TSSL!R2:R62,TSSL!$V$2:$V$62)</f>
        <v>1.1024732859988911</v>
      </c>
      <c r="S5" s="117">
        <f>SLOPE(TSSL!S2:S62,TSSL!$V$2:$V$62)</f>
        <v>1.4021796343259378</v>
      </c>
      <c r="T5" s="117">
        <f>SLOPE(TSSL!T2:T62,TSSL!$V$2:$V$62)</f>
        <v>1.500404541552909</v>
      </c>
      <c r="U5" s="117">
        <f>SLOPE(TSSL!U2:U62,TSSL!$V$2:$V$62)</f>
        <v>1.7890225263760549</v>
      </c>
      <c r="V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9468-7233-46F7-8FAB-506849538EE4}">
  <dimension ref="A1:U68"/>
  <sheetViews>
    <sheetView zoomScale="90" zoomScaleNormal="90" workbookViewId="0">
      <selection activeCell="D4" sqref="D4"/>
    </sheetView>
  </sheetViews>
  <sheetFormatPr defaultRowHeight="15"/>
  <cols>
    <col min="1" max="1" width="12.85546875" style="147" customWidth="1"/>
    <col min="2" max="16384" width="9.140625" style="147"/>
  </cols>
  <sheetData>
    <row r="1" spans="1:21" ht="27" customHeight="1" thickBot="1">
      <c r="A1" s="183" t="s">
        <v>26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5"/>
    </row>
    <row r="2" spans="1:21">
      <c r="A2" s="148"/>
      <c r="B2" s="149" t="s">
        <v>6</v>
      </c>
      <c r="C2" s="149" t="s">
        <v>7</v>
      </c>
      <c r="D2" s="149" t="s">
        <v>8</v>
      </c>
      <c r="E2" s="149" t="s">
        <v>13</v>
      </c>
      <c r="F2" s="149" t="s">
        <v>2</v>
      </c>
      <c r="G2" s="149" t="s">
        <v>10</v>
      </c>
      <c r="H2" s="149" t="s">
        <v>3</v>
      </c>
      <c r="I2" s="149" t="s">
        <v>19</v>
      </c>
      <c r="J2" s="149" t="s">
        <v>11</v>
      </c>
      <c r="K2" s="149" t="s">
        <v>15</v>
      </c>
      <c r="L2" s="149" t="s">
        <v>4</v>
      </c>
      <c r="M2" s="149" t="s">
        <v>17</v>
      </c>
      <c r="N2" s="149" t="s">
        <v>16</v>
      </c>
      <c r="O2" s="149" t="s">
        <v>5</v>
      </c>
      <c r="P2" s="149" t="s">
        <v>18</v>
      </c>
      <c r="Q2" s="149" t="s">
        <v>21</v>
      </c>
      <c r="R2" s="149" t="s">
        <v>1</v>
      </c>
      <c r="S2" s="149" t="s">
        <v>9</v>
      </c>
      <c r="T2" s="149" t="s">
        <v>0</v>
      </c>
      <c r="U2" s="150" t="s">
        <v>14</v>
      </c>
    </row>
    <row r="3" spans="1:21">
      <c r="A3" s="151" t="s">
        <v>6</v>
      </c>
      <c r="B3" s="152">
        <v>1</v>
      </c>
      <c r="C3" s="152">
        <v>0.46945369681904786</v>
      </c>
      <c r="D3" s="152">
        <v>0.51353923413520675</v>
      </c>
      <c r="E3" s="152">
        <v>0.30855886588098891</v>
      </c>
      <c r="F3" s="152">
        <v>0.26797151746205911</v>
      </c>
      <c r="G3" s="152">
        <v>0.41723572860090724</v>
      </c>
      <c r="H3" s="152">
        <v>0.40615085109338944</v>
      </c>
      <c r="I3" s="152">
        <v>0.40649188995570967</v>
      </c>
      <c r="J3" s="152">
        <v>0.226066881515014</v>
      </c>
      <c r="K3" s="152">
        <v>0.26064094622082673</v>
      </c>
      <c r="L3" s="152">
        <v>0.30184354621561044</v>
      </c>
      <c r="M3" s="152">
        <v>0.28544933247779142</v>
      </c>
      <c r="N3" s="152">
        <v>0.35094384163056885</v>
      </c>
      <c r="O3" s="152">
        <v>0.18370806373056364</v>
      </c>
      <c r="P3" s="152">
        <v>0.69535731458775751</v>
      </c>
      <c r="Q3" s="152">
        <v>0.31756202075590023</v>
      </c>
      <c r="R3" s="152">
        <v>0.47077774305800729</v>
      </c>
      <c r="S3" s="152">
        <v>0.40424042077539207</v>
      </c>
      <c r="T3" s="152">
        <v>0.45197765257140343</v>
      </c>
      <c r="U3" s="153">
        <v>0.48111399016050221</v>
      </c>
    </row>
    <row r="4" spans="1:21">
      <c r="A4" s="151" t="s">
        <v>7</v>
      </c>
      <c r="B4" s="152">
        <v>0.46945369681904786</v>
      </c>
      <c r="C4" s="152">
        <v>1</v>
      </c>
      <c r="D4" s="152">
        <v>0.71627986251482656</v>
      </c>
      <c r="E4" s="152">
        <v>0.34085160869502384</v>
      </c>
      <c r="F4" s="152">
        <v>0.40299914655629193</v>
      </c>
      <c r="G4" s="152">
        <v>0.44210978925153793</v>
      </c>
      <c r="H4" s="152">
        <v>0.42280466647842951</v>
      </c>
      <c r="I4" s="152">
        <v>0.3898797003567066</v>
      </c>
      <c r="J4" s="152">
        <v>0.3535664667717543</v>
      </c>
      <c r="K4" s="152">
        <v>0.46598677533407284</v>
      </c>
      <c r="L4" s="152">
        <v>0.24573683262235857</v>
      </c>
      <c r="M4" s="152">
        <v>0.5635089601997495</v>
      </c>
      <c r="N4" s="152">
        <v>0.53137362169006275</v>
      </c>
      <c r="O4" s="152">
        <v>0.31672674074320784</v>
      </c>
      <c r="P4" s="152">
        <v>0.34054171520935933</v>
      </c>
      <c r="Q4" s="152">
        <v>0.41584319121736807</v>
      </c>
      <c r="R4" s="152">
        <v>0.48469577531549374</v>
      </c>
      <c r="S4" s="152">
        <v>0.40442149023808932</v>
      </c>
      <c r="T4" s="152">
        <v>0.44263284079558601</v>
      </c>
      <c r="U4" s="153">
        <v>0.62785483038967616</v>
      </c>
    </row>
    <row r="5" spans="1:21">
      <c r="A5" s="151" t="s">
        <v>8</v>
      </c>
      <c r="B5" s="152">
        <v>0.51353923413520675</v>
      </c>
      <c r="C5" s="152">
        <v>0.71627986251482656</v>
      </c>
      <c r="D5" s="152">
        <v>1</v>
      </c>
      <c r="E5" s="152">
        <v>0.4279778200903866</v>
      </c>
      <c r="F5" s="152">
        <v>0.45771881526062902</v>
      </c>
      <c r="G5" s="152">
        <v>0.46407615123779844</v>
      </c>
      <c r="H5" s="152">
        <v>0.5832682447924149</v>
      </c>
      <c r="I5" s="152">
        <v>0.54637856171969501</v>
      </c>
      <c r="J5" s="152">
        <v>0.45101035205277973</v>
      </c>
      <c r="K5" s="152">
        <v>0.5251354724131444</v>
      </c>
      <c r="L5" s="152">
        <v>0.22096316818640335</v>
      </c>
      <c r="M5" s="152">
        <v>0.40816905533762071</v>
      </c>
      <c r="N5" s="152">
        <v>0.50176923269985207</v>
      </c>
      <c r="O5" s="152">
        <v>0.32970994846470969</v>
      </c>
      <c r="P5" s="152">
        <v>0.43358463562981608</v>
      </c>
      <c r="Q5" s="152">
        <v>0.51856810614961635</v>
      </c>
      <c r="R5" s="152">
        <v>0.48868605992058911</v>
      </c>
      <c r="S5" s="152">
        <v>0.51231621256899396</v>
      </c>
      <c r="T5" s="152">
        <v>0.50991915275893118</v>
      </c>
      <c r="U5" s="153">
        <v>0.62120856316759843</v>
      </c>
    </row>
    <row r="6" spans="1:21">
      <c r="A6" s="151" t="s">
        <v>13</v>
      </c>
      <c r="B6" s="152">
        <v>0.30855886588098891</v>
      </c>
      <c r="C6" s="152">
        <v>0.34085160869502384</v>
      </c>
      <c r="D6" s="152">
        <v>0.4279778200903866</v>
      </c>
      <c r="E6" s="152">
        <v>1</v>
      </c>
      <c r="F6" s="152">
        <v>0.32634759747765729</v>
      </c>
      <c r="G6" s="152">
        <v>0.40120524506588517</v>
      </c>
      <c r="H6" s="152">
        <v>0.36739160120019315</v>
      </c>
      <c r="I6" s="152">
        <v>0.41651807530796731</v>
      </c>
      <c r="J6" s="152">
        <v>0.39373473922649682</v>
      </c>
      <c r="K6" s="152">
        <v>0.39350048447494845</v>
      </c>
      <c r="L6" s="152">
        <v>6.3625879068560445E-2</v>
      </c>
      <c r="M6" s="152">
        <v>0.15913809148595373</v>
      </c>
      <c r="N6" s="152">
        <v>0.30090715825699382</v>
      </c>
      <c r="O6" s="152">
        <v>0.27193264538509987</v>
      </c>
      <c r="P6" s="152">
        <v>0.3127809152723624</v>
      </c>
      <c r="Q6" s="152">
        <v>0.42122535015582679</v>
      </c>
      <c r="R6" s="152">
        <v>0.32092184697417681</v>
      </c>
      <c r="S6" s="152">
        <v>0.22116448664008487</v>
      </c>
      <c r="T6" s="152">
        <v>0.17973312329858537</v>
      </c>
      <c r="U6" s="153">
        <v>0.53381464439121007</v>
      </c>
    </row>
    <row r="7" spans="1:21">
      <c r="A7" s="151" t="s">
        <v>2</v>
      </c>
      <c r="B7" s="152">
        <v>0.26797151746205911</v>
      </c>
      <c r="C7" s="152">
        <v>0.40299914655629193</v>
      </c>
      <c r="D7" s="152">
        <v>0.45771881526062902</v>
      </c>
      <c r="E7" s="152">
        <v>0.32634759747765729</v>
      </c>
      <c r="F7" s="152">
        <v>1</v>
      </c>
      <c r="G7" s="152">
        <v>0.50797046072603635</v>
      </c>
      <c r="H7" s="152">
        <v>0.62666532417180831</v>
      </c>
      <c r="I7" s="152">
        <v>0.28071432182106215</v>
      </c>
      <c r="J7" s="152">
        <v>0.37986853592411707</v>
      </c>
      <c r="K7" s="152">
        <v>0.32387524113839472</v>
      </c>
      <c r="L7" s="152">
        <v>0.3317016248579302</v>
      </c>
      <c r="M7" s="152">
        <v>0.27909253069390005</v>
      </c>
      <c r="N7" s="152">
        <v>0.61492193483987068</v>
      </c>
      <c r="O7" s="152">
        <v>0.42431667877048557</v>
      </c>
      <c r="P7" s="152">
        <v>0.45331790001323274</v>
      </c>
      <c r="Q7" s="152">
        <v>0.57587710908933543</v>
      </c>
      <c r="R7" s="152">
        <v>0.33170126277881279</v>
      </c>
      <c r="S7" s="152">
        <v>0.44503639658651756</v>
      </c>
      <c r="T7" s="152">
        <v>0.34058572117173225</v>
      </c>
      <c r="U7" s="153">
        <v>0.50782896043636438</v>
      </c>
    </row>
    <row r="8" spans="1:21">
      <c r="A8" s="151" t="s">
        <v>10</v>
      </c>
      <c r="B8" s="152">
        <v>0.41723572860090724</v>
      </c>
      <c r="C8" s="152">
        <v>0.44210978925153793</v>
      </c>
      <c r="D8" s="152">
        <v>0.46407615123779844</v>
      </c>
      <c r="E8" s="152">
        <v>0.40120524506588517</v>
      </c>
      <c r="F8" s="152">
        <v>0.50797046072603635</v>
      </c>
      <c r="G8" s="152">
        <v>1</v>
      </c>
      <c r="H8" s="152">
        <v>0.56036249143716788</v>
      </c>
      <c r="I8" s="152">
        <v>0.40158976298814741</v>
      </c>
      <c r="J8" s="152">
        <v>0.3772113189033125</v>
      </c>
      <c r="K8" s="152">
        <v>0.36632235120740719</v>
      </c>
      <c r="L8" s="152">
        <v>0.31004774129694135</v>
      </c>
      <c r="M8" s="152">
        <v>0.4278152413921566</v>
      </c>
      <c r="N8" s="152">
        <v>0.61050684780071585</v>
      </c>
      <c r="O8" s="152">
        <v>0.35672954377632338</v>
      </c>
      <c r="P8" s="152">
        <v>0.49886261299405482</v>
      </c>
      <c r="Q8" s="152">
        <v>0.43577149286626005</v>
      </c>
      <c r="R8" s="152">
        <v>0.37338747176199955</v>
      </c>
      <c r="S8" s="152">
        <v>0.49490835390667637</v>
      </c>
      <c r="T8" s="152">
        <v>0.49363734348091476</v>
      </c>
      <c r="U8" s="153">
        <v>0.58306941863444361</v>
      </c>
    </row>
    <row r="9" spans="1:21">
      <c r="A9" s="151" t="s">
        <v>3</v>
      </c>
      <c r="B9" s="152">
        <v>0.40615085109338944</v>
      </c>
      <c r="C9" s="152">
        <v>0.42280466647842951</v>
      </c>
      <c r="D9" s="152">
        <v>0.5832682447924149</v>
      </c>
      <c r="E9" s="152">
        <v>0.36739160120019315</v>
      </c>
      <c r="F9" s="152">
        <v>0.62666532417180831</v>
      </c>
      <c r="G9" s="152">
        <v>0.56036249143716788</v>
      </c>
      <c r="H9" s="152">
        <v>1</v>
      </c>
      <c r="I9" s="152">
        <v>0.42451764196900227</v>
      </c>
      <c r="J9" s="152">
        <v>0.26210711084833144</v>
      </c>
      <c r="K9" s="152">
        <v>0.21954819322462707</v>
      </c>
      <c r="L9" s="152">
        <v>0.31705223383168885</v>
      </c>
      <c r="M9" s="152">
        <v>0.35131465612517776</v>
      </c>
      <c r="N9" s="152">
        <v>0.59747813116582016</v>
      </c>
      <c r="O9" s="152">
        <v>0.24716523321332007</v>
      </c>
      <c r="P9" s="152">
        <v>0.49252940731638795</v>
      </c>
      <c r="Q9" s="152">
        <v>0.43874618939265186</v>
      </c>
      <c r="R9" s="152">
        <v>0.33658882507590637</v>
      </c>
      <c r="S9" s="152">
        <v>0.53238953712137882</v>
      </c>
      <c r="T9" s="152">
        <v>0.3386897857956917</v>
      </c>
      <c r="U9" s="153">
        <v>0.53334093426614182</v>
      </c>
    </row>
    <row r="10" spans="1:21">
      <c r="A10" s="151" t="s">
        <v>19</v>
      </c>
      <c r="B10" s="152">
        <v>0.40649188995570967</v>
      </c>
      <c r="C10" s="152">
        <v>0.3898797003567066</v>
      </c>
      <c r="D10" s="152">
        <v>0.54637856171969501</v>
      </c>
      <c r="E10" s="152">
        <v>0.41651807530796731</v>
      </c>
      <c r="F10" s="152">
        <v>0.28071432182106215</v>
      </c>
      <c r="G10" s="152">
        <v>0.40158976298814741</v>
      </c>
      <c r="H10" s="152">
        <v>0.42451764196900227</v>
      </c>
      <c r="I10" s="152">
        <v>1</v>
      </c>
      <c r="J10" s="152">
        <v>0.43631716897195294</v>
      </c>
      <c r="K10" s="152">
        <v>0.51894296434905551</v>
      </c>
      <c r="L10" s="152">
        <v>0.12933048622952581</v>
      </c>
      <c r="M10" s="152">
        <v>0.29084288120946139</v>
      </c>
      <c r="N10" s="152">
        <v>0.47153753533104958</v>
      </c>
      <c r="O10" s="152">
        <v>0.32507125779873636</v>
      </c>
      <c r="P10" s="152">
        <v>0.31279163396384302</v>
      </c>
      <c r="Q10" s="152">
        <v>0.53885848777795176</v>
      </c>
      <c r="R10" s="152">
        <v>0.42023217108942074</v>
      </c>
      <c r="S10" s="152">
        <v>0.31151089172578594</v>
      </c>
      <c r="T10" s="152">
        <v>0.33804036829484529</v>
      </c>
      <c r="U10" s="153">
        <v>0.55584728778759229</v>
      </c>
    </row>
    <row r="11" spans="1:21">
      <c r="A11" s="151" t="s">
        <v>11</v>
      </c>
      <c r="B11" s="152">
        <v>0.226066881515014</v>
      </c>
      <c r="C11" s="152">
        <v>0.3535664667717543</v>
      </c>
      <c r="D11" s="152">
        <v>0.45101035205277973</v>
      </c>
      <c r="E11" s="152">
        <v>0.39373473922649682</v>
      </c>
      <c r="F11" s="152">
        <v>0.37986853592411707</v>
      </c>
      <c r="G11" s="152">
        <v>0.3772113189033125</v>
      </c>
      <c r="H11" s="152">
        <v>0.26210711084833144</v>
      </c>
      <c r="I11" s="152">
        <v>0.43631716897195294</v>
      </c>
      <c r="J11" s="152">
        <v>1</v>
      </c>
      <c r="K11" s="152">
        <v>0.44173903830935718</v>
      </c>
      <c r="L11" s="152">
        <v>1.415845389317147E-2</v>
      </c>
      <c r="M11" s="152">
        <v>0.1573926701744961</v>
      </c>
      <c r="N11" s="152">
        <v>0.44457760054960538</v>
      </c>
      <c r="O11" s="152">
        <v>0.28951647476085807</v>
      </c>
      <c r="P11" s="152">
        <v>0.31724461098469053</v>
      </c>
      <c r="Q11" s="152">
        <v>0.59689918086298399</v>
      </c>
      <c r="R11" s="152">
        <v>0.39099154548750936</v>
      </c>
      <c r="S11" s="152">
        <v>0.45144188942407021</v>
      </c>
      <c r="T11" s="152">
        <v>0.45781449999450929</v>
      </c>
      <c r="U11" s="153">
        <v>0.48289880705162175</v>
      </c>
    </row>
    <row r="12" spans="1:21">
      <c r="A12" s="151" t="s">
        <v>15</v>
      </c>
      <c r="B12" s="152">
        <v>0.26064094622082673</v>
      </c>
      <c r="C12" s="152">
        <v>0.46598677533407284</v>
      </c>
      <c r="D12" s="152">
        <v>0.5251354724131444</v>
      </c>
      <c r="E12" s="152">
        <v>0.39350048447494845</v>
      </c>
      <c r="F12" s="152">
        <v>0.32387524113839472</v>
      </c>
      <c r="G12" s="152">
        <v>0.36632235120740719</v>
      </c>
      <c r="H12" s="152">
        <v>0.21954819322462707</v>
      </c>
      <c r="I12" s="152">
        <v>0.51894296434905551</v>
      </c>
      <c r="J12" s="152">
        <v>0.44173903830935718</v>
      </c>
      <c r="K12" s="152">
        <v>1</v>
      </c>
      <c r="L12" s="152">
        <v>0.2183729829981087</v>
      </c>
      <c r="M12" s="152">
        <v>0.24666107541944468</v>
      </c>
      <c r="N12" s="152">
        <v>0.34329194692317722</v>
      </c>
      <c r="O12" s="152">
        <v>0.2554143909980619</v>
      </c>
      <c r="P12" s="152">
        <v>0.23467790329478466</v>
      </c>
      <c r="Q12" s="152">
        <v>0.33915768441226068</v>
      </c>
      <c r="R12" s="152">
        <v>0.19989294526605131</v>
      </c>
      <c r="S12" s="152">
        <v>0.22087704690015258</v>
      </c>
      <c r="T12" s="152">
        <v>0.23931154049861791</v>
      </c>
      <c r="U12" s="153">
        <v>0.46593230976667288</v>
      </c>
    </row>
    <row r="13" spans="1:21">
      <c r="A13" s="151" t="s">
        <v>4</v>
      </c>
      <c r="B13" s="152">
        <v>0.30184354621561044</v>
      </c>
      <c r="C13" s="152">
        <v>0.24573683262235857</v>
      </c>
      <c r="D13" s="152">
        <v>0.22096316818640335</v>
      </c>
      <c r="E13" s="152">
        <v>6.3625879068560445E-2</v>
      </c>
      <c r="F13" s="152">
        <v>0.3317016248579302</v>
      </c>
      <c r="G13" s="152">
        <v>0.31004774129694135</v>
      </c>
      <c r="H13" s="152">
        <v>0.31705223383168885</v>
      </c>
      <c r="I13" s="152">
        <v>0.12933048622952581</v>
      </c>
      <c r="J13" s="152">
        <v>1.415845389317147E-2</v>
      </c>
      <c r="K13" s="152">
        <v>0.2183729829981087</v>
      </c>
      <c r="L13" s="152">
        <v>1</v>
      </c>
      <c r="M13" s="152">
        <v>0.13963315076050603</v>
      </c>
      <c r="N13" s="152">
        <v>0.33110498803867611</v>
      </c>
      <c r="O13" s="152">
        <v>0.29352049532773572</v>
      </c>
      <c r="P13" s="152">
        <v>0.2715139891324696</v>
      </c>
      <c r="Q13" s="152">
        <v>0.1517539991552197</v>
      </c>
      <c r="R13" s="152">
        <v>0.13193907250472986</v>
      </c>
      <c r="S13" s="152">
        <v>0.12786007333846475</v>
      </c>
      <c r="T13" s="152">
        <v>5.6664241830746961E-2</v>
      </c>
      <c r="U13" s="153">
        <v>0.23561491258064179</v>
      </c>
    </row>
    <row r="14" spans="1:21">
      <c r="A14" s="151" t="s">
        <v>17</v>
      </c>
      <c r="B14" s="152">
        <v>0.28544933247779142</v>
      </c>
      <c r="C14" s="152">
        <v>0.5635089601997495</v>
      </c>
      <c r="D14" s="152">
        <v>0.40816905533762071</v>
      </c>
      <c r="E14" s="152">
        <v>0.15913809148595373</v>
      </c>
      <c r="F14" s="152">
        <v>0.27909253069390005</v>
      </c>
      <c r="G14" s="152">
        <v>0.4278152413921566</v>
      </c>
      <c r="H14" s="152">
        <v>0.35131465612517776</v>
      </c>
      <c r="I14" s="152">
        <v>0.29084288120946139</v>
      </c>
      <c r="J14" s="152">
        <v>0.1573926701744961</v>
      </c>
      <c r="K14" s="152">
        <v>0.24666107541944468</v>
      </c>
      <c r="L14" s="152">
        <v>0.13963315076050603</v>
      </c>
      <c r="M14" s="152">
        <v>1</v>
      </c>
      <c r="N14" s="152">
        <v>0.49659573720957001</v>
      </c>
      <c r="O14" s="152">
        <v>0.19813733899331187</v>
      </c>
      <c r="P14" s="152">
        <v>0.35375829008922577</v>
      </c>
      <c r="Q14" s="152">
        <v>0.15257494501653268</v>
      </c>
      <c r="R14" s="152">
        <v>0.37926947403992706</v>
      </c>
      <c r="S14" s="152">
        <v>0.27752457875975345</v>
      </c>
      <c r="T14" s="152">
        <v>0.29379767153614184</v>
      </c>
      <c r="U14" s="153">
        <v>0.47276209420077603</v>
      </c>
    </row>
    <row r="15" spans="1:21">
      <c r="A15" s="151" t="s">
        <v>16</v>
      </c>
      <c r="B15" s="152">
        <v>0.35094384163056885</v>
      </c>
      <c r="C15" s="152">
        <v>0.53137362169006275</v>
      </c>
      <c r="D15" s="152">
        <v>0.50176923269985207</v>
      </c>
      <c r="E15" s="152">
        <v>0.30090715825699382</v>
      </c>
      <c r="F15" s="152">
        <v>0.61492193483987068</v>
      </c>
      <c r="G15" s="152">
        <v>0.61050684780071585</v>
      </c>
      <c r="H15" s="152">
        <v>0.59747813116582016</v>
      </c>
      <c r="I15" s="152">
        <v>0.47153753533104958</v>
      </c>
      <c r="J15" s="152">
        <v>0.44457760054960538</v>
      </c>
      <c r="K15" s="152">
        <v>0.34329194692317722</v>
      </c>
      <c r="L15" s="152">
        <v>0.33110498803867611</v>
      </c>
      <c r="M15" s="152">
        <v>0.49659573720957001</v>
      </c>
      <c r="N15" s="152">
        <v>1</v>
      </c>
      <c r="O15" s="152">
        <v>0.38588114147803904</v>
      </c>
      <c r="P15" s="152">
        <v>0.49565312899663377</v>
      </c>
      <c r="Q15" s="152">
        <v>0.57625805628586113</v>
      </c>
      <c r="R15" s="152">
        <v>0.39983754847232322</v>
      </c>
      <c r="S15" s="152">
        <v>0.57778132982970787</v>
      </c>
      <c r="T15" s="152">
        <v>0.50947948723857794</v>
      </c>
      <c r="U15" s="153">
        <v>0.64788996095938989</v>
      </c>
    </row>
    <row r="16" spans="1:21">
      <c r="A16" s="151" t="s">
        <v>5</v>
      </c>
      <c r="B16" s="152">
        <v>0.18370806373056364</v>
      </c>
      <c r="C16" s="152">
        <v>0.31672674074320784</v>
      </c>
      <c r="D16" s="152">
        <v>0.32970994846470969</v>
      </c>
      <c r="E16" s="152">
        <v>0.27193264538509987</v>
      </c>
      <c r="F16" s="152">
        <v>0.42431667877048557</v>
      </c>
      <c r="G16" s="152">
        <v>0.35672954377632338</v>
      </c>
      <c r="H16" s="152">
        <v>0.24716523321332007</v>
      </c>
      <c r="I16" s="152">
        <v>0.32507125779873636</v>
      </c>
      <c r="J16" s="152">
        <v>0.28951647476085807</v>
      </c>
      <c r="K16" s="152">
        <v>0.2554143909980619</v>
      </c>
      <c r="L16" s="152">
        <v>0.29352049532773572</v>
      </c>
      <c r="M16" s="152">
        <v>0.19813733899331187</v>
      </c>
      <c r="N16" s="152">
        <v>0.38588114147803904</v>
      </c>
      <c r="O16" s="152">
        <v>1</v>
      </c>
      <c r="P16" s="152">
        <v>0.33742253456509819</v>
      </c>
      <c r="Q16" s="152">
        <v>0.51980080631088477</v>
      </c>
      <c r="R16" s="152">
        <v>0.55833201081994899</v>
      </c>
      <c r="S16" s="152">
        <v>0.38557107307869465</v>
      </c>
      <c r="T16" s="152">
        <v>0.43323731460446396</v>
      </c>
      <c r="U16" s="153">
        <v>0.45447885146653944</v>
      </c>
    </row>
    <row r="17" spans="1:21">
      <c r="A17" s="151" t="s">
        <v>18</v>
      </c>
      <c r="B17" s="152">
        <v>0.69535731458775751</v>
      </c>
      <c r="C17" s="152">
        <v>0.34054171520935933</v>
      </c>
      <c r="D17" s="152">
        <v>0.43358463562981608</v>
      </c>
      <c r="E17" s="152">
        <v>0.3127809152723624</v>
      </c>
      <c r="F17" s="152">
        <v>0.45331790001323274</v>
      </c>
      <c r="G17" s="152">
        <v>0.49886261299405482</v>
      </c>
      <c r="H17" s="152">
        <v>0.49252940731638795</v>
      </c>
      <c r="I17" s="152">
        <v>0.31279163396384302</v>
      </c>
      <c r="J17" s="152">
        <v>0.31724461098469053</v>
      </c>
      <c r="K17" s="152">
        <v>0.23467790329478466</v>
      </c>
      <c r="L17" s="152">
        <v>0.2715139891324696</v>
      </c>
      <c r="M17" s="152">
        <v>0.35375829008922577</v>
      </c>
      <c r="N17" s="152">
        <v>0.49565312899663377</v>
      </c>
      <c r="O17" s="152">
        <v>0.33742253456509819</v>
      </c>
      <c r="P17" s="152">
        <v>1</v>
      </c>
      <c r="Q17" s="152">
        <v>0.42404447443876164</v>
      </c>
      <c r="R17" s="152">
        <v>0.38357865916615547</v>
      </c>
      <c r="S17" s="152">
        <v>0.52812178131675369</v>
      </c>
      <c r="T17" s="152">
        <v>0.5331471170643195</v>
      </c>
      <c r="U17" s="153">
        <v>0.38832027000937175</v>
      </c>
    </row>
    <row r="18" spans="1:21">
      <c r="A18" s="151" t="s">
        <v>21</v>
      </c>
      <c r="B18" s="152">
        <v>0.31756202075590023</v>
      </c>
      <c r="C18" s="152">
        <v>0.41584319121736807</v>
      </c>
      <c r="D18" s="152">
        <v>0.51856810614961635</v>
      </c>
      <c r="E18" s="152">
        <v>0.42122535015582679</v>
      </c>
      <c r="F18" s="152">
        <v>0.57587710908933543</v>
      </c>
      <c r="G18" s="152">
        <v>0.43577149286626005</v>
      </c>
      <c r="H18" s="152">
        <v>0.43874618939265186</v>
      </c>
      <c r="I18" s="152">
        <v>0.53885848777795176</v>
      </c>
      <c r="J18" s="152">
        <v>0.59689918086298399</v>
      </c>
      <c r="K18" s="152">
        <v>0.33915768441226102</v>
      </c>
      <c r="L18" s="152">
        <v>0.1517539991552197</v>
      </c>
      <c r="M18" s="152">
        <v>0.15257494501653268</v>
      </c>
      <c r="N18" s="152">
        <v>0.57625805628586113</v>
      </c>
      <c r="O18" s="152">
        <v>0.51980080631088477</v>
      </c>
      <c r="P18" s="152">
        <v>0.42404447443876164</v>
      </c>
      <c r="Q18" s="152">
        <v>1</v>
      </c>
      <c r="R18" s="152">
        <v>0.45221786379403417</v>
      </c>
      <c r="S18" s="152">
        <v>0.40104298173377984</v>
      </c>
      <c r="T18" s="152">
        <v>0.46905660486229428</v>
      </c>
      <c r="U18" s="153">
        <v>0.57308893298399266</v>
      </c>
    </row>
    <row r="19" spans="1:21">
      <c r="A19" s="151" t="s">
        <v>1</v>
      </c>
      <c r="B19" s="152">
        <v>0.47077774305800729</v>
      </c>
      <c r="C19" s="152">
        <v>0.48469577531549374</v>
      </c>
      <c r="D19" s="152">
        <v>0.48868605992058911</v>
      </c>
      <c r="E19" s="152">
        <v>0.32092184697417681</v>
      </c>
      <c r="F19" s="152">
        <v>0.33170126277881279</v>
      </c>
      <c r="G19" s="152">
        <v>0.37338747176199955</v>
      </c>
      <c r="H19" s="152">
        <v>0.33658882507590637</v>
      </c>
      <c r="I19" s="152">
        <v>0.42023217108942074</v>
      </c>
      <c r="J19" s="152">
        <v>0.39099154548750936</v>
      </c>
      <c r="K19" s="152">
        <v>0.19989294526605131</v>
      </c>
      <c r="L19" s="152">
        <v>0.13193907250472986</v>
      </c>
      <c r="M19" s="152">
        <v>0.37926947403992706</v>
      </c>
      <c r="N19" s="152">
        <v>0.39983754847232322</v>
      </c>
      <c r="O19" s="152">
        <v>0.55833201081994899</v>
      </c>
      <c r="P19" s="152">
        <v>0.38357865916615547</v>
      </c>
      <c r="Q19" s="152">
        <v>0.45221786379403417</v>
      </c>
      <c r="R19" s="152">
        <v>1</v>
      </c>
      <c r="S19" s="152">
        <v>0.70101520092723268</v>
      </c>
      <c r="T19" s="152">
        <v>0.69955996299553258</v>
      </c>
      <c r="U19" s="153">
        <v>0.6053790756203129</v>
      </c>
    </row>
    <row r="20" spans="1:21">
      <c r="A20" s="151" t="s">
        <v>9</v>
      </c>
      <c r="B20" s="152">
        <v>0.40424042077539207</v>
      </c>
      <c r="C20" s="152">
        <v>0.40442149023808932</v>
      </c>
      <c r="D20" s="152">
        <v>0.51231621256899396</v>
      </c>
      <c r="E20" s="152">
        <v>0.22116448664008487</v>
      </c>
      <c r="F20" s="152">
        <v>0.44503639658651756</v>
      </c>
      <c r="G20" s="152">
        <v>0.49490835390667637</v>
      </c>
      <c r="H20" s="152">
        <v>0.53238953712137882</v>
      </c>
      <c r="I20" s="152">
        <v>0.31151089172578594</v>
      </c>
      <c r="J20" s="152">
        <v>0.45144188942407021</v>
      </c>
      <c r="K20" s="152">
        <v>0.22087704690015258</v>
      </c>
      <c r="L20" s="152">
        <v>0.12786007333846475</v>
      </c>
      <c r="M20" s="152">
        <v>0.27752457875975345</v>
      </c>
      <c r="N20" s="152">
        <v>0.57778132982970787</v>
      </c>
      <c r="O20" s="152">
        <v>0.38557107307869465</v>
      </c>
      <c r="P20" s="152">
        <v>0.52812178131675369</v>
      </c>
      <c r="Q20" s="152">
        <v>0.40104298173377984</v>
      </c>
      <c r="R20" s="152">
        <v>0.70101520092723268</v>
      </c>
      <c r="S20" s="152">
        <v>1</v>
      </c>
      <c r="T20" s="152">
        <v>0.7519601648983073</v>
      </c>
      <c r="U20" s="153">
        <v>0.53484411670567766</v>
      </c>
    </row>
    <row r="21" spans="1:21">
      <c r="A21" s="151" t="s">
        <v>0</v>
      </c>
      <c r="B21" s="152">
        <v>0.45197765257140343</v>
      </c>
      <c r="C21" s="152">
        <v>0.44263284079558601</v>
      </c>
      <c r="D21" s="152">
        <v>0.50991915275893118</v>
      </c>
      <c r="E21" s="152">
        <v>0.17973312329858537</v>
      </c>
      <c r="F21" s="152">
        <v>0.34058572117173225</v>
      </c>
      <c r="G21" s="152">
        <v>0.49363734348091476</v>
      </c>
      <c r="H21" s="152">
        <v>0.3386897857956917</v>
      </c>
      <c r="I21" s="152">
        <v>0.33804036829484529</v>
      </c>
      <c r="J21" s="152">
        <v>0.45781449999450929</v>
      </c>
      <c r="K21" s="152">
        <v>0.23931154049861791</v>
      </c>
      <c r="L21" s="152">
        <v>5.6664241830746961E-2</v>
      </c>
      <c r="M21" s="152">
        <v>0.29379767153614184</v>
      </c>
      <c r="N21" s="152">
        <v>0.50947948723857794</v>
      </c>
      <c r="O21" s="152">
        <v>0.43323731460446396</v>
      </c>
      <c r="P21" s="152">
        <v>0.5331471170643195</v>
      </c>
      <c r="Q21" s="152">
        <v>0.46905660486229428</v>
      </c>
      <c r="R21" s="152">
        <v>0.69955996299553258</v>
      </c>
      <c r="S21" s="152">
        <v>0.7519601648983073</v>
      </c>
      <c r="T21" s="152">
        <v>1</v>
      </c>
      <c r="U21" s="153">
        <v>0.53270509728507021</v>
      </c>
    </row>
    <row r="22" spans="1:21" ht="15.75" thickBot="1">
      <c r="A22" s="154" t="s">
        <v>14</v>
      </c>
      <c r="B22" s="155">
        <v>0.48111399016050221</v>
      </c>
      <c r="C22" s="155">
        <v>0.62785483038967616</v>
      </c>
      <c r="D22" s="155">
        <v>0.62120856316759843</v>
      </c>
      <c r="E22" s="155">
        <v>0.53381464439121007</v>
      </c>
      <c r="F22" s="155">
        <v>0.50782896043636438</v>
      </c>
      <c r="G22" s="155">
        <v>0.58306941863444361</v>
      </c>
      <c r="H22" s="155">
        <v>0.53334093426614182</v>
      </c>
      <c r="I22" s="155">
        <v>0.55584728778759229</v>
      </c>
      <c r="J22" s="155">
        <v>0.48289880705162175</v>
      </c>
      <c r="K22" s="155">
        <v>0.46593230976667288</v>
      </c>
      <c r="L22" s="155">
        <v>0.23561491258064179</v>
      </c>
      <c r="M22" s="155">
        <v>0.47276209420077603</v>
      </c>
      <c r="N22" s="155">
        <v>0.64788996095938989</v>
      </c>
      <c r="O22" s="155">
        <v>0.45447885146653944</v>
      </c>
      <c r="P22" s="155">
        <v>0.38832027000937175</v>
      </c>
      <c r="Q22" s="155">
        <v>0.57308893298399266</v>
      </c>
      <c r="R22" s="155">
        <v>0.6053790756203129</v>
      </c>
      <c r="S22" s="155">
        <v>0.53484411670567766</v>
      </c>
      <c r="T22" s="155">
        <v>0.53270509728507021</v>
      </c>
      <c r="U22" s="156">
        <v>1</v>
      </c>
    </row>
    <row r="23" spans="1:21" ht="15.75" thickBot="1"/>
    <row r="24" spans="1:21" ht="26.25" customHeight="1">
      <c r="A24" s="186" t="s">
        <v>31</v>
      </c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8"/>
    </row>
    <row r="25" spans="1:21" ht="16.5" thickBot="1">
      <c r="A25" s="165" t="s">
        <v>27</v>
      </c>
      <c r="B25" s="157" t="s">
        <v>29</v>
      </c>
      <c r="C25" s="157"/>
      <c r="D25" s="157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9"/>
    </row>
    <row r="26" spans="1:21">
      <c r="A26" s="160"/>
      <c r="B26" s="149" t="s">
        <v>6</v>
      </c>
      <c r="C26" s="149" t="s">
        <v>7</v>
      </c>
      <c r="D26" s="149" t="s">
        <v>8</v>
      </c>
      <c r="E26" s="149" t="s">
        <v>13</v>
      </c>
      <c r="F26" s="149" t="s">
        <v>2</v>
      </c>
      <c r="G26" s="149" t="s">
        <v>10</v>
      </c>
      <c r="H26" s="149" t="s">
        <v>3</v>
      </c>
      <c r="I26" s="149" t="s">
        <v>19</v>
      </c>
      <c r="J26" s="149" t="s">
        <v>11</v>
      </c>
      <c r="K26" s="149" t="s">
        <v>15</v>
      </c>
      <c r="L26" s="149" t="s">
        <v>4</v>
      </c>
      <c r="M26" s="149" t="s">
        <v>17</v>
      </c>
      <c r="N26" s="149" t="s">
        <v>16</v>
      </c>
      <c r="O26" s="149" t="s">
        <v>5</v>
      </c>
      <c r="P26" s="149" t="s">
        <v>18</v>
      </c>
      <c r="Q26" s="149" t="s">
        <v>21</v>
      </c>
      <c r="R26" s="149" t="s">
        <v>1</v>
      </c>
      <c r="S26" s="149" t="s">
        <v>9</v>
      </c>
      <c r="T26" s="149" t="s">
        <v>0</v>
      </c>
      <c r="U26" s="150" t="s">
        <v>14</v>
      </c>
    </row>
    <row r="27" spans="1:21">
      <c r="A27" s="151" t="s">
        <v>6</v>
      </c>
      <c r="B27" s="152">
        <f t="array" ref="B27:U46">MMULT(TRANSPOSE(TSSL!B2:U62-'Các chỉ tiêu cơ bản'!B2:U2),TSSL!B2:U62-'Các chỉ tiêu cơ bản'!B2:U2)/61</f>
        <v>1.7331430016992267E-2</v>
      </c>
      <c r="C27" s="152">
        <v>1.1356875578397468E-2</v>
      </c>
      <c r="D27" s="152">
        <v>1.191333265960013E-2</v>
      </c>
      <c r="E27" s="152">
        <v>4.4035668351170764E-3</v>
      </c>
      <c r="F27" s="152">
        <v>2.9420677014500604E-3</v>
      </c>
      <c r="G27" s="152">
        <v>7.7061854815551776E-3</v>
      </c>
      <c r="H27" s="152">
        <v>4.4601810419295637E-3</v>
      </c>
      <c r="I27" s="152">
        <v>5.1961431638687791E-3</v>
      </c>
      <c r="J27" s="152">
        <v>3.5981619236016256E-3</v>
      </c>
      <c r="K27" s="152">
        <v>3.9088589854914622E-3</v>
      </c>
      <c r="L27" s="152">
        <v>4.83417763814596E-3</v>
      </c>
      <c r="M27" s="152">
        <v>5.5966939321274696E-3</v>
      </c>
      <c r="N27" s="152">
        <v>3.9041846044801307E-3</v>
      </c>
      <c r="O27" s="152">
        <v>1.6974418044208516E-3</v>
      </c>
      <c r="P27" s="152">
        <v>1.3145933712828975E-2</v>
      </c>
      <c r="Q27" s="152">
        <v>3.2729224313708147E-3</v>
      </c>
      <c r="R27" s="152">
        <v>5.3817854422589222E-3</v>
      </c>
      <c r="S27" s="152">
        <v>6.2980453823742186E-3</v>
      </c>
      <c r="T27" s="152">
        <v>7.5520291239693739E-3</v>
      </c>
      <c r="U27" s="153">
        <v>9.6242282186377436E-3</v>
      </c>
    </row>
    <row r="28" spans="1:21">
      <c r="A28" s="151" t="s">
        <v>7</v>
      </c>
      <c r="B28" s="152">
        <v>1.1356875578397468E-2</v>
      </c>
      <c r="C28" s="152">
        <v>3.376741467361797E-2</v>
      </c>
      <c r="D28" s="152">
        <v>2.319391643040156E-2</v>
      </c>
      <c r="E28" s="152">
        <v>6.78990373943693E-3</v>
      </c>
      <c r="F28" s="152">
        <v>6.1758943753862337E-3</v>
      </c>
      <c r="G28" s="152">
        <v>1.1397767798662783E-2</v>
      </c>
      <c r="H28" s="152">
        <v>6.4809190711603033E-3</v>
      </c>
      <c r="I28" s="152">
        <v>6.9565122335142442E-3</v>
      </c>
      <c r="J28" s="152">
        <v>7.8550062554487848E-3</v>
      </c>
      <c r="K28" s="152">
        <v>9.7546717093522882E-3</v>
      </c>
      <c r="L28" s="152">
        <v>5.4934183439338405E-3</v>
      </c>
      <c r="M28" s="152">
        <v>1.5421799697934833E-2</v>
      </c>
      <c r="N28" s="152">
        <v>8.251338747658047E-3</v>
      </c>
      <c r="O28" s="152">
        <v>4.0849158304005935E-3</v>
      </c>
      <c r="P28" s="152">
        <v>8.9863935958859002E-3</v>
      </c>
      <c r="Q28" s="152">
        <v>5.9823037076903165E-3</v>
      </c>
      <c r="R28" s="152">
        <v>7.7341287599130108E-3</v>
      </c>
      <c r="S28" s="152">
        <v>8.7949217590763979E-3</v>
      </c>
      <c r="T28" s="152">
        <v>1.0323382842742252E-2</v>
      </c>
      <c r="U28" s="153">
        <v>1.7531088152162182E-2</v>
      </c>
    </row>
    <row r="29" spans="1:21">
      <c r="A29" s="151" t="s">
        <v>8</v>
      </c>
      <c r="B29" s="152">
        <v>1.191333265960013E-2</v>
      </c>
      <c r="C29" s="152">
        <v>2.319391643040156E-2</v>
      </c>
      <c r="D29" s="152">
        <v>3.1051664258783616E-2</v>
      </c>
      <c r="E29" s="152">
        <v>8.1754763570974394E-3</v>
      </c>
      <c r="F29" s="152">
        <v>6.7264827662231142E-3</v>
      </c>
      <c r="G29" s="152">
        <v>1.1472880230791743E-2</v>
      </c>
      <c r="H29" s="152">
        <v>8.5735107008870996E-3</v>
      </c>
      <c r="I29" s="152">
        <v>9.3486330970173996E-3</v>
      </c>
      <c r="J29" s="152">
        <v>9.6084981824906025E-3</v>
      </c>
      <c r="K29" s="152">
        <v>1.0541537477023008E-2</v>
      </c>
      <c r="L29" s="152">
        <v>4.736808645410962E-3</v>
      </c>
      <c r="M29" s="152">
        <v>1.0711932903262042E-2</v>
      </c>
      <c r="N29" s="152">
        <v>7.4717440876747691E-3</v>
      </c>
      <c r="O29" s="152">
        <v>4.0777816518267739E-3</v>
      </c>
      <c r="P29" s="152">
        <v>1.0971917587641067E-2</v>
      </c>
      <c r="Q29" s="152">
        <v>7.1538231587681151E-3</v>
      </c>
      <c r="R29" s="152">
        <v>7.4776588854017952E-3</v>
      </c>
      <c r="S29" s="152">
        <v>1.0683889559798926E-2</v>
      </c>
      <c r="T29" s="152">
        <v>1.1404421505795997E-2</v>
      </c>
      <c r="U29" s="153">
        <v>1.6633383575835277E-2</v>
      </c>
    </row>
    <row r="30" spans="1:21">
      <c r="A30" s="151" t="s">
        <v>13</v>
      </c>
      <c r="B30" s="152">
        <v>4.4035668351170764E-3</v>
      </c>
      <c r="C30" s="152">
        <v>6.78990373943693E-3</v>
      </c>
      <c r="D30" s="152">
        <v>8.1754763570974394E-3</v>
      </c>
      <c r="E30" s="152">
        <v>1.1751646727573411E-2</v>
      </c>
      <c r="F30" s="152">
        <v>2.9503708691277471E-3</v>
      </c>
      <c r="G30" s="152">
        <v>6.1017826546181124E-3</v>
      </c>
      <c r="H30" s="152">
        <v>3.3222056185747881E-3</v>
      </c>
      <c r="I30" s="152">
        <v>4.3842492931067557E-3</v>
      </c>
      <c r="J30" s="152">
        <v>5.1603559469360696E-3</v>
      </c>
      <c r="K30" s="152">
        <v>4.8594240175641751E-3</v>
      </c>
      <c r="L30" s="152">
        <v>8.3908637866970839E-4</v>
      </c>
      <c r="M30" s="152">
        <v>2.5692646144978757E-3</v>
      </c>
      <c r="N30" s="152">
        <v>2.7564962296959339E-3</v>
      </c>
      <c r="O30" s="152">
        <v>2.0689985500930578E-3</v>
      </c>
      <c r="P30" s="152">
        <v>4.869179911182576E-3</v>
      </c>
      <c r="Q30" s="152">
        <v>3.5748170491900887E-3</v>
      </c>
      <c r="R30" s="152">
        <v>3.020938644698433E-3</v>
      </c>
      <c r="S30" s="152">
        <v>2.8373545314168565E-3</v>
      </c>
      <c r="T30" s="152">
        <v>2.4729024223141619E-3</v>
      </c>
      <c r="U30" s="153">
        <v>8.7930709141714868E-3</v>
      </c>
    </row>
    <row r="31" spans="1:21">
      <c r="A31" s="151" t="s">
        <v>2</v>
      </c>
      <c r="B31" s="152">
        <v>2.9420677014500604E-3</v>
      </c>
      <c r="C31" s="152">
        <v>6.1758943753862337E-3</v>
      </c>
      <c r="D31" s="152">
        <v>6.7264827662231142E-3</v>
      </c>
      <c r="E31" s="152">
        <v>2.9503708691277471E-3</v>
      </c>
      <c r="F31" s="152">
        <v>6.954944289785589E-3</v>
      </c>
      <c r="G31" s="152">
        <v>5.9432781243609779E-3</v>
      </c>
      <c r="H31" s="152">
        <v>4.3594370692667693E-3</v>
      </c>
      <c r="I31" s="152">
        <v>2.2731255442030658E-3</v>
      </c>
      <c r="J31" s="152">
        <v>3.8300700035067497E-3</v>
      </c>
      <c r="K31" s="152">
        <v>3.0769096075049444E-3</v>
      </c>
      <c r="L31" s="152">
        <v>3.3652546912412693E-3</v>
      </c>
      <c r="M31" s="152">
        <v>3.4664135047360618E-3</v>
      </c>
      <c r="N31" s="152">
        <v>4.3335352405171968E-3</v>
      </c>
      <c r="O31" s="152">
        <v>2.4836271910431583E-3</v>
      </c>
      <c r="P31" s="152">
        <v>5.4289508232298602E-3</v>
      </c>
      <c r="Q31" s="152">
        <v>3.7598160756820275E-3</v>
      </c>
      <c r="R31" s="152">
        <v>2.4020785814783288E-3</v>
      </c>
      <c r="S31" s="152">
        <v>4.3922920352739356E-3</v>
      </c>
      <c r="T31" s="152">
        <v>3.6049791666762257E-3</v>
      </c>
      <c r="U31" s="153">
        <v>6.4352440255722532E-3</v>
      </c>
    </row>
    <row r="32" spans="1:21">
      <c r="A32" s="151" t="s">
        <v>10</v>
      </c>
      <c r="B32" s="152">
        <v>7.7061854815551776E-3</v>
      </c>
      <c r="C32" s="152">
        <v>1.1397767798662783E-2</v>
      </c>
      <c r="D32" s="152">
        <v>1.1472880230791743E-2</v>
      </c>
      <c r="E32" s="152">
        <v>6.1017826546181124E-3</v>
      </c>
      <c r="F32" s="152">
        <v>5.9432781243609779E-3</v>
      </c>
      <c r="G32" s="152">
        <v>1.9682557848766959E-2</v>
      </c>
      <c r="H32" s="152">
        <v>6.5577936465289702E-3</v>
      </c>
      <c r="I32" s="152">
        <v>5.4706058541315527E-3</v>
      </c>
      <c r="J32" s="152">
        <v>6.3981150522634976E-3</v>
      </c>
      <c r="K32" s="152">
        <v>5.8545611569685956E-3</v>
      </c>
      <c r="L32" s="152">
        <v>5.2916712053475293E-3</v>
      </c>
      <c r="M32" s="152">
        <v>8.9388643651908597E-3</v>
      </c>
      <c r="N32" s="152">
        <v>7.2378041579975374E-3</v>
      </c>
      <c r="O32" s="152">
        <v>3.5126050529059325E-3</v>
      </c>
      <c r="P32" s="152">
        <v>1.0050506230862837E-2</v>
      </c>
      <c r="Q32" s="152">
        <v>4.786185662163849E-3</v>
      </c>
      <c r="R32" s="152">
        <v>4.5487678037437291E-3</v>
      </c>
      <c r="S32" s="152">
        <v>8.217021105044334E-3</v>
      </c>
      <c r="T32" s="152">
        <v>8.789785353266721E-3</v>
      </c>
      <c r="U32" s="153">
        <v>1.2429731865720878E-2</v>
      </c>
    </row>
    <row r="33" spans="1:21">
      <c r="A33" s="151" t="s">
        <v>3</v>
      </c>
      <c r="B33" s="152">
        <v>4.4601810419295637E-3</v>
      </c>
      <c r="C33" s="152">
        <v>6.4809190711603033E-3</v>
      </c>
      <c r="D33" s="152">
        <v>8.5735107008870996E-3</v>
      </c>
      <c r="E33" s="152">
        <v>3.3222056185747881E-3</v>
      </c>
      <c r="F33" s="152">
        <v>4.3594370692667693E-3</v>
      </c>
      <c r="G33" s="152">
        <v>6.5577936465289702E-3</v>
      </c>
      <c r="H33" s="152">
        <v>6.9581829225259613E-3</v>
      </c>
      <c r="I33" s="152">
        <v>3.4383943782748702E-3</v>
      </c>
      <c r="J33" s="152">
        <v>2.6433415661040989E-3</v>
      </c>
      <c r="K33" s="152">
        <v>2.0862576826746818E-3</v>
      </c>
      <c r="L33" s="152">
        <v>3.2173792002289036E-3</v>
      </c>
      <c r="M33" s="152">
        <v>4.3644499285043475E-3</v>
      </c>
      <c r="N33" s="152">
        <v>4.2115838782417004E-3</v>
      </c>
      <c r="O33" s="152">
        <v>1.4470541323772918E-3</v>
      </c>
      <c r="P33" s="152">
        <v>5.8999223851911847E-3</v>
      </c>
      <c r="Q33" s="152">
        <v>2.8651755418302922E-3</v>
      </c>
      <c r="R33" s="152">
        <v>2.4380402547996894E-3</v>
      </c>
      <c r="S33" s="152">
        <v>5.2556481427075072E-3</v>
      </c>
      <c r="T33" s="152">
        <v>3.585745938636831E-3</v>
      </c>
      <c r="U33" s="153">
        <v>6.7601069413025803E-3</v>
      </c>
    </row>
    <row r="34" spans="1:21">
      <c r="A34" s="151" t="s">
        <v>19</v>
      </c>
      <c r="B34" s="152">
        <v>5.1961431638687791E-3</v>
      </c>
      <c r="C34" s="152">
        <v>6.9565122335142442E-3</v>
      </c>
      <c r="D34" s="152">
        <v>9.3486330970173996E-3</v>
      </c>
      <c r="E34" s="152">
        <v>4.3842492931067557E-3</v>
      </c>
      <c r="F34" s="152">
        <v>2.2731255442030658E-3</v>
      </c>
      <c r="G34" s="152">
        <v>5.4706058541315527E-3</v>
      </c>
      <c r="H34" s="152">
        <v>3.4383943782748702E-3</v>
      </c>
      <c r="I34" s="152">
        <v>9.4280971299275703E-3</v>
      </c>
      <c r="J34" s="152">
        <v>5.1220154932562966E-3</v>
      </c>
      <c r="K34" s="152">
        <v>5.7401311214705037E-3</v>
      </c>
      <c r="L34" s="152">
        <v>1.527694256943679E-3</v>
      </c>
      <c r="M34" s="152">
        <v>4.2058694572642006E-3</v>
      </c>
      <c r="N34" s="152">
        <v>3.8690452857327337E-3</v>
      </c>
      <c r="O34" s="152">
        <v>2.215338375807477E-3</v>
      </c>
      <c r="P34" s="152">
        <v>4.3614747693857345E-3</v>
      </c>
      <c r="Q34" s="152">
        <v>4.0961580814859152E-3</v>
      </c>
      <c r="R34" s="152">
        <v>3.5431911223890969E-3</v>
      </c>
      <c r="S34" s="152">
        <v>3.5795967868501944E-3</v>
      </c>
      <c r="T34" s="152">
        <v>4.1659119371108356E-3</v>
      </c>
      <c r="U34" s="153">
        <v>8.2010270252568969E-3</v>
      </c>
    </row>
    <row r="35" spans="1:21">
      <c r="A35" s="151" t="s">
        <v>11</v>
      </c>
      <c r="B35" s="152">
        <v>3.5981619236016256E-3</v>
      </c>
      <c r="C35" s="152">
        <v>7.8550062554487848E-3</v>
      </c>
      <c r="D35" s="152">
        <v>9.6084981824906025E-3</v>
      </c>
      <c r="E35" s="152">
        <v>5.1603559469360696E-3</v>
      </c>
      <c r="F35" s="152">
        <v>3.8300700035067497E-3</v>
      </c>
      <c r="G35" s="152">
        <v>6.3981150522634976E-3</v>
      </c>
      <c r="H35" s="152">
        <v>2.6433415661040989E-3</v>
      </c>
      <c r="I35" s="152">
        <v>5.1220154932562966E-3</v>
      </c>
      <c r="J35" s="152">
        <v>1.46168275157253E-2</v>
      </c>
      <c r="K35" s="152">
        <v>6.0839061098942743E-3</v>
      </c>
      <c r="L35" s="152">
        <v>2.08240838372097E-4</v>
      </c>
      <c r="M35" s="152">
        <v>2.8339774539778944E-3</v>
      </c>
      <c r="N35" s="152">
        <v>4.54202644478356E-3</v>
      </c>
      <c r="O35" s="152">
        <v>2.456684117678624E-3</v>
      </c>
      <c r="P35" s="152">
        <v>5.5079124230874394E-3</v>
      </c>
      <c r="Q35" s="152">
        <v>5.6495974059186027E-3</v>
      </c>
      <c r="R35" s="152">
        <v>4.1047544828943299E-3</v>
      </c>
      <c r="S35" s="152">
        <v>6.4591781884397285E-3</v>
      </c>
      <c r="T35" s="152">
        <v>7.0249882093140403E-3</v>
      </c>
      <c r="U35" s="153">
        <v>8.8712214737876188E-3</v>
      </c>
    </row>
    <row r="36" spans="1:21">
      <c r="A36" s="151" t="s">
        <v>15</v>
      </c>
      <c r="B36" s="152">
        <v>3.9088589854914622E-3</v>
      </c>
      <c r="C36" s="152">
        <v>9.7546717093522882E-3</v>
      </c>
      <c r="D36" s="152">
        <v>1.0541537477023008E-2</v>
      </c>
      <c r="E36" s="152">
        <v>4.8594240175641751E-3</v>
      </c>
      <c r="F36" s="152">
        <v>3.0769096075049444E-3</v>
      </c>
      <c r="G36" s="152">
        <v>5.8545611569685956E-3</v>
      </c>
      <c r="H36" s="152">
        <v>2.0862576826746818E-3</v>
      </c>
      <c r="I36" s="152">
        <v>5.7401311214705037E-3</v>
      </c>
      <c r="J36" s="152">
        <v>6.0839061098942743E-3</v>
      </c>
      <c r="K36" s="152">
        <v>1.2977179788212844E-2</v>
      </c>
      <c r="L36" s="152">
        <v>3.0263041890263372E-3</v>
      </c>
      <c r="M36" s="152">
        <v>4.1848134986629598E-3</v>
      </c>
      <c r="N36" s="152">
        <v>3.3046791185206642E-3</v>
      </c>
      <c r="O36" s="152">
        <v>2.0421375882673626E-3</v>
      </c>
      <c r="P36" s="152">
        <v>3.8390924611279354E-3</v>
      </c>
      <c r="Q36" s="152">
        <v>3.0246963276534537E-3</v>
      </c>
      <c r="R36" s="152">
        <v>1.9773378783572268E-3</v>
      </c>
      <c r="S36" s="152">
        <v>2.9777593533828919E-3</v>
      </c>
      <c r="T36" s="152">
        <v>3.4600573571721776E-3</v>
      </c>
      <c r="U36" s="153">
        <v>8.0651735323518346E-3</v>
      </c>
    </row>
    <row r="37" spans="1:21">
      <c r="A37" s="151" t="s">
        <v>4</v>
      </c>
      <c r="B37" s="152">
        <v>4.83417763814596E-3</v>
      </c>
      <c r="C37" s="152">
        <v>5.4934183439338405E-3</v>
      </c>
      <c r="D37" s="152">
        <v>4.736808645410962E-3</v>
      </c>
      <c r="E37" s="152">
        <v>8.3908637866970839E-4</v>
      </c>
      <c r="F37" s="152">
        <v>3.3652546912412693E-3</v>
      </c>
      <c r="G37" s="152">
        <v>5.2916712053475293E-3</v>
      </c>
      <c r="H37" s="152">
        <v>3.2173792002289036E-3</v>
      </c>
      <c r="I37" s="152">
        <v>1.527694256943679E-3</v>
      </c>
      <c r="J37" s="152">
        <v>2.08240838372097E-4</v>
      </c>
      <c r="K37" s="152">
        <v>3.0263041890263372E-3</v>
      </c>
      <c r="L37" s="152">
        <v>1.479949932509257E-2</v>
      </c>
      <c r="M37" s="152">
        <v>2.5298651699586982E-3</v>
      </c>
      <c r="N37" s="152">
        <v>3.4038056497646624E-3</v>
      </c>
      <c r="O37" s="152">
        <v>2.5061751435386391E-3</v>
      </c>
      <c r="P37" s="152">
        <v>4.7433146402237978E-3</v>
      </c>
      <c r="Q37" s="152">
        <v>1.4452853924037017E-3</v>
      </c>
      <c r="R37" s="152">
        <v>1.393767060799753E-3</v>
      </c>
      <c r="S37" s="152">
        <v>1.8408029868982141E-3</v>
      </c>
      <c r="T37" s="152">
        <v>8.7490739803845904E-4</v>
      </c>
      <c r="U37" s="153">
        <v>4.3553896442336693E-3</v>
      </c>
    </row>
    <row r="38" spans="1:21">
      <c r="A38" s="151" t="s">
        <v>17</v>
      </c>
      <c r="B38" s="152">
        <v>5.5966939321274696E-3</v>
      </c>
      <c r="C38" s="152">
        <v>1.5421799697934833E-2</v>
      </c>
      <c r="D38" s="152">
        <v>1.0711932903262042E-2</v>
      </c>
      <c r="E38" s="152">
        <v>2.5692646144978757E-3</v>
      </c>
      <c r="F38" s="152">
        <v>3.4664135047360618E-3</v>
      </c>
      <c r="G38" s="152">
        <v>8.9388643651908597E-3</v>
      </c>
      <c r="H38" s="152">
        <v>4.3644499285043475E-3</v>
      </c>
      <c r="I38" s="152">
        <v>4.2058694572642006E-3</v>
      </c>
      <c r="J38" s="152">
        <v>2.8339774539778944E-3</v>
      </c>
      <c r="K38" s="152">
        <v>4.1848134986629598E-3</v>
      </c>
      <c r="L38" s="152">
        <v>2.5298651699586982E-3</v>
      </c>
      <c r="M38" s="152">
        <v>2.2180465326192438E-2</v>
      </c>
      <c r="N38" s="152">
        <v>6.2497671010762357E-3</v>
      </c>
      <c r="O38" s="152">
        <v>2.0711002811740695E-3</v>
      </c>
      <c r="P38" s="152">
        <v>7.5658576218924989E-3</v>
      </c>
      <c r="Q38" s="152">
        <v>1.778928551243505E-3</v>
      </c>
      <c r="R38" s="152">
        <v>4.9048583991882239E-3</v>
      </c>
      <c r="S38" s="152">
        <v>4.8914275823427203E-3</v>
      </c>
      <c r="T38" s="152">
        <v>5.5534538988055212E-3</v>
      </c>
      <c r="U38" s="153">
        <v>1.0698643160263194E-2</v>
      </c>
    </row>
    <row r="39" spans="1:21">
      <c r="A39" s="151" t="s">
        <v>16</v>
      </c>
      <c r="B39" s="152">
        <v>3.9041846044801307E-3</v>
      </c>
      <c r="C39" s="152">
        <v>8.251338747658047E-3</v>
      </c>
      <c r="D39" s="152">
        <v>7.4717440876747691E-3</v>
      </c>
      <c r="E39" s="152">
        <v>2.7564962296959339E-3</v>
      </c>
      <c r="F39" s="152">
        <v>4.3335352405171968E-3</v>
      </c>
      <c r="G39" s="152">
        <v>7.2378041579975374E-3</v>
      </c>
      <c r="H39" s="152">
        <v>4.2115838782417004E-3</v>
      </c>
      <c r="I39" s="152">
        <v>3.8690452857327337E-3</v>
      </c>
      <c r="J39" s="152">
        <v>4.54202644478356E-3</v>
      </c>
      <c r="K39" s="152">
        <v>3.3046791185206642E-3</v>
      </c>
      <c r="L39" s="152">
        <v>3.4038056497646624E-3</v>
      </c>
      <c r="M39" s="152">
        <v>6.2497671010762357E-3</v>
      </c>
      <c r="N39" s="152">
        <v>7.1408685670825024E-3</v>
      </c>
      <c r="O39" s="152">
        <v>2.2886456139273982E-3</v>
      </c>
      <c r="P39" s="152">
        <v>6.0147777387325029E-3</v>
      </c>
      <c r="Q39" s="152">
        <v>3.8122597750917262E-3</v>
      </c>
      <c r="R39" s="152">
        <v>2.9339476055642759E-3</v>
      </c>
      <c r="S39" s="152">
        <v>5.7781375149870435E-3</v>
      </c>
      <c r="T39" s="152">
        <v>5.4642645559359283E-3</v>
      </c>
      <c r="U39" s="153">
        <v>8.3191221012270805E-3</v>
      </c>
    </row>
    <row r="40" spans="1:21">
      <c r="A40" s="151" t="s">
        <v>5</v>
      </c>
      <c r="B40" s="152">
        <v>1.6974418044208516E-3</v>
      </c>
      <c r="C40" s="152">
        <v>4.0849158304005935E-3</v>
      </c>
      <c r="D40" s="152">
        <v>4.0777816518267739E-3</v>
      </c>
      <c r="E40" s="152">
        <v>2.0689985500930578E-3</v>
      </c>
      <c r="F40" s="152">
        <v>2.4836271910431583E-3</v>
      </c>
      <c r="G40" s="152">
        <v>3.5126050529059325E-3</v>
      </c>
      <c r="H40" s="152">
        <v>1.4470541323772918E-3</v>
      </c>
      <c r="I40" s="152">
        <v>2.215338375807477E-3</v>
      </c>
      <c r="J40" s="152">
        <v>2.456684117678624E-3</v>
      </c>
      <c r="K40" s="152">
        <v>2.0421375882673626E-3</v>
      </c>
      <c r="L40" s="152">
        <v>2.5061751435386391E-3</v>
      </c>
      <c r="M40" s="152">
        <v>2.0711002811740695E-3</v>
      </c>
      <c r="N40" s="152">
        <v>2.2886456139273982E-3</v>
      </c>
      <c r="O40" s="152">
        <v>4.9260515247496828E-3</v>
      </c>
      <c r="P40" s="152">
        <v>3.4008679557705102E-3</v>
      </c>
      <c r="Q40" s="152">
        <v>2.85611954182159E-3</v>
      </c>
      <c r="R40" s="152">
        <v>3.4027908875498875E-3</v>
      </c>
      <c r="S40" s="152">
        <v>3.202600511722766E-3</v>
      </c>
      <c r="T40" s="152">
        <v>3.85926699415627E-3</v>
      </c>
      <c r="U40" s="153">
        <v>4.8468980174317493E-3</v>
      </c>
    </row>
    <row r="41" spans="1:21">
      <c r="A41" s="151" t="s">
        <v>18</v>
      </c>
      <c r="B41" s="152">
        <v>1.3145933712828975E-2</v>
      </c>
      <c r="C41" s="152">
        <v>8.9863935958859002E-3</v>
      </c>
      <c r="D41" s="152">
        <v>1.0971917587641067E-2</v>
      </c>
      <c r="E41" s="152">
        <v>4.869179911182576E-3</v>
      </c>
      <c r="F41" s="152">
        <v>5.4289508232298602E-3</v>
      </c>
      <c r="G41" s="152">
        <v>1.0050506230862837E-2</v>
      </c>
      <c r="H41" s="152">
        <v>5.8999223851911847E-3</v>
      </c>
      <c r="I41" s="152">
        <v>4.3614747693857345E-3</v>
      </c>
      <c r="J41" s="152">
        <v>5.5079124230874394E-3</v>
      </c>
      <c r="K41" s="152">
        <v>3.8390924611279354E-3</v>
      </c>
      <c r="L41" s="152">
        <v>4.7433146402237978E-3</v>
      </c>
      <c r="M41" s="152">
        <v>7.5658576218924989E-3</v>
      </c>
      <c r="N41" s="152">
        <v>6.0147777387325029E-3</v>
      </c>
      <c r="O41" s="152">
        <v>3.4008679557705102E-3</v>
      </c>
      <c r="P41" s="152">
        <v>2.0622077915632891E-2</v>
      </c>
      <c r="Q41" s="152">
        <v>4.7672461533435368E-3</v>
      </c>
      <c r="R41" s="152">
        <v>4.7831489640223169E-3</v>
      </c>
      <c r="S41" s="152">
        <v>8.9753034487230435E-3</v>
      </c>
      <c r="T41" s="152">
        <v>9.7172364779587357E-3</v>
      </c>
      <c r="U41" s="153">
        <v>8.4733861933815602E-3</v>
      </c>
    </row>
    <row r="42" spans="1:21">
      <c r="A42" s="151" t="s">
        <v>21</v>
      </c>
      <c r="B42" s="152">
        <v>3.2729224313708147E-3</v>
      </c>
      <c r="C42" s="152">
        <v>5.9823037076903165E-3</v>
      </c>
      <c r="D42" s="152">
        <v>7.1538231587681151E-3</v>
      </c>
      <c r="E42" s="152">
        <v>3.5748170491900887E-3</v>
      </c>
      <c r="F42" s="152">
        <v>3.7598160756820275E-3</v>
      </c>
      <c r="G42" s="152">
        <v>4.786185662163849E-3</v>
      </c>
      <c r="H42" s="152">
        <v>2.8651755418302922E-3</v>
      </c>
      <c r="I42" s="152">
        <v>4.0961580814859152E-3</v>
      </c>
      <c r="J42" s="152">
        <v>5.6495974059186027E-3</v>
      </c>
      <c r="K42" s="152">
        <v>3.0246963276534537E-3</v>
      </c>
      <c r="L42" s="152">
        <v>1.4452853924037017E-3</v>
      </c>
      <c r="M42" s="152">
        <v>1.778928551243505E-3</v>
      </c>
      <c r="N42" s="152">
        <v>3.8122597750917262E-3</v>
      </c>
      <c r="O42" s="152">
        <v>2.85611954182159E-3</v>
      </c>
      <c r="P42" s="152">
        <v>4.7672461533435368E-3</v>
      </c>
      <c r="Q42" s="152">
        <v>6.1288630013695677E-3</v>
      </c>
      <c r="R42" s="152">
        <v>3.0741915825132464E-3</v>
      </c>
      <c r="S42" s="152">
        <v>3.7156066111048098E-3</v>
      </c>
      <c r="T42" s="152">
        <v>4.6606308709602117E-3</v>
      </c>
      <c r="U42" s="153">
        <v>6.8173047236230371E-3</v>
      </c>
    </row>
    <row r="43" spans="1:21">
      <c r="A43" s="151" t="s">
        <v>1</v>
      </c>
      <c r="B43" s="152">
        <v>5.3817854422589222E-3</v>
      </c>
      <c r="C43" s="152">
        <v>7.7341287599130108E-3</v>
      </c>
      <c r="D43" s="152">
        <v>7.4776588854017952E-3</v>
      </c>
      <c r="E43" s="152">
        <v>3.020938644698433E-3</v>
      </c>
      <c r="F43" s="152">
        <v>2.4020785814783288E-3</v>
      </c>
      <c r="G43" s="152">
        <v>4.5487678037437291E-3</v>
      </c>
      <c r="H43" s="152">
        <v>2.4380402547996894E-3</v>
      </c>
      <c r="I43" s="152">
        <v>3.5431911223890969E-3</v>
      </c>
      <c r="J43" s="152">
        <v>4.1047544828943299E-3</v>
      </c>
      <c r="K43" s="152">
        <v>1.9773378783572268E-3</v>
      </c>
      <c r="L43" s="152">
        <v>1.393767060799753E-3</v>
      </c>
      <c r="M43" s="152">
        <v>4.9048583991882239E-3</v>
      </c>
      <c r="N43" s="152">
        <v>2.9339476055642759E-3</v>
      </c>
      <c r="O43" s="152">
        <v>3.4027908875498875E-3</v>
      </c>
      <c r="P43" s="152">
        <v>4.7831489640223169E-3</v>
      </c>
      <c r="Q43" s="152">
        <v>3.0741915825132464E-3</v>
      </c>
      <c r="R43" s="152">
        <v>7.5402633851641377E-3</v>
      </c>
      <c r="S43" s="152">
        <v>7.2039309766488355E-3</v>
      </c>
      <c r="T43" s="152">
        <v>7.709881431788447E-3</v>
      </c>
      <c r="U43" s="153">
        <v>7.9876935030269401E-3</v>
      </c>
    </row>
    <row r="44" spans="1:21">
      <c r="A44" s="151" t="s">
        <v>9</v>
      </c>
      <c r="B44" s="152">
        <v>6.2980453823742186E-3</v>
      </c>
      <c r="C44" s="152">
        <v>8.7949217590763979E-3</v>
      </c>
      <c r="D44" s="152">
        <v>1.0683889559798926E-2</v>
      </c>
      <c r="E44" s="152">
        <v>2.8373545314168565E-3</v>
      </c>
      <c r="F44" s="152">
        <v>4.3922920352739356E-3</v>
      </c>
      <c r="G44" s="152">
        <v>8.217021105044334E-3</v>
      </c>
      <c r="H44" s="152">
        <v>5.2556481427075072E-3</v>
      </c>
      <c r="I44" s="152">
        <v>3.5795967868501944E-3</v>
      </c>
      <c r="J44" s="152">
        <v>6.4591781884397285E-3</v>
      </c>
      <c r="K44" s="152">
        <v>2.9777593533828919E-3</v>
      </c>
      <c r="L44" s="152">
        <v>1.8408029868982141E-3</v>
      </c>
      <c r="M44" s="152">
        <v>4.8914275823427203E-3</v>
      </c>
      <c r="N44" s="152">
        <v>5.7781375149870435E-3</v>
      </c>
      <c r="O44" s="152">
        <v>3.202600511722766E-3</v>
      </c>
      <c r="P44" s="152">
        <v>8.9753034487230435E-3</v>
      </c>
      <c r="Q44" s="152">
        <v>3.7156066111048098E-3</v>
      </c>
      <c r="R44" s="152">
        <v>7.2039309766488355E-3</v>
      </c>
      <c r="S44" s="152">
        <v>1.4005470369855359E-2</v>
      </c>
      <c r="T44" s="152">
        <v>1.1294660440450428E-2</v>
      </c>
      <c r="U44" s="153">
        <v>9.6178234480983702E-3</v>
      </c>
    </row>
    <row r="45" spans="1:21">
      <c r="A45" s="151" t="s">
        <v>0</v>
      </c>
      <c r="B45" s="152">
        <v>7.5520291239693739E-3</v>
      </c>
      <c r="C45" s="152">
        <v>1.0323382842742252E-2</v>
      </c>
      <c r="D45" s="152">
        <v>1.1404421505795997E-2</v>
      </c>
      <c r="E45" s="152">
        <v>2.4729024223141619E-3</v>
      </c>
      <c r="F45" s="152">
        <v>3.6049791666762257E-3</v>
      </c>
      <c r="G45" s="152">
        <v>8.789785353266721E-3</v>
      </c>
      <c r="H45" s="152">
        <v>3.585745938636831E-3</v>
      </c>
      <c r="I45" s="152">
        <v>4.1659119371108356E-3</v>
      </c>
      <c r="J45" s="152">
        <v>7.0249882093140403E-3</v>
      </c>
      <c r="K45" s="152">
        <v>3.4600573571721776E-3</v>
      </c>
      <c r="L45" s="152">
        <v>8.7490739803845904E-4</v>
      </c>
      <c r="M45" s="152">
        <v>5.5534538988055212E-3</v>
      </c>
      <c r="N45" s="152">
        <v>5.4642645559359283E-3</v>
      </c>
      <c r="O45" s="152">
        <v>3.85926699415627E-3</v>
      </c>
      <c r="P45" s="152">
        <v>9.7172364779587357E-3</v>
      </c>
      <c r="Q45" s="152">
        <v>4.6606308709602117E-3</v>
      </c>
      <c r="R45" s="152">
        <v>7.709881431788447E-3</v>
      </c>
      <c r="S45" s="152">
        <v>1.1294660440450428E-2</v>
      </c>
      <c r="T45" s="152">
        <v>1.6108644229751726E-2</v>
      </c>
      <c r="U45" s="153">
        <v>1.0273468071095387E-2</v>
      </c>
    </row>
    <row r="46" spans="1:21" ht="15.75" thickBot="1">
      <c r="A46" s="154" t="s">
        <v>14</v>
      </c>
      <c r="B46" s="155">
        <v>9.6242282186377436E-3</v>
      </c>
      <c r="C46" s="155">
        <v>1.7531088152162182E-2</v>
      </c>
      <c r="D46" s="155">
        <v>1.6633383575835277E-2</v>
      </c>
      <c r="E46" s="155">
        <v>8.7930709141714868E-3</v>
      </c>
      <c r="F46" s="155">
        <v>6.4352440255722532E-3</v>
      </c>
      <c r="G46" s="155">
        <v>1.2429731865720878E-2</v>
      </c>
      <c r="H46" s="155">
        <v>6.7601069413025803E-3</v>
      </c>
      <c r="I46" s="155">
        <v>8.2010270252568969E-3</v>
      </c>
      <c r="J46" s="155">
        <v>8.8712214737876188E-3</v>
      </c>
      <c r="K46" s="155">
        <v>8.0651735323518346E-3</v>
      </c>
      <c r="L46" s="155">
        <v>4.3553896442336693E-3</v>
      </c>
      <c r="M46" s="155">
        <v>1.0698643160263194E-2</v>
      </c>
      <c r="N46" s="155">
        <v>8.3191221012270805E-3</v>
      </c>
      <c r="O46" s="155">
        <v>4.8468980174317493E-3</v>
      </c>
      <c r="P46" s="155">
        <v>8.4733861933815602E-3</v>
      </c>
      <c r="Q46" s="155">
        <v>6.8173047236230371E-3</v>
      </c>
      <c r="R46" s="155">
        <v>7.9876935030269401E-3</v>
      </c>
      <c r="S46" s="155">
        <v>9.6178234480983702E-3</v>
      </c>
      <c r="T46" s="155">
        <v>1.0273468071095387E-2</v>
      </c>
      <c r="U46" s="156">
        <v>2.3088805021152101E-2</v>
      </c>
    </row>
    <row r="47" spans="1:21" ht="15.75" thickBot="1">
      <c r="A47" s="161" t="s">
        <v>28</v>
      </c>
      <c r="B47" s="162" t="s">
        <v>30</v>
      </c>
      <c r="C47" s="162"/>
      <c r="D47" s="162"/>
      <c r="E47" s="162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4"/>
    </row>
    <row r="48" spans="1:21">
      <c r="A48" s="148"/>
      <c r="B48" s="149" t="s">
        <v>6</v>
      </c>
      <c r="C48" s="149" t="s">
        <v>7</v>
      </c>
      <c r="D48" s="149" t="s">
        <v>8</v>
      </c>
      <c r="E48" s="149" t="s">
        <v>13</v>
      </c>
      <c r="F48" s="149" t="s">
        <v>2</v>
      </c>
      <c r="G48" s="149" t="s">
        <v>10</v>
      </c>
      <c r="H48" s="149" t="s">
        <v>3</v>
      </c>
      <c r="I48" s="149" t="s">
        <v>19</v>
      </c>
      <c r="J48" s="149" t="s">
        <v>11</v>
      </c>
      <c r="K48" s="149" t="s">
        <v>15</v>
      </c>
      <c r="L48" s="149" t="s">
        <v>4</v>
      </c>
      <c r="M48" s="149" t="s">
        <v>17</v>
      </c>
      <c r="N48" s="149" t="s">
        <v>16</v>
      </c>
      <c r="O48" s="149" t="s">
        <v>5</v>
      </c>
      <c r="P48" s="149" t="s">
        <v>18</v>
      </c>
      <c r="Q48" s="149" t="s">
        <v>21</v>
      </c>
      <c r="R48" s="149" t="s">
        <v>1</v>
      </c>
      <c r="S48" s="149" t="s">
        <v>9</v>
      </c>
      <c r="T48" s="149" t="s">
        <v>0</v>
      </c>
      <c r="U48" s="150" t="s">
        <v>14</v>
      </c>
    </row>
    <row r="49" spans="1:21">
      <c r="A49" s="151" t="s">
        <v>6</v>
      </c>
      <c r="B49" s="152">
        <v>1.733143001699226E-2</v>
      </c>
      <c r="C49" s="152">
        <v>1.1356875578397468E-2</v>
      </c>
      <c r="D49" s="152">
        <v>1.191333265960013E-2</v>
      </c>
      <c r="E49" s="152">
        <v>4.4035668351170764E-3</v>
      </c>
      <c r="F49" s="152">
        <v>2.9420677014500604E-3</v>
      </c>
      <c r="G49" s="152">
        <v>7.7061854815551776E-3</v>
      </c>
      <c r="H49" s="152">
        <v>4.4601810419295637E-3</v>
      </c>
      <c r="I49" s="152">
        <v>5.1961431638687791E-3</v>
      </c>
      <c r="J49" s="152">
        <v>3.5981619236016256E-3</v>
      </c>
      <c r="K49" s="152">
        <v>3.9088589854914622E-3</v>
      </c>
      <c r="L49" s="152">
        <v>4.83417763814596E-3</v>
      </c>
      <c r="M49" s="152">
        <v>5.5966939321274696E-3</v>
      </c>
      <c r="N49" s="152">
        <v>3.9041846044801307E-3</v>
      </c>
      <c r="O49" s="152">
        <v>1.6974418044208516E-3</v>
      </c>
      <c r="P49" s="152">
        <v>1.3145933712828975E-2</v>
      </c>
      <c r="Q49" s="152">
        <v>3.2729224313708147E-3</v>
      </c>
      <c r="R49" s="152">
        <v>5.3817854422589222E-3</v>
      </c>
      <c r="S49" s="152">
        <v>6.2980453823742186E-3</v>
      </c>
      <c r="T49" s="152">
        <v>7.5520291239693739E-3</v>
      </c>
      <c r="U49" s="153">
        <v>9.6242282186377436E-3</v>
      </c>
    </row>
    <row r="50" spans="1:21">
      <c r="A50" s="151" t="s">
        <v>7</v>
      </c>
      <c r="B50" s="152">
        <v>1.1356875578397468E-2</v>
      </c>
      <c r="C50" s="152">
        <v>3.3767414673617983E-2</v>
      </c>
      <c r="D50" s="152">
        <v>2.319391643040156E-2</v>
      </c>
      <c r="E50" s="152">
        <v>6.78990373943693E-3</v>
      </c>
      <c r="F50" s="152">
        <v>6.1758943753862337E-3</v>
      </c>
      <c r="G50" s="152">
        <v>1.1397767798662783E-2</v>
      </c>
      <c r="H50" s="152">
        <v>6.4809190711603033E-3</v>
      </c>
      <c r="I50" s="152">
        <v>6.9565122335142442E-3</v>
      </c>
      <c r="J50" s="152">
        <v>7.8550062554487848E-3</v>
      </c>
      <c r="K50" s="152">
        <v>9.7546717093522882E-3</v>
      </c>
      <c r="L50" s="152">
        <v>5.4934183439338405E-3</v>
      </c>
      <c r="M50" s="152">
        <v>1.5421799697934833E-2</v>
      </c>
      <c r="N50" s="152">
        <v>8.251338747658047E-3</v>
      </c>
      <c r="O50" s="152">
        <v>4.0849158304005935E-3</v>
      </c>
      <c r="P50" s="152">
        <v>8.9863935958859002E-3</v>
      </c>
      <c r="Q50" s="152">
        <v>5.9823037076903165E-3</v>
      </c>
      <c r="R50" s="152">
        <v>7.7341287599130108E-3</v>
      </c>
      <c r="S50" s="152">
        <v>8.7949217590763979E-3</v>
      </c>
      <c r="T50" s="152">
        <v>1.0323382842742252E-2</v>
      </c>
      <c r="U50" s="153">
        <v>1.7531088152162182E-2</v>
      </c>
    </row>
    <row r="51" spans="1:21">
      <c r="A51" s="151" t="s">
        <v>8</v>
      </c>
      <c r="B51" s="152">
        <v>1.191333265960013E-2</v>
      </c>
      <c r="C51" s="152">
        <v>2.319391643040156E-2</v>
      </c>
      <c r="D51" s="152">
        <v>3.1051664258783619E-2</v>
      </c>
      <c r="E51" s="152">
        <v>8.1754763570974394E-3</v>
      </c>
      <c r="F51" s="152">
        <v>6.7264827662231142E-3</v>
      </c>
      <c r="G51" s="152">
        <v>1.1472880230791743E-2</v>
      </c>
      <c r="H51" s="152">
        <v>8.5735107008870996E-3</v>
      </c>
      <c r="I51" s="152">
        <v>9.3486330970173996E-3</v>
      </c>
      <c r="J51" s="152">
        <v>9.6084981824906025E-3</v>
      </c>
      <c r="K51" s="152">
        <v>1.0541537477023008E-2</v>
      </c>
      <c r="L51" s="152">
        <v>4.736808645410962E-3</v>
      </c>
      <c r="M51" s="152">
        <v>1.0711932903262042E-2</v>
      </c>
      <c r="N51" s="152">
        <v>7.4717440876747691E-3</v>
      </c>
      <c r="O51" s="152">
        <v>4.0777816518267739E-3</v>
      </c>
      <c r="P51" s="152">
        <v>1.0971917587641067E-2</v>
      </c>
      <c r="Q51" s="152">
        <v>7.1538231587681151E-3</v>
      </c>
      <c r="R51" s="152">
        <v>7.4776588854017952E-3</v>
      </c>
      <c r="S51" s="152">
        <v>1.0683889559798926E-2</v>
      </c>
      <c r="T51" s="152">
        <v>1.1404421505795997E-2</v>
      </c>
      <c r="U51" s="153">
        <v>1.6633383575835277E-2</v>
      </c>
    </row>
    <row r="52" spans="1:21">
      <c r="A52" s="151" t="s">
        <v>13</v>
      </c>
      <c r="B52" s="152">
        <v>4.4035668351170764E-3</v>
      </c>
      <c r="C52" s="152">
        <v>6.78990373943693E-3</v>
      </c>
      <c r="D52" s="152">
        <v>8.1754763570974394E-3</v>
      </c>
      <c r="E52" s="152">
        <v>1.1751646727573409E-2</v>
      </c>
      <c r="F52" s="152">
        <v>2.9503708691277471E-3</v>
      </c>
      <c r="G52" s="152">
        <v>6.1017826546181124E-3</v>
      </c>
      <c r="H52" s="152">
        <v>3.3222056185747881E-3</v>
      </c>
      <c r="I52" s="152">
        <v>4.3842492931067557E-3</v>
      </c>
      <c r="J52" s="152">
        <v>5.1603559469360696E-3</v>
      </c>
      <c r="K52" s="152">
        <v>4.8594240175641751E-3</v>
      </c>
      <c r="L52" s="152">
        <v>8.3908637866970839E-4</v>
      </c>
      <c r="M52" s="152">
        <v>2.5692646144978757E-3</v>
      </c>
      <c r="N52" s="152">
        <v>2.7564962296959339E-3</v>
      </c>
      <c r="O52" s="152">
        <v>2.0689985500930578E-3</v>
      </c>
      <c r="P52" s="152">
        <v>4.869179911182576E-3</v>
      </c>
      <c r="Q52" s="152">
        <v>3.5748170491900887E-3</v>
      </c>
      <c r="R52" s="152">
        <v>3.020938644698433E-3</v>
      </c>
      <c r="S52" s="152">
        <v>2.8373545314168565E-3</v>
      </c>
      <c r="T52" s="152">
        <v>2.4729024223141619E-3</v>
      </c>
      <c r="U52" s="153">
        <v>8.7930709141714868E-3</v>
      </c>
    </row>
    <row r="53" spans="1:21">
      <c r="A53" s="151" t="s">
        <v>2</v>
      </c>
      <c r="B53" s="152">
        <v>2.9420677014500604E-3</v>
      </c>
      <c r="C53" s="152">
        <v>6.1758943753862337E-3</v>
      </c>
      <c r="D53" s="152">
        <v>6.7264827662231142E-3</v>
      </c>
      <c r="E53" s="152">
        <v>2.9503708691277471E-3</v>
      </c>
      <c r="F53" s="152">
        <v>6.9549442897855899E-3</v>
      </c>
      <c r="G53" s="152">
        <v>5.9432781243609779E-3</v>
      </c>
      <c r="H53" s="152">
        <v>4.3594370692667693E-3</v>
      </c>
      <c r="I53" s="152">
        <v>2.2731255442030658E-3</v>
      </c>
      <c r="J53" s="152">
        <v>3.8300700035067497E-3</v>
      </c>
      <c r="K53" s="152">
        <v>3.0769096075049444E-3</v>
      </c>
      <c r="L53" s="152">
        <v>3.3652546912412693E-3</v>
      </c>
      <c r="M53" s="152">
        <v>3.4664135047360618E-3</v>
      </c>
      <c r="N53" s="152">
        <v>4.3335352405171968E-3</v>
      </c>
      <c r="O53" s="152">
        <v>2.4836271910431583E-3</v>
      </c>
      <c r="P53" s="152">
        <v>5.4289508232298602E-3</v>
      </c>
      <c r="Q53" s="152">
        <v>3.7598160756820275E-3</v>
      </c>
      <c r="R53" s="152">
        <v>2.4020785814783288E-3</v>
      </c>
      <c r="S53" s="152">
        <v>4.3922920352739356E-3</v>
      </c>
      <c r="T53" s="152">
        <v>3.6049791666762257E-3</v>
      </c>
      <c r="U53" s="153">
        <v>6.4352440255722532E-3</v>
      </c>
    </row>
    <row r="54" spans="1:21">
      <c r="A54" s="151" t="s">
        <v>10</v>
      </c>
      <c r="B54" s="152">
        <v>7.7061854815551776E-3</v>
      </c>
      <c r="C54" s="152">
        <v>1.1397767798662783E-2</v>
      </c>
      <c r="D54" s="152">
        <v>1.1472880230791743E-2</v>
      </c>
      <c r="E54" s="152">
        <v>6.1017826546181124E-3</v>
      </c>
      <c r="F54" s="152">
        <v>5.9432781243609779E-3</v>
      </c>
      <c r="G54" s="152">
        <v>1.9682557848766959E-2</v>
      </c>
      <c r="H54" s="152">
        <v>6.5577936465289702E-3</v>
      </c>
      <c r="I54" s="152">
        <v>5.4706058541315527E-3</v>
      </c>
      <c r="J54" s="152">
        <v>6.3981150522634976E-3</v>
      </c>
      <c r="K54" s="152">
        <v>5.8545611569685956E-3</v>
      </c>
      <c r="L54" s="152">
        <v>5.2916712053475293E-3</v>
      </c>
      <c r="M54" s="152">
        <v>8.9388643651908597E-3</v>
      </c>
      <c r="N54" s="152">
        <v>7.2378041579975374E-3</v>
      </c>
      <c r="O54" s="152">
        <v>3.5126050529059325E-3</v>
      </c>
      <c r="P54" s="152">
        <v>1.0050506230862837E-2</v>
      </c>
      <c r="Q54" s="152">
        <v>4.786185662163849E-3</v>
      </c>
      <c r="R54" s="152">
        <v>4.5487678037437291E-3</v>
      </c>
      <c r="S54" s="152">
        <v>8.217021105044334E-3</v>
      </c>
      <c r="T54" s="152">
        <v>8.789785353266721E-3</v>
      </c>
      <c r="U54" s="153">
        <v>1.2429731865720878E-2</v>
      </c>
    </row>
    <row r="55" spans="1:21">
      <c r="A55" s="151" t="s">
        <v>3</v>
      </c>
      <c r="B55" s="152">
        <v>4.4601810419295637E-3</v>
      </c>
      <c r="C55" s="152">
        <v>6.4809190711603033E-3</v>
      </c>
      <c r="D55" s="152">
        <v>8.5735107008870996E-3</v>
      </c>
      <c r="E55" s="152">
        <v>3.3222056185747881E-3</v>
      </c>
      <c r="F55" s="152">
        <v>4.3594370692667693E-3</v>
      </c>
      <c r="G55" s="152">
        <v>6.5577936465289702E-3</v>
      </c>
      <c r="H55" s="152">
        <v>6.9581829225259587E-3</v>
      </c>
      <c r="I55" s="152">
        <v>3.4383943782748702E-3</v>
      </c>
      <c r="J55" s="152">
        <v>2.6433415661040989E-3</v>
      </c>
      <c r="K55" s="152">
        <v>2.0862576826746818E-3</v>
      </c>
      <c r="L55" s="152">
        <v>3.2173792002289036E-3</v>
      </c>
      <c r="M55" s="152">
        <v>4.3644499285043475E-3</v>
      </c>
      <c r="N55" s="152">
        <v>4.2115838782417004E-3</v>
      </c>
      <c r="O55" s="152">
        <v>1.4470541323772918E-3</v>
      </c>
      <c r="P55" s="152">
        <v>5.8999223851911847E-3</v>
      </c>
      <c r="Q55" s="152">
        <v>2.8651755418302922E-3</v>
      </c>
      <c r="R55" s="152">
        <v>2.4380402547996894E-3</v>
      </c>
      <c r="S55" s="152">
        <v>5.2556481427075072E-3</v>
      </c>
      <c r="T55" s="152">
        <v>3.585745938636831E-3</v>
      </c>
      <c r="U55" s="153">
        <v>6.7601069413025803E-3</v>
      </c>
    </row>
    <row r="56" spans="1:21">
      <c r="A56" s="151" t="s">
        <v>19</v>
      </c>
      <c r="B56" s="152">
        <v>5.1961431638687791E-3</v>
      </c>
      <c r="C56" s="152">
        <v>6.9565122335142442E-3</v>
      </c>
      <c r="D56" s="152">
        <v>9.3486330970173996E-3</v>
      </c>
      <c r="E56" s="152">
        <v>4.3842492931067557E-3</v>
      </c>
      <c r="F56" s="152">
        <v>2.2731255442030658E-3</v>
      </c>
      <c r="G56" s="152">
        <v>5.4706058541315527E-3</v>
      </c>
      <c r="H56" s="152">
        <v>3.4383943782748702E-3</v>
      </c>
      <c r="I56" s="152">
        <v>9.428097129927572E-3</v>
      </c>
      <c r="J56" s="152">
        <v>5.1220154932562966E-3</v>
      </c>
      <c r="K56" s="152">
        <v>5.7401311214705037E-3</v>
      </c>
      <c r="L56" s="152">
        <v>1.527694256943679E-3</v>
      </c>
      <c r="M56" s="152">
        <v>4.2058694572642006E-3</v>
      </c>
      <c r="N56" s="152">
        <v>3.8690452857327337E-3</v>
      </c>
      <c r="O56" s="152">
        <v>2.215338375807477E-3</v>
      </c>
      <c r="P56" s="152">
        <v>4.3614747693857345E-3</v>
      </c>
      <c r="Q56" s="152">
        <v>4.0961580814859152E-3</v>
      </c>
      <c r="R56" s="152">
        <v>3.5431911223890969E-3</v>
      </c>
      <c r="S56" s="152">
        <v>3.5795967868501944E-3</v>
      </c>
      <c r="T56" s="152">
        <v>4.1659119371108356E-3</v>
      </c>
      <c r="U56" s="153">
        <v>8.2010270252568969E-3</v>
      </c>
    </row>
    <row r="57" spans="1:21">
      <c r="A57" s="151" t="s">
        <v>11</v>
      </c>
      <c r="B57" s="152">
        <v>3.5981619236016256E-3</v>
      </c>
      <c r="C57" s="152">
        <v>7.8550062554487848E-3</v>
      </c>
      <c r="D57" s="152">
        <v>9.6084981824906025E-3</v>
      </c>
      <c r="E57" s="152">
        <v>5.1603559469360696E-3</v>
      </c>
      <c r="F57" s="152">
        <v>3.8300700035067497E-3</v>
      </c>
      <c r="G57" s="152">
        <v>6.3981150522634976E-3</v>
      </c>
      <c r="H57" s="152">
        <v>2.6433415661040989E-3</v>
      </c>
      <c r="I57" s="152">
        <v>5.1220154932562966E-3</v>
      </c>
      <c r="J57" s="152">
        <v>1.4616827515725309E-2</v>
      </c>
      <c r="K57" s="152">
        <v>6.0839061098942743E-3</v>
      </c>
      <c r="L57" s="152">
        <v>2.08240838372097E-4</v>
      </c>
      <c r="M57" s="152">
        <v>2.8339774539778944E-3</v>
      </c>
      <c r="N57" s="152">
        <v>4.54202644478356E-3</v>
      </c>
      <c r="O57" s="152">
        <v>2.456684117678624E-3</v>
      </c>
      <c r="P57" s="152">
        <v>5.5079124230874394E-3</v>
      </c>
      <c r="Q57" s="152">
        <v>5.6495974059186027E-3</v>
      </c>
      <c r="R57" s="152">
        <v>4.1047544828943299E-3</v>
      </c>
      <c r="S57" s="152">
        <v>6.4591781884397285E-3</v>
      </c>
      <c r="T57" s="152">
        <v>7.0249882093140403E-3</v>
      </c>
      <c r="U57" s="153">
        <v>8.8712214737876188E-3</v>
      </c>
    </row>
    <row r="58" spans="1:21">
      <c r="A58" s="151" t="s">
        <v>15</v>
      </c>
      <c r="B58" s="152">
        <v>3.9088589854914622E-3</v>
      </c>
      <c r="C58" s="152">
        <v>9.7546717093522882E-3</v>
      </c>
      <c r="D58" s="152">
        <v>1.0541537477023008E-2</v>
      </c>
      <c r="E58" s="152">
        <v>4.8594240175641751E-3</v>
      </c>
      <c r="F58" s="152">
        <v>3.0769096075049444E-3</v>
      </c>
      <c r="G58" s="152">
        <v>5.8545611569685956E-3</v>
      </c>
      <c r="H58" s="152">
        <v>2.0862576826746818E-3</v>
      </c>
      <c r="I58" s="152">
        <v>5.7401311214705037E-3</v>
      </c>
      <c r="J58" s="152">
        <v>6.0839061098942743E-3</v>
      </c>
      <c r="K58" s="152">
        <v>1.2977179788212844E-2</v>
      </c>
      <c r="L58" s="152">
        <v>3.0263041890263372E-3</v>
      </c>
      <c r="M58" s="152">
        <v>4.1848134986629598E-3</v>
      </c>
      <c r="N58" s="152">
        <v>3.3046791185206642E-3</v>
      </c>
      <c r="O58" s="152">
        <v>2.0421375882673626E-3</v>
      </c>
      <c r="P58" s="152">
        <v>3.8390924611279354E-3</v>
      </c>
      <c r="Q58" s="152">
        <v>3.0246963276534537E-3</v>
      </c>
      <c r="R58" s="152">
        <v>1.9773378783572268E-3</v>
      </c>
      <c r="S58" s="152">
        <v>2.9777593533828919E-3</v>
      </c>
      <c r="T58" s="152">
        <v>3.4600573571721776E-3</v>
      </c>
      <c r="U58" s="153">
        <v>8.0651735323518346E-3</v>
      </c>
    </row>
    <row r="59" spans="1:21">
      <c r="A59" s="151" t="s">
        <v>4</v>
      </c>
      <c r="B59" s="152">
        <v>4.83417763814596E-3</v>
      </c>
      <c r="C59" s="152">
        <v>5.4934183439338405E-3</v>
      </c>
      <c r="D59" s="152">
        <v>4.736808645410962E-3</v>
      </c>
      <c r="E59" s="152">
        <v>8.3908637866970839E-4</v>
      </c>
      <c r="F59" s="152">
        <v>3.3652546912412693E-3</v>
      </c>
      <c r="G59" s="152">
        <v>5.2916712053475293E-3</v>
      </c>
      <c r="H59" s="152">
        <v>3.2173792002289036E-3</v>
      </c>
      <c r="I59" s="152">
        <v>1.527694256943679E-3</v>
      </c>
      <c r="J59" s="152">
        <v>2.08240838372097E-4</v>
      </c>
      <c r="K59" s="152">
        <v>3.0263041890263372E-3</v>
      </c>
      <c r="L59" s="152">
        <v>1.4799499325092573E-2</v>
      </c>
      <c r="M59" s="152">
        <v>2.5298651699586982E-3</v>
      </c>
      <c r="N59" s="152">
        <v>3.4038056497646624E-3</v>
      </c>
      <c r="O59" s="152">
        <v>2.5061751435386391E-3</v>
      </c>
      <c r="P59" s="152">
        <v>4.7433146402237978E-3</v>
      </c>
      <c r="Q59" s="152">
        <v>1.4452853924037017E-3</v>
      </c>
      <c r="R59" s="152">
        <v>1.393767060799753E-3</v>
      </c>
      <c r="S59" s="152">
        <v>1.8408029868982141E-3</v>
      </c>
      <c r="T59" s="152">
        <v>8.7490739803845904E-4</v>
      </c>
      <c r="U59" s="153">
        <v>4.3553896442336693E-3</v>
      </c>
    </row>
    <row r="60" spans="1:21">
      <c r="A60" s="151" t="s">
        <v>17</v>
      </c>
      <c r="B60" s="152">
        <v>5.5966939321274696E-3</v>
      </c>
      <c r="C60" s="152">
        <v>1.5421799697934833E-2</v>
      </c>
      <c r="D60" s="152">
        <v>1.0711932903262042E-2</v>
      </c>
      <c r="E60" s="152">
        <v>2.5692646144978757E-3</v>
      </c>
      <c r="F60" s="152">
        <v>3.4664135047360618E-3</v>
      </c>
      <c r="G60" s="152">
        <v>8.9388643651908597E-3</v>
      </c>
      <c r="H60" s="152">
        <v>4.3644499285043475E-3</v>
      </c>
      <c r="I60" s="152">
        <v>4.2058694572642006E-3</v>
      </c>
      <c r="J60" s="152">
        <v>2.8339774539778944E-3</v>
      </c>
      <c r="K60" s="152">
        <v>4.1848134986629598E-3</v>
      </c>
      <c r="L60" s="152">
        <v>2.5298651699586982E-3</v>
      </c>
      <c r="M60" s="152">
        <v>2.2180465326192448E-2</v>
      </c>
      <c r="N60" s="152">
        <v>6.2497671010762357E-3</v>
      </c>
      <c r="O60" s="152">
        <v>2.0711002811740695E-3</v>
      </c>
      <c r="P60" s="152">
        <v>7.5658576218924989E-3</v>
      </c>
      <c r="Q60" s="152">
        <v>1.778928551243505E-3</v>
      </c>
      <c r="R60" s="152">
        <v>4.9048583991882239E-3</v>
      </c>
      <c r="S60" s="152">
        <v>4.8914275823427203E-3</v>
      </c>
      <c r="T60" s="152">
        <v>5.5534538988055212E-3</v>
      </c>
      <c r="U60" s="153">
        <v>1.0698643160263194E-2</v>
      </c>
    </row>
    <row r="61" spans="1:21">
      <c r="A61" s="151" t="s">
        <v>16</v>
      </c>
      <c r="B61" s="152">
        <v>3.9041846044801307E-3</v>
      </c>
      <c r="C61" s="152">
        <v>8.251338747658047E-3</v>
      </c>
      <c r="D61" s="152">
        <v>7.4717440876747691E-3</v>
      </c>
      <c r="E61" s="152">
        <v>2.7564962296959339E-3</v>
      </c>
      <c r="F61" s="152">
        <v>4.3335352405171968E-3</v>
      </c>
      <c r="G61" s="152">
        <v>7.2378041579975374E-3</v>
      </c>
      <c r="H61" s="152">
        <v>4.2115838782417004E-3</v>
      </c>
      <c r="I61" s="152">
        <v>3.8690452857327337E-3</v>
      </c>
      <c r="J61" s="152">
        <v>4.54202644478356E-3</v>
      </c>
      <c r="K61" s="152">
        <v>3.3046791185206642E-3</v>
      </c>
      <c r="L61" s="152">
        <v>3.4038056497646624E-3</v>
      </c>
      <c r="M61" s="152">
        <v>6.2497671010762357E-3</v>
      </c>
      <c r="N61" s="152">
        <v>7.1408685670825032E-3</v>
      </c>
      <c r="O61" s="152">
        <v>2.2886456139273982E-3</v>
      </c>
      <c r="P61" s="152">
        <v>6.0147777387325029E-3</v>
      </c>
      <c r="Q61" s="152">
        <v>3.8122597750917262E-3</v>
      </c>
      <c r="R61" s="152">
        <v>2.9339476055642759E-3</v>
      </c>
      <c r="S61" s="152">
        <v>5.7781375149870435E-3</v>
      </c>
      <c r="T61" s="152">
        <v>5.4642645559359283E-3</v>
      </c>
      <c r="U61" s="153">
        <v>8.3191221012270805E-3</v>
      </c>
    </row>
    <row r="62" spans="1:21">
      <c r="A62" s="151" t="s">
        <v>5</v>
      </c>
      <c r="B62" s="152">
        <v>1.6974418044208516E-3</v>
      </c>
      <c r="C62" s="152">
        <v>4.0849158304005935E-3</v>
      </c>
      <c r="D62" s="152">
        <v>4.0777816518267739E-3</v>
      </c>
      <c r="E62" s="152">
        <v>2.0689985500930578E-3</v>
      </c>
      <c r="F62" s="152">
        <v>2.4836271910431583E-3</v>
      </c>
      <c r="G62" s="152">
        <v>3.5126050529059325E-3</v>
      </c>
      <c r="H62" s="152">
        <v>1.4470541323772918E-3</v>
      </c>
      <c r="I62" s="152">
        <v>2.215338375807477E-3</v>
      </c>
      <c r="J62" s="152">
        <v>2.456684117678624E-3</v>
      </c>
      <c r="K62" s="152">
        <v>2.0421375882673626E-3</v>
      </c>
      <c r="L62" s="152">
        <v>2.5061751435386391E-3</v>
      </c>
      <c r="M62" s="152">
        <v>2.0711002811740695E-3</v>
      </c>
      <c r="N62" s="152">
        <v>2.2886456139273982E-3</v>
      </c>
      <c r="O62" s="152">
        <v>4.926051524749688E-3</v>
      </c>
      <c r="P62" s="152">
        <v>3.4008679557705102E-3</v>
      </c>
      <c r="Q62" s="152">
        <v>2.85611954182159E-3</v>
      </c>
      <c r="R62" s="152">
        <v>3.4027908875498875E-3</v>
      </c>
      <c r="S62" s="152">
        <v>3.202600511722766E-3</v>
      </c>
      <c r="T62" s="152">
        <v>3.85926699415627E-3</v>
      </c>
      <c r="U62" s="153">
        <v>4.8468980174317493E-3</v>
      </c>
    </row>
    <row r="63" spans="1:21">
      <c r="A63" s="151" t="s">
        <v>18</v>
      </c>
      <c r="B63" s="152">
        <v>1.3145933712828975E-2</v>
      </c>
      <c r="C63" s="152">
        <v>8.9863935958859002E-3</v>
      </c>
      <c r="D63" s="152">
        <v>1.0971917587641067E-2</v>
      </c>
      <c r="E63" s="152">
        <v>4.869179911182576E-3</v>
      </c>
      <c r="F63" s="152">
        <v>5.4289508232298602E-3</v>
      </c>
      <c r="G63" s="152">
        <v>1.0050506230862837E-2</v>
      </c>
      <c r="H63" s="152">
        <v>5.8999223851911847E-3</v>
      </c>
      <c r="I63" s="152">
        <v>4.3614747693857345E-3</v>
      </c>
      <c r="J63" s="152">
        <v>5.5079124230874394E-3</v>
      </c>
      <c r="K63" s="152">
        <v>3.8390924611279354E-3</v>
      </c>
      <c r="L63" s="152">
        <v>4.7433146402237978E-3</v>
      </c>
      <c r="M63" s="152">
        <v>7.5658576218924989E-3</v>
      </c>
      <c r="N63" s="152">
        <v>6.0147777387325029E-3</v>
      </c>
      <c r="O63" s="152">
        <v>3.4008679557705102E-3</v>
      </c>
      <c r="P63" s="152">
        <v>2.0622077915632902E-2</v>
      </c>
      <c r="Q63" s="152">
        <v>4.7672461533435368E-3</v>
      </c>
      <c r="R63" s="152">
        <v>4.7831489640223169E-3</v>
      </c>
      <c r="S63" s="152">
        <v>8.9753034487230435E-3</v>
      </c>
      <c r="T63" s="152">
        <v>9.7172364779587357E-3</v>
      </c>
      <c r="U63" s="153">
        <v>8.4733861933815602E-3</v>
      </c>
    </row>
    <row r="64" spans="1:21">
      <c r="A64" s="151" t="s">
        <v>21</v>
      </c>
      <c r="B64" s="152">
        <v>3.2729224313708147E-3</v>
      </c>
      <c r="C64" s="152">
        <v>5.9823037076903165E-3</v>
      </c>
      <c r="D64" s="152">
        <v>7.1538231587681151E-3</v>
      </c>
      <c r="E64" s="152">
        <v>3.5748170491900887E-3</v>
      </c>
      <c r="F64" s="152">
        <v>3.7598160756820275E-3</v>
      </c>
      <c r="G64" s="152">
        <v>4.786185662163849E-3</v>
      </c>
      <c r="H64" s="152">
        <v>2.8651755418302922E-3</v>
      </c>
      <c r="I64" s="152">
        <v>4.0961580814859152E-3</v>
      </c>
      <c r="J64" s="152">
        <v>5.6495974059186027E-3</v>
      </c>
      <c r="K64" s="152">
        <v>3.0246963276534537E-3</v>
      </c>
      <c r="L64" s="152">
        <v>1.4452853924037017E-3</v>
      </c>
      <c r="M64" s="152">
        <v>1.778928551243505E-3</v>
      </c>
      <c r="N64" s="152">
        <v>3.8122597750917262E-3</v>
      </c>
      <c r="O64" s="152">
        <v>2.85611954182159E-3</v>
      </c>
      <c r="P64" s="152">
        <v>4.7672461533435368E-3</v>
      </c>
      <c r="Q64" s="152">
        <v>6.1288630013695677E-3</v>
      </c>
      <c r="R64" s="152">
        <v>3.0741915825132464E-3</v>
      </c>
      <c r="S64" s="152">
        <v>3.7156066111048098E-3</v>
      </c>
      <c r="T64" s="152">
        <v>4.6606308709602117E-3</v>
      </c>
      <c r="U64" s="153">
        <v>6.8173047236230371E-3</v>
      </c>
    </row>
    <row r="65" spans="1:21">
      <c r="A65" s="151" t="s">
        <v>1</v>
      </c>
      <c r="B65" s="152">
        <v>5.3817854422589222E-3</v>
      </c>
      <c r="C65" s="152">
        <v>7.7341287599130108E-3</v>
      </c>
      <c r="D65" s="152">
        <v>7.4776588854017952E-3</v>
      </c>
      <c r="E65" s="152">
        <v>3.020938644698433E-3</v>
      </c>
      <c r="F65" s="152">
        <v>2.4020785814783288E-3</v>
      </c>
      <c r="G65" s="152">
        <v>4.5487678037437291E-3</v>
      </c>
      <c r="H65" s="152">
        <v>2.4380402547996894E-3</v>
      </c>
      <c r="I65" s="152">
        <v>3.5431911223890969E-3</v>
      </c>
      <c r="J65" s="152">
        <v>4.1047544828943299E-3</v>
      </c>
      <c r="K65" s="152">
        <v>1.9773378783572268E-3</v>
      </c>
      <c r="L65" s="152">
        <v>1.393767060799753E-3</v>
      </c>
      <c r="M65" s="152">
        <v>4.9048583991882239E-3</v>
      </c>
      <c r="N65" s="152">
        <v>2.9339476055642759E-3</v>
      </c>
      <c r="O65" s="152">
        <v>3.4027908875498875E-3</v>
      </c>
      <c r="P65" s="152">
        <v>4.7831489640223169E-3</v>
      </c>
      <c r="Q65" s="152">
        <v>3.0741915825132464E-3</v>
      </c>
      <c r="R65" s="152">
        <v>7.5402633851641403E-3</v>
      </c>
      <c r="S65" s="152">
        <v>7.2039309766488355E-3</v>
      </c>
      <c r="T65" s="152">
        <v>7.709881431788447E-3</v>
      </c>
      <c r="U65" s="153">
        <v>7.9876935030269401E-3</v>
      </c>
    </row>
    <row r="66" spans="1:21">
      <c r="A66" s="151" t="s">
        <v>9</v>
      </c>
      <c r="B66" s="152">
        <v>6.2980453823742186E-3</v>
      </c>
      <c r="C66" s="152">
        <v>8.7949217590763979E-3</v>
      </c>
      <c r="D66" s="152">
        <v>1.0683889559798926E-2</v>
      </c>
      <c r="E66" s="152">
        <v>2.8373545314168565E-3</v>
      </c>
      <c r="F66" s="152">
        <v>4.3922920352739356E-3</v>
      </c>
      <c r="G66" s="152">
        <v>8.217021105044334E-3</v>
      </c>
      <c r="H66" s="152">
        <v>5.2556481427075072E-3</v>
      </c>
      <c r="I66" s="152">
        <v>3.5795967868501944E-3</v>
      </c>
      <c r="J66" s="152">
        <v>6.4591781884397285E-3</v>
      </c>
      <c r="K66" s="152">
        <v>2.9777593533828919E-3</v>
      </c>
      <c r="L66" s="152">
        <v>1.8408029868982141E-3</v>
      </c>
      <c r="M66" s="152">
        <v>4.8914275823427203E-3</v>
      </c>
      <c r="N66" s="152">
        <v>5.7781375149870435E-3</v>
      </c>
      <c r="O66" s="152">
        <v>3.202600511722766E-3</v>
      </c>
      <c r="P66" s="152">
        <v>8.9753034487230435E-3</v>
      </c>
      <c r="Q66" s="152">
        <v>3.7156066111048098E-3</v>
      </c>
      <c r="R66" s="152">
        <v>7.2039309766488355E-3</v>
      </c>
      <c r="S66" s="152">
        <v>1.4005470369855357E-2</v>
      </c>
      <c r="T66" s="152">
        <v>1.1294660440450428E-2</v>
      </c>
      <c r="U66" s="153">
        <v>9.6178234480983702E-3</v>
      </c>
    </row>
    <row r="67" spans="1:21">
      <c r="A67" s="151" t="s">
        <v>0</v>
      </c>
      <c r="B67" s="152">
        <v>7.5520291239693739E-3</v>
      </c>
      <c r="C67" s="152">
        <v>1.0323382842742252E-2</v>
      </c>
      <c r="D67" s="152">
        <v>1.1404421505795997E-2</v>
      </c>
      <c r="E67" s="152">
        <v>2.4729024223141619E-3</v>
      </c>
      <c r="F67" s="152">
        <v>3.6049791666762257E-3</v>
      </c>
      <c r="G67" s="152">
        <v>8.789785353266721E-3</v>
      </c>
      <c r="H67" s="152">
        <v>3.585745938636831E-3</v>
      </c>
      <c r="I67" s="152">
        <v>4.1659119371108356E-3</v>
      </c>
      <c r="J67" s="152">
        <v>7.0249882093140403E-3</v>
      </c>
      <c r="K67" s="152">
        <v>3.4600573571721776E-3</v>
      </c>
      <c r="L67" s="152">
        <v>8.7490739803845904E-4</v>
      </c>
      <c r="M67" s="152">
        <v>5.5534538988055212E-3</v>
      </c>
      <c r="N67" s="152">
        <v>5.4642645559359283E-3</v>
      </c>
      <c r="O67" s="152">
        <v>3.85926699415627E-3</v>
      </c>
      <c r="P67" s="152">
        <v>9.7172364779587357E-3</v>
      </c>
      <c r="Q67" s="152">
        <v>4.6606308709602117E-3</v>
      </c>
      <c r="R67" s="152">
        <v>7.709881431788447E-3</v>
      </c>
      <c r="S67" s="152">
        <v>1.1294660440450428E-2</v>
      </c>
      <c r="T67" s="152">
        <v>1.610864422975173E-2</v>
      </c>
      <c r="U67" s="153">
        <v>1.0273468071095387E-2</v>
      </c>
    </row>
    <row r="68" spans="1:21" ht="15.75" thickBot="1">
      <c r="A68" s="154" t="s">
        <v>14</v>
      </c>
      <c r="B68" s="155">
        <v>9.6242282186377436E-3</v>
      </c>
      <c r="C68" s="155">
        <v>1.7531088152162182E-2</v>
      </c>
      <c r="D68" s="155">
        <v>1.6633383575835277E-2</v>
      </c>
      <c r="E68" s="155">
        <v>8.7930709141714868E-3</v>
      </c>
      <c r="F68" s="155">
        <v>6.4352440255722532E-3</v>
      </c>
      <c r="G68" s="155">
        <v>1.2429731865720878E-2</v>
      </c>
      <c r="H68" s="155">
        <v>6.7601069413025803E-3</v>
      </c>
      <c r="I68" s="155">
        <v>8.2010270252568969E-3</v>
      </c>
      <c r="J68" s="155">
        <v>8.8712214737876188E-3</v>
      </c>
      <c r="K68" s="155">
        <v>8.0651735323518346E-3</v>
      </c>
      <c r="L68" s="155">
        <v>4.3553896442336693E-3</v>
      </c>
      <c r="M68" s="155">
        <v>1.0698643160263194E-2</v>
      </c>
      <c r="N68" s="155">
        <v>8.3191221012270805E-3</v>
      </c>
      <c r="O68" s="155">
        <v>4.8468980174317493E-3</v>
      </c>
      <c r="P68" s="155">
        <v>8.4733861933815602E-3</v>
      </c>
      <c r="Q68" s="155">
        <v>6.8173047236230371E-3</v>
      </c>
      <c r="R68" s="155">
        <v>7.9876935030269401E-3</v>
      </c>
      <c r="S68" s="155">
        <v>9.6178234480983702E-3</v>
      </c>
      <c r="T68" s="155">
        <v>1.0273468071095387E-2</v>
      </c>
      <c r="U68" s="156">
        <v>2.3088805021152112E-2</v>
      </c>
    </row>
  </sheetData>
  <mergeCells count="2">
    <mergeCell ref="A1:U1"/>
    <mergeCell ref="A24:U2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F322-5B0D-453F-9E74-16C7C2E3EF6C}">
  <dimension ref="A1:V53"/>
  <sheetViews>
    <sheetView workbookViewId="0">
      <selection activeCell="B3" sqref="B3"/>
    </sheetView>
  </sheetViews>
  <sheetFormatPr defaultRowHeight="15"/>
  <cols>
    <col min="1" max="1" width="17.5703125" style="7" bestFit="1" customWidth="1"/>
    <col min="2" max="2" width="10.7109375" style="7" customWidth="1"/>
    <col min="3" max="3" width="11" style="7" customWidth="1"/>
    <col min="4" max="4" width="10.85546875" style="7" customWidth="1"/>
    <col min="5" max="5" width="11.7109375" style="7" customWidth="1"/>
    <col min="6" max="6" width="16.7109375" style="7" customWidth="1"/>
    <col min="7" max="7" width="12.7109375" style="7" bestFit="1" customWidth="1"/>
    <col min="8" max="8" width="15.5703125" style="7" bestFit="1" customWidth="1"/>
    <col min="9" max="9" width="12.42578125" style="7" bestFit="1" customWidth="1"/>
    <col min="10" max="10" width="12" style="7" bestFit="1" customWidth="1"/>
    <col min="11" max="11" width="14.7109375" style="7" bestFit="1" customWidth="1"/>
    <col min="12" max="12" width="12" style="7" bestFit="1" customWidth="1"/>
    <col min="13" max="13" width="13.7109375" style="7" bestFit="1" customWidth="1"/>
    <col min="14" max="14" width="13.85546875" style="7" bestFit="1" customWidth="1"/>
    <col min="15" max="21" width="9.140625" style="7"/>
    <col min="22" max="22" width="11.5703125" style="7" bestFit="1" customWidth="1"/>
    <col min="23" max="16384" width="9.140625" style="7"/>
  </cols>
  <sheetData>
    <row r="1" spans="1:22" ht="34.5" customHeight="1">
      <c r="A1" s="186" t="s">
        <v>34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</row>
    <row r="2" spans="1:22" ht="15.75">
      <c r="A2" s="26"/>
      <c r="B2" s="23" t="s">
        <v>6</v>
      </c>
      <c r="C2" s="23" t="s">
        <v>7</v>
      </c>
      <c r="D2" s="23" t="s">
        <v>8</v>
      </c>
      <c r="E2" s="23" t="s">
        <v>13</v>
      </c>
      <c r="F2" s="23" t="s">
        <v>2</v>
      </c>
      <c r="G2" s="23" t="s">
        <v>10</v>
      </c>
      <c r="H2" s="23" t="s">
        <v>3</v>
      </c>
      <c r="I2" s="23" t="s">
        <v>19</v>
      </c>
      <c r="J2" s="23" t="s">
        <v>11</v>
      </c>
      <c r="K2" s="23" t="s">
        <v>15</v>
      </c>
      <c r="L2" s="23" t="s">
        <v>4</v>
      </c>
      <c r="M2" s="23" t="s">
        <v>17</v>
      </c>
      <c r="N2" s="23" t="s">
        <v>16</v>
      </c>
      <c r="O2" s="23" t="s">
        <v>5</v>
      </c>
      <c r="P2" s="23" t="s">
        <v>18</v>
      </c>
      <c r="Q2" s="24" t="s">
        <v>21</v>
      </c>
      <c r="R2" s="23" t="s">
        <v>1</v>
      </c>
      <c r="S2" s="23" t="s">
        <v>9</v>
      </c>
      <c r="T2" s="23" t="s">
        <v>0</v>
      </c>
      <c r="U2" s="23" t="s">
        <v>14</v>
      </c>
      <c r="V2" s="25" t="s">
        <v>20</v>
      </c>
    </row>
    <row r="3" spans="1:22">
      <c r="A3" s="27" t="s">
        <v>22</v>
      </c>
      <c r="B3" s="15">
        <f>AVERAGE(TSSL!B2:B62)</f>
        <v>3.0056316276991478E-3</v>
      </c>
      <c r="C3" s="15">
        <f>AVERAGE(TSSL!C2:C62)</f>
        <v>-2.0595048033942925E-4</v>
      </c>
      <c r="D3" s="15">
        <f>AVERAGE(TSSL!D2:D62)</f>
        <v>1.6297053927811975E-2</v>
      </c>
      <c r="E3" s="15">
        <f>AVERAGE(TSSL!E2:E62)</f>
        <v>1.7304144249305951E-2</v>
      </c>
      <c r="F3" s="15">
        <f>AVERAGE(TSSL!F2:F62)</f>
        <v>1.5445247735288071E-2</v>
      </c>
      <c r="G3" s="15">
        <f>AVERAGE(TSSL!G2:G62)</f>
        <v>2.8375650625609986E-2</v>
      </c>
      <c r="H3" s="15">
        <f>AVERAGE(TSSL!H2:H62)</f>
        <v>2.2425395684207896E-2</v>
      </c>
      <c r="I3" s="15">
        <f>AVERAGE(TSSL!I2:I62)</f>
        <v>9.9147214873550066E-3</v>
      </c>
      <c r="J3" s="15">
        <f>AVERAGE(TSSL!J2:J62)</f>
        <v>1.0267414022377809E-3</v>
      </c>
      <c r="K3" s="15">
        <f>AVERAGE(TSSL!K2:K62)</f>
        <v>2.0322801425049428E-2</v>
      </c>
      <c r="L3" s="15">
        <f>AVERAGE(TSSL!L2:L62)</f>
        <v>1.3445717414411402E-2</v>
      </c>
      <c r="M3" s="15">
        <f>AVERAGE(TSSL!M2:M62)</f>
        <v>-7.0458184688976114E-4</v>
      </c>
      <c r="N3" s="15">
        <f>AVERAGE(TSSL!N2:N62)</f>
        <v>1.3163613724633453E-2</v>
      </c>
      <c r="O3" s="15">
        <f>AVERAGE(TSSL!O2:O62)</f>
        <v>-7.9187878632608986E-3</v>
      </c>
      <c r="P3" s="15">
        <f>AVERAGE(TSSL!P2:P62)</f>
        <v>5.9744072845960327E-3</v>
      </c>
      <c r="Q3" s="15">
        <f>AVERAGE(TSSL!Q2:Q62)</f>
        <v>1.9659931384390116E-2</v>
      </c>
      <c r="R3" s="15">
        <f>AVERAGE(TSSL!R2:R62)</f>
        <v>1.7261426829864836E-2</v>
      </c>
      <c r="S3" s="15">
        <f>AVERAGE(TSSL!S2:S62)</f>
        <v>1.821804185955966E-2</v>
      </c>
      <c r="T3" s="15">
        <f>AVERAGE(TSSL!T2:T62)</f>
        <v>1.2801304704463079E-2</v>
      </c>
      <c r="U3" s="15">
        <f>AVERAGE(TSSL!U2:U62)</f>
        <v>1.8819730478435938E-3</v>
      </c>
      <c r="V3" s="16">
        <f>AVERAGE(TSSL!V2:V62)</f>
        <v>1.2833534139643825E-2</v>
      </c>
    </row>
    <row r="4" spans="1:22">
      <c r="A4" s="27" t="s">
        <v>25</v>
      </c>
      <c r="B4" s="17">
        <f>SLOPE(TSSL!B2:B62,TSSL!$V$2:$V$62)</f>
        <v>1.179619500744514</v>
      </c>
      <c r="C4" s="17">
        <f>SLOPE(TSSL!C2:C62,TSSL!$V$2:$V$62)</f>
        <v>1.7697067775495308</v>
      </c>
      <c r="D4" s="17">
        <f>SLOPE(TSSL!D2:D62,TSSL!$V$2:$V$62)</f>
        <v>1.9193731623067043</v>
      </c>
      <c r="E4" s="17">
        <f>SLOPE(TSSL!E2:E62,TSSL!$V$2:$V$62)</f>
        <v>0.73873949581585208</v>
      </c>
      <c r="F4" s="17">
        <f>SLOPE(TSSL!F2:F62,TSSL!$V$2:$V$62)</f>
        <v>0.75869566837815317</v>
      </c>
      <c r="G4" s="17">
        <f>SLOPE(TSSL!G2:G62,TSSL!$V$2:$V$62)</f>
        <v>1.3722148075799903</v>
      </c>
      <c r="H4" s="17">
        <f>SLOPE(TSSL!H2:H62,TSSL!$V$2:$V$62)</f>
        <v>0.74791963777654336</v>
      </c>
      <c r="I4" s="17">
        <f>SLOPE(TSSL!I2:I62,TSSL!$V$2:$V$62)</f>
        <v>0.86788928187615488</v>
      </c>
      <c r="J4" s="17">
        <f>SLOPE(TSSL!J2:J62,TSSL!$V$2:$V$62)</f>
        <v>1.0212900033240753</v>
      </c>
      <c r="K4" s="17">
        <f>SLOPE(TSSL!K2:K62,TSSL!$V$2:$V$62)</f>
        <v>0.83974117054972852</v>
      </c>
      <c r="L4" s="17">
        <f>SLOPE(TSSL!L2:L62,TSSL!$V$2:$V$62)</f>
        <v>0.653590518081134</v>
      </c>
      <c r="M4" s="17">
        <f>SLOPE(TSSL!M2:M62,TSSL!$V$2:$V$62)</f>
        <v>1.0790943698575615</v>
      </c>
      <c r="N4" s="17">
        <f>SLOPE(TSSL!N2:N62,TSSL!$V$2:$V$62)</f>
        <v>0.8856279214212881</v>
      </c>
      <c r="O4" s="17">
        <f>SLOPE(TSSL!O2:O62,TSSL!$V$2:$V$62)</f>
        <v>0.66771796899637426</v>
      </c>
      <c r="P4" s="17">
        <f>SLOPE(TSSL!P2:P62,TSSL!$V$2:$V$62)</f>
        <v>1.3410599762430071</v>
      </c>
      <c r="Q4" s="17">
        <f>SLOPE(TSSL!Q2:Q62,TSSL!$V$2:$V$62)</f>
        <v>0.75171771556758116</v>
      </c>
      <c r="R4" s="17">
        <f>SLOPE(TSSL!R2:R62,TSSL!$V$2:$V$62)</f>
        <v>1.1024732859988911</v>
      </c>
      <c r="S4" s="17">
        <f>SLOPE(TSSL!S2:S62,TSSL!$V$2:$V$62)</f>
        <v>1.4021796343259378</v>
      </c>
      <c r="T4" s="17">
        <f>SLOPE(TSSL!T2:T62,TSSL!$V$2:$V$62)</f>
        <v>1.500404541552909</v>
      </c>
      <c r="U4" s="17">
        <f>SLOPE(TSSL!U2:U62,TSSL!$V$2:$V$62)</f>
        <v>1.7890225263760549</v>
      </c>
      <c r="V4" s="18">
        <f>SLOPE(TSSL!V2:V62,TSSL!$V$2:$V$62)</f>
        <v>1</v>
      </c>
    </row>
    <row r="5" spans="1:22">
      <c r="A5" s="27" t="s">
        <v>32</v>
      </c>
      <c r="B5" s="19">
        <f>INTERCEPT(TSSL!B2:B62,TSSL!$V$2:$V$62)</f>
        <v>-1.2133055506895177E-2</v>
      </c>
      <c r="C5" s="19">
        <f>INTERCEPT(TSSL!C2:C62,TSSL!$V$2:$V$62)</f>
        <v>-2.2917542827180389E-2</v>
      </c>
      <c r="D5" s="19">
        <f>INTERCEPT(TSSL!D2:D62,TSSL!$V$2:$V$62)</f>
        <v>-8.3352870773672413E-3</v>
      </c>
      <c r="E5" s="19">
        <f>INTERCEPT(TSSL!E2:E62,TSSL!$V$2:$V$62)</f>
        <v>7.8235057094499464E-3</v>
      </c>
      <c r="F5" s="19">
        <f>INTERCEPT(TSSL!F2:F62,TSSL!$V$2:$V$62)</f>
        <v>5.7085009735571516E-3</v>
      </c>
      <c r="G5" s="19">
        <f>INTERCEPT(TSSL!G2:G62,TSSL!$V$2:$V$62)</f>
        <v>1.0765285045607399E-2</v>
      </c>
      <c r="H5" s="19">
        <f>INTERCEPT(TSSL!H2:H62,TSSL!$V$2:$V$62)</f>
        <v>1.2826943479092584E-2</v>
      </c>
      <c r="I5" s="19">
        <f>INTERCEPT(TSSL!I2:I62,TSSL!$V$2:$V$62)</f>
        <v>-1.2233652410335895E-3</v>
      </c>
      <c r="J5" s="19">
        <f>INTERCEPT(TSSL!J2:J62,TSSL!$V$2:$V$62)</f>
        <v>-1.2080018721898695E-2</v>
      </c>
      <c r="K5" s="19">
        <f>INTERCEPT(TSSL!K2:K62,TSSL!$V$2:$V$62)</f>
        <v>9.545954444335019E-3</v>
      </c>
      <c r="L5" s="19">
        <f>INTERCEPT(TSSL!L2:L62,TSSL!$V$2:$V$62)</f>
        <v>5.0578411872696741E-3</v>
      </c>
      <c r="M5" s="19">
        <f>INTERCEPT(TSSL!M2:M62,TSSL!$V$2:$V$62)</f>
        <v>-1.4553176282354216E-2</v>
      </c>
      <c r="N5" s="19">
        <f>INTERCEPT(TSSL!N2:N62,TSSL!$V$2:$V$62)</f>
        <v>1.7978775600515536E-3</v>
      </c>
      <c r="O5" s="19">
        <f>INTERCEPT(TSSL!O2:O62,TSSL!$V$2:$V$62)</f>
        <v>-1.6487969214029504E-2</v>
      </c>
      <c r="P5" s="19">
        <f>INTERCEPT(TSSL!P2:P62,TSSL!$V$2:$V$62)</f>
        <v>-1.1236131703828537E-2</v>
      </c>
      <c r="Q5" s="19">
        <f>INTERCEPT(TSSL!Q2:Q62,TSSL!$V$2:$V$62)</f>
        <v>1.0012736418278496E-2</v>
      </c>
      <c r="R5" s="19">
        <f>INTERCEPT(TSSL!R2:R62,TSSL!$V$2:$V$62)</f>
        <v>3.1127982759527571E-3</v>
      </c>
      <c r="S5" s="19">
        <f>INTERCEPT(TSSL!S2:S62,TSSL!$V$2:$V$62)</f>
        <v>2.2312165252444394E-4</v>
      </c>
      <c r="T5" s="19">
        <f>INTERCEPT(TSSL!T2:T62,TSSL!$V$2:$V$62)</f>
        <v>-6.4541882028328213E-3</v>
      </c>
      <c r="U5" s="19">
        <f>INTERCEPT(TSSL!U2:U62,TSSL!$V$2:$V$62)</f>
        <v>-2.1077508620995354E-2</v>
      </c>
      <c r="V5" s="20">
        <f>INTERCEPT(TSSL!V2:V62,TSSL!$V$2:$V$62)</f>
        <v>0</v>
      </c>
    </row>
    <row r="6" spans="1:22" ht="15.75" thickBot="1">
      <c r="A6" s="28" t="s">
        <v>33</v>
      </c>
      <c r="B6" s="21">
        <f>RSQ(TSSL!B2:B62,TSSL!$V$2:$V$62)</f>
        <v>0.34190340217633036</v>
      </c>
      <c r="C6" s="21">
        <f>RSQ(TSSL!C2:C62,TSSL!$V$2:$V$62)</f>
        <v>0.39496512582407861</v>
      </c>
      <c r="D6" s="21">
        <f>RSQ(TSSL!D2:D62,TSSL!$V$2:$V$62)</f>
        <v>0.50522855390319643</v>
      </c>
      <c r="E6" s="21">
        <f>RSQ(TSSL!E2:E62,TSSL!$V$2:$V$62)</f>
        <v>0.19775972216376828</v>
      </c>
      <c r="F6" s="21">
        <f>RSQ(TSSL!F2:F62,TSSL!$V$2:$V$62)</f>
        <v>0.35244835416331716</v>
      </c>
      <c r="G6" s="21">
        <f>RSQ(TSSL!G2:G62,TSSL!$V$2:$V$62)</f>
        <v>0.40739584915230526</v>
      </c>
      <c r="H6" s="21">
        <f>RSQ(TSSL!H2:H62,TSSL!$V$2:$V$62)</f>
        <v>0.34234813361826644</v>
      </c>
      <c r="I6" s="21">
        <f>RSQ(TSSL!I2:I62,TSSL!$V$2:$V$62)</f>
        <v>0.34021897774731547</v>
      </c>
      <c r="J6" s="21">
        <f>RSQ(TSSL!J2:J62,TSSL!$V$2:$V$62)</f>
        <v>0.3038777996467264</v>
      </c>
      <c r="K6" s="21">
        <f>RSQ(TSSL!K2:K62,TSSL!$V$2:$V$62)</f>
        <v>0.23140061250677915</v>
      </c>
      <c r="L6" s="21">
        <f>RSQ(TSSL!L2:L62,TSSL!$V$2:$V$62)</f>
        <v>0.1229188239073489</v>
      </c>
      <c r="M6" s="21">
        <f>RSQ(TSSL!M2:M62,TSSL!$V$2:$V$62)</f>
        <v>0.22356413496343608</v>
      </c>
      <c r="N6" s="21">
        <f>RSQ(TSSL!N2:N62,TSSL!$V$2:$V$62)</f>
        <v>0.46774105847316527</v>
      </c>
      <c r="O6" s="21">
        <f>RSQ(TSSL!O2:O62,TSSL!$V$2:$V$62)</f>
        <v>0.38542609123875338</v>
      </c>
      <c r="P6" s="21">
        <f>RSQ(TSSL!P2:P62,TSSL!$V$2:$V$62)</f>
        <v>0.37137948737968851</v>
      </c>
      <c r="Q6" s="21">
        <f>RSQ(TSSL!Q2:Q62,TSSL!$V$2:$V$62)</f>
        <v>0.39263009965661411</v>
      </c>
      <c r="R6" s="21">
        <f>RSQ(TSSL!R2:R62,TSSL!$V$2:$V$62)</f>
        <v>0.68644155564910447</v>
      </c>
      <c r="S6" s="21">
        <f>RSQ(TSSL!S2:S62,TSSL!$V$2:$V$62)</f>
        <v>0.59781050759145293</v>
      </c>
      <c r="T6" s="21">
        <f>RSQ(TSSL!T2:T62,TSSL!$V$2:$V$62)</f>
        <v>0.59512978109257941</v>
      </c>
      <c r="U6" s="21">
        <f>RSQ(TSSL!U2:U62,TSSL!$V$2:$V$62)</f>
        <v>0.59031537545770896</v>
      </c>
      <c r="V6" s="22">
        <f>RSQ(TSSL!V2:V62,TSSL!$V$2:$V$62)</f>
        <v>0.99999999999999956</v>
      </c>
    </row>
    <row r="8" spans="1:22" ht="15.75" thickBot="1"/>
    <row r="9" spans="1:22" ht="26.25" customHeight="1" thickBot="1">
      <c r="A9" s="121" t="s">
        <v>35</v>
      </c>
      <c r="B9" s="122" t="s">
        <v>25</v>
      </c>
      <c r="C9" s="195" t="s">
        <v>22</v>
      </c>
      <c r="D9" s="196"/>
      <c r="F9" s="186" t="s">
        <v>96</v>
      </c>
      <c r="G9" s="187"/>
      <c r="H9" s="187"/>
      <c r="I9" s="187"/>
      <c r="J9" s="187"/>
      <c r="K9" s="187"/>
      <c r="L9" s="187"/>
      <c r="M9" s="187"/>
      <c r="N9" s="188"/>
    </row>
    <row r="10" spans="1:22" ht="18.75">
      <c r="A10" s="114" t="s">
        <v>6</v>
      </c>
      <c r="B10" s="17">
        <f>B4</f>
        <v>1.179619500744514</v>
      </c>
      <c r="C10" s="193">
        <f>B3</f>
        <v>3.0056316276991478E-3</v>
      </c>
      <c r="D10" s="194"/>
      <c r="F10" s="202" t="s">
        <v>36</v>
      </c>
      <c r="G10" s="203"/>
      <c r="H10" s="203"/>
      <c r="I10" s="135"/>
      <c r="J10" s="135"/>
      <c r="K10" s="135"/>
      <c r="L10" s="135"/>
      <c r="M10" s="135"/>
      <c r="N10" s="70"/>
    </row>
    <row r="11" spans="1:22" ht="16.5" thickBot="1">
      <c r="A11" s="114" t="s">
        <v>7</v>
      </c>
      <c r="B11" s="17">
        <f>C4</f>
        <v>1.7697067775495308</v>
      </c>
      <c r="C11" s="189">
        <f>C3</f>
        <v>-2.0595048033942925E-4</v>
      </c>
      <c r="D11" s="190"/>
      <c r="F11" s="81"/>
      <c r="G11" s="135"/>
      <c r="H11" s="135"/>
      <c r="I11" s="135"/>
      <c r="J11" s="135"/>
      <c r="K11" s="135"/>
      <c r="L11" s="135"/>
      <c r="M11" s="135"/>
      <c r="N11" s="70"/>
    </row>
    <row r="12" spans="1:22" ht="15.75">
      <c r="A12" s="114" t="s">
        <v>8</v>
      </c>
      <c r="B12" s="17">
        <f>D4</f>
        <v>1.9193731623067043</v>
      </c>
      <c r="C12" s="189">
        <f>D3</f>
        <v>1.6297053927811975E-2</v>
      </c>
      <c r="D12" s="190"/>
      <c r="F12" s="200" t="s">
        <v>37</v>
      </c>
      <c r="G12" s="201"/>
      <c r="H12" s="201"/>
      <c r="I12" s="135"/>
      <c r="J12" s="135"/>
      <c r="K12" s="135"/>
      <c r="L12" s="135"/>
      <c r="M12" s="135"/>
      <c r="N12" s="70"/>
    </row>
    <row r="13" spans="1:22" ht="15.75">
      <c r="A13" s="114" t="s">
        <v>13</v>
      </c>
      <c r="B13" s="17">
        <f>E4</f>
        <v>0.73873949581585208</v>
      </c>
      <c r="C13" s="189">
        <f>E3</f>
        <v>1.7304144249305951E-2</v>
      </c>
      <c r="D13" s="190"/>
      <c r="F13" s="136" t="s">
        <v>38</v>
      </c>
      <c r="G13" s="197">
        <v>0.12836679230706979</v>
      </c>
      <c r="H13" s="197"/>
      <c r="I13" s="135"/>
      <c r="J13" s="135"/>
      <c r="K13" s="135"/>
      <c r="L13" s="135"/>
      <c r="M13" s="135"/>
      <c r="N13" s="70"/>
    </row>
    <row r="14" spans="1:22" ht="15.75">
      <c r="A14" s="114" t="s">
        <v>2</v>
      </c>
      <c r="B14" s="17">
        <f>F4</f>
        <v>0.75869566837815317</v>
      </c>
      <c r="C14" s="189">
        <f>F3</f>
        <v>1.5445247735288071E-2</v>
      </c>
      <c r="D14" s="190"/>
      <c r="F14" s="120" t="s">
        <v>39</v>
      </c>
      <c r="G14" s="198">
        <v>1.647803336720639E-2</v>
      </c>
      <c r="H14" s="198"/>
      <c r="I14" s="135"/>
      <c r="J14" s="135"/>
      <c r="K14" s="135"/>
      <c r="L14" s="135"/>
      <c r="M14" s="135"/>
      <c r="N14" s="70"/>
    </row>
    <row r="15" spans="1:22" ht="15.75">
      <c r="A15" s="114" t="s">
        <v>10</v>
      </c>
      <c r="B15" s="17">
        <f>G4</f>
        <v>1.3722148075799903</v>
      </c>
      <c r="C15" s="189">
        <f>G3</f>
        <v>2.8375650625609986E-2</v>
      </c>
      <c r="D15" s="190"/>
      <c r="F15" s="136" t="s">
        <v>40</v>
      </c>
      <c r="G15" s="199">
        <v>-3.8162075890171031E-2</v>
      </c>
      <c r="H15" s="199"/>
      <c r="I15" s="135"/>
      <c r="J15" s="135"/>
      <c r="K15" s="135"/>
      <c r="L15" s="135"/>
      <c r="M15" s="135"/>
      <c r="N15" s="70"/>
    </row>
    <row r="16" spans="1:22" ht="15.75">
      <c r="A16" s="114" t="s">
        <v>3</v>
      </c>
      <c r="B16" s="17">
        <f>H4</f>
        <v>0.74791963777654336</v>
      </c>
      <c r="C16" s="189">
        <f>H3</f>
        <v>2.2425395684207896E-2</v>
      </c>
      <c r="D16" s="190"/>
      <c r="F16" s="136" t="s">
        <v>41</v>
      </c>
      <c r="G16" s="199">
        <v>9.5741895707659487E-3</v>
      </c>
      <c r="H16" s="199"/>
      <c r="I16" s="135"/>
      <c r="J16" s="135"/>
      <c r="K16" s="135"/>
      <c r="L16" s="135"/>
      <c r="M16" s="135"/>
      <c r="N16" s="70"/>
    </row>
    <row r="17" spans="1:14" ht="16.5" thickBot="1">
      <c r="A17" s="114" t="s">
        <v>19</v>
      </c>
      <c r="B17" s="17">
        <f>I4</f>
        <v>0.86788928187615488</v>
      </c>
      <c r="C17" s="189">
        <f>I3</f>
        <v>9.9147214873550066E-3</v>
      </c>
      <c r="D17" s="190"/>
      <c r="F17" s="137" t="s">
        <v>42</v>
      </c>
      <c r="G17" s="204">
        <v>20</v>
      </c>
      <c r="H17" s="204"/>
      <c r="I17" s="135"/>
      <c r="J17" s="135"/>
      <c r="K17" s="135"/>
      <c r="L17" s="135"/>
      <c r="M17" s="135"/>
      <c r="N17" s="70"/>
    </row>
    <row r="18" spans="1:14" ht="15.75">
      <c r="A18" s="114" t="s">
        <v>11</v>
      </c>
      <c r="B18" s="17">
        <f>J4</f>
        <v>1.0212900033240753</v>
      </c>
      <c r="C18" s="189">
        <f>J3</f>
        <v>1.0267414022377809E-3</v>
      </c>
      <c r="D18" s="190"/>
      <c r="F18" s="81"/>
      <c r="G18" s="135"/>
      <c r="H18" s="135"/>
      <c r="I18" s="135"/>
      <c r="J18" s="135"/>
      <c r="K18" s="135"/>
      <c r="L18" s="135"/>
      <c r="M18" s="135"/>
      <c r="N18" s="70"/>
    </row>
    <row r="19" spans="1:14" ht="16.5" thickBot="1">
      <c r="A19" s="114" t="s">
        <v>15</v>
      </c>
      <c r="B19" s="17">
        <f>K4</f>
        <v>0.83974117054972852</v>
      </c>
      <c r="C19" s="189">
        <f>K3</f>
        <v>2.0322801425049428E-2</v>
      </c>
      <c r="D19" s="190"/>
      <c r="F19" s="81" t="s">
        <v>43</v>
      </c>
      <c r="G19" s="135"/>
      <c r="H19" s="135"/>
      <c r="I19" s="135"/>
      <c r="J19" s="135"/>
      <c r="K19" s="135"/>
      <c r="L19" s="135"/>
      <c r="M19" s="135"/>
      <c r="N19" s="70"/>
    </row>
    <row r="20" spans="1:14" ht="15.75">
      <c r="A20" s="114" t="s">
        <v>4</v>
      </c>
      <c r="B20" s="17">
        <f>L4</f>
        <v>0.653590518081134</v>
      </c>
      <c r="C20" s="189">
        <f>L3</f>
        <v>1.3445717414411402E-2</v>
      </c>
      <c r="D20" s="190"/>
      <c r="F20" s="138"/>
      <c r="G20" s="134" t="s">
        <v>48</v>
      </c>
      <c r="H20" s="134" t="s">
        <v>49</v>
      </c>
      <c r="I20" s="134" t="s">
        <v>50</v>
      </c>
      <c r="J20" s="134" t="s">
        <v>51</v>
      </c>
      <c r="K20" s="134" t="s">
        <v>52</v>
      </c>
      <c r="L20" s="135"/>
      <c r="M20" s="135"/>
      <c r="N20" s="70"/>
    </row>
    <row r="21" spans="1:14" ht="15.75">
      <c r="A21" s="114" t="s">
        <v>17</v>
      </c>
      <c r="B21" s="17">
        <f>M4</f>
        <v>1.0790943698575615</v>
      </c>
      <c r="C21" s="189">
        <f>M3</f>
        <v>-7.0458184688976114E-4</v>
      </c>
      <c r="D21" s="190"/>
      <c r="F21" s="136" t="s">
        <v>44</v>
      </c>
      <c r="G21" s="132">
        <v>1</v>
      </c>
      <c r="H21" s="132">
        <v>2.7643807722325378E-5</v>
      </c>
      <c r="I21" s="132">
        <v>2.7643807722325378E-5</v>
      </c>
      <c r="J21" s="132">
        <v>0.30157394615717298</v>
      </c>
      <c r="K21" s="132">
        <v>0.58964576662307722</v>
      </c>
      <c r="L21" s="135"/>
      <c r="M21" s="135"/>
      <c r="N21" s="70"/>
    </row>
    <row r="22" spans="1:14" ht="15.75">
      <c r="A22" s="114" t="s">
        <v>16</v>
      </c>
      <c r="B22" s="17">
        <f>N4</f>
        <v>0.8856279214212881</v>
      </c>
      <c r="C22" s="189">
        <f>N3</f>
        <v>1.3163613724633453E-2</v>
      </c>
      <c r="D22" s="190"/>
      <c r="F22" s="136" t="s">
        <v>45</v>
      </c>
      <c r="G22" s="132">
        <v>18</v>
      </c>
      <c r="H22" s="132">
        <v>1.6499719068653422E-3</v>
      </c>
      <c r="I22" s="132">
        <v>9.1665105936963463E-5</v>
      </c>
      <c r="J22" s="132"/>
      <c r="K22" s="132"/>
      <c r="L22" s="135"/>
      <c r="M22" s="135"/>
      <c r="N22" s="70"/>
    </row>
    <row r="23" spans="1:14" ht="16.5" thickBot="1">
      <c r="A23" s="114" t="s">
        <v>5</v>
      </c>
      <c r="B23" s="17">
        <f>O4</f>
        <v>0.66771796899637426</v>
      </c>
      <c r="C23" s="189">
        <f>O3</f>
        <v>-7.9187878632608986E-3</v>
      </c>
      <c r="D23" s="190"/>
      <c r="F23" s="137" t="s">
        <v>46</v>
      </c>
      <c r="G23" s="133">
        <v>19</v>
      </c>
      <c r="H23" s="133">
        <v>1.6776157145876676E-3</v>
      </c>
      <c r="I23" s="133"/>
      <c r="J23" s="133"/>
      <c r="K23" s="133"/>
      <c r="L23" s="135"/>
      <c r="M23" s="135"/>
      <c r="N23" s="70"/>
    </row>
    <row r="24" spans="1:14" ht="16.5" thickBot="1">
      <c r="A24" s="114" t="s">
        <v>18</v>
      </c>
      <c r="B24" s="17">
        <f>P4</f>
        <v>1.3410599762430071</v>
      </c>
      <c r="C24" s="189">
        <f>P3</f>
        <v>5.9744072845960327E-3</v>
      </c>
      <c r="D24" s="190"/>
      <c r="F24" s="81"/>
      <c r="G24" s="135"/>
      <c r="H24" s="135"/>
      <c r="I24" s="135"/>
      <c r="J24" s="135"/>
      <c r="K24" s="135"/>
      <c r="L24" s="135"/>
      <c r="M24" s="135"/>
      <c r="N24" s="70"/>
    </row>
    <row r="25" spans="1:14" ht="15.75">
      <c r="A25" s="115" t="s">
        <v>21</v>
      </c>
      <c r="B25" s="17">
        <f>Q4</f>
        <v>0.75171771556758116</v>
      </c>
      <c r="C25" s="189">
        <f>Q3</f>
        <v>1.9659931384390116E-2</v>
      </c>
      <c r="D25" s="190"/>
      <c r="F25" s="138"/>
      <c r="G25" s="146" t="s">
        <v>53</v>
      </c>
      <c r="H25" s="134" t="s">
        <v>41</v>
      </c>
      <c r="I25" s="134" t="s">
        <v>54</v>
      </c>
      <c r="J25" s="146" t="s">
        <v>55</v>
      </c>
      <c r="K25" s="134" t="s">
        <v>56</v>
      </c>
      <c r="L25" s="134" t="s">
        <v>57</v>
      </c>
      <c r="M25" s="134" t="s">
        <v>58</v>
      </c>
      <c r="N25" s="139" t="s">
        <v>59</v>
      </c>
    </row>
    <row r="26" spans="1:14" ht="15.75">
      <c r="A26" s="114" t="s">
        <v>1</v>
      </c>
      <c r="B26" s="17">
        <f>R4</f>
        <v>1.1024732859988911</v>
      </c>
      <c r="C26" s="189">
        <f>R3</f>
        <v>1.7261426829864836E-2</v>
      </c>
      <c r="D26" s="190"/>
      <c r="F26" s="136" t="s">
        <v>47</v>
      </c>
      <c r="G26" s="118">
        <v>1.4765930109952355E-2</v>
      </c>
      <c r="H26" s="132">
        <v>6.5186558481750744E-3</v>
      </c>
      <c r="I26" s="132">
        <v>2.2651801926444914</v>
      </c>
      <c r="J26" s="118">
        <v>3.6076873964860229E-2</v>
      </c>
      <c r="K26" s="132">
        <v>1.0707423657752048E-3</v>
      </c>
      <c r="L26" s="132">
        <v>2.8461117854129504E-2</v>
      </c>
      <c r="M26" s="132">
        <v>1.0707423657752048E-3</v>
      </c>
      <c r="N26" s="140">
        <v>2.8461117854129504E-2</v>
      </c>
    </row>
    <row r="27" spans="1:14" ht="16.5" thickBot="1">
      <c r="A27" s="114" t="s">
        <v>9</v>
      </c>
      <c r="B27" s="17">
        <f>S4</f>
        <v>1.4021796343259378</v>
      </c>
      <c r="C27" s="189">
        <f>S3</f>
        <v>1.821804185955966E-2</v>
      </c>
      <c r="D27" s="190"/>
      <c r="F27" s="137" t="s">
        <v>25</v>
      </c>
      <c r="G27" s="119">
        <v>-3.0205414722503949E-3</v>
      </c>
      <c r="H27" s="133">
        <v>5.5003191991449697E-3</v>
      </c>
      <c r="I27" s="133">
        <v>-0.54915748757271055</v>
      </c>
      <c r="J27" s="119">
        <v>0.58964576662307788</v>
      </c>
      <c r="K27" s="133">
        <v>-1.4576283306094995E-2</v>
      </c>
      <c r="L27" s="133">
        <v>8.5352003615942057E-3</v>
      </c>
      <c r="M27" s="133">
        <v>-1.4576283306094995E-2</v>
      </c>
      <c r="N27" s="141">
        <v>8.5352003615942057E-3</v>
      </c>
    </row>
    <row r="28" spans="1:14" ht="15.75">
      <c r="A28" s="114" t="s">
        <v>0</v>
      </c>
      <c r="B28" s="17">
        <f>T4</f>
        <v>1.500404541552909</v>
      </c>
      <c r="C28" s="189">
        <f>T3</f>
        <v>1.2801304704463079E-2</v>
      </c>
      <c r="D28" s="190"/>
    </row>
    <row r="29" spans="1:14" ht="16.5" thickBot="1">
      <c r="A29" s="116" t="s">
        <v>14</v>
      </c>
      <c r="B29" s="117">
        <f>U4</f>
        <v>1.7890225263760549</v>
      </c>
      <c r="C29" s="191">
        <f>U3</f>
        <v>1.8819730478435938E-3</v>
      </c>
      <c r="D29" s="192"/>
    </row>
    <row r="31" spans="1:14">
      <c r="F31" s="1"/>
      <c r="G31" s="1"/>
      <c r="H31" s="1"/>
      <c r="I31" s="1"/>
      <c r="J31" s="1"/>
    </row>
    <row r="32" spans="1:14">
      <c r="F32" s="1"/>
      <c r="G32" s="1"/>
      <c r="H32" s="1"/>
      <c r="I32" s="1"/>
      <c r="J32" s="1"/>
    </row>
    <row r="33" spans="6:10">
      <c r="F33" s="1"/>
      <c r="G33" s="1"/>
      <c r="H33" s="1"/>
      <c r="I33" s="1"/>
      <c r="J33" s="1"/>
    </row>
    <row r="34" spans="6:10">
      <c r="F34" s="1"/>
      <c r="G34" s="1"/>
      <c r="H34" s="1"/>
      <c r="I34" s="1"/>
      <c r="J34" s="1"/>
    </row>
    <row r="35" spans="6:10">
      <c r="F35" s="1"/>
      <c r="G35" s="1"/>
      <c r="H35" s="1"/>
      <c r="I35" s="1"/>
      <c r="J35" s="1"/>
    </row>
    <row r="36" spans="6:10">
      <c r="F36" s="1"/>
      <c r="G36" s="1"/>
      <c r="H36" s="1"/>
      <c r="I36" s="1"/>
      <c r="J36" s="1"/>
    </row>
    <row r="37" spans="6:10">
      <c r="F37" s="1"/>
      <c r="G37" s="1"/>
      <c r="H37" s="1"/>
      <c r="I37" s="1"/>
      <c r="J37" s="1"/>
    </row>
    <row r="38" spans="6:10">
      <c r="F38" s="1"/>
      <c r="G38" s="1"/>
      <c r="H38" s="1"/>
      <c r="I38" s="1"/>
      <c r="J38" s="1"/>
    </row>
    <row r="39" spans="6:10">
      <c r="F39" s="1"/>
      <c r="G39" s="1"/>
      <c r="H39" s="1"/>
      <c r="I39" s="1"/>
      <c r="J39" s="1"/>
    </row>
    <row r="40" spans="6:10">
      <c r="F40" s="1"/>
      <c r="G40" s="1"/>
      <c r="H40" s="1"/>
      <c r="I40" s="1"/>
      <c r="J40" s="1"/>
    </row>
    <row r="41" spans="6:10">
      <c r="F41" s="1"/>
      <c r="G41" s="1"/>
      <c r="H41" s="1"/>
      <c r="I41" s="1"/>
      <c r="J41" s="1"/>
    </row>
    <row r="42" spans="6:10">
      <c r="F42" s="1"/>
      <c r="G42" s="1"/>
      <c r="H42" s="1"/>
      <c r="I42" s="1"/>
      <c r="J42" s="1"/>
    </row>
    <row r="43" spans="6:10">
      <c r="F43" s="1"/>
      <c r="G43" s="1"/>
      <c r="H43" s="1"/>
      <c r="I43" s="1"/>
      <c r="J43" s="1"/>
    </row>
    <row r="44" spans="6:10">
      <c r="F44" s="1"/>
      <c r="G44" s="1"/>
      <c r="H44" s="1"/>
      <c r="I44" s="1"/>
      <c r="J44" s="1"/>
    </row>
    <row r="45" spans="6:10">
      <c r="F45" s="1"/>
      <c r="G45" s="1"/>
      <c r="H45" s="1"/>
      <c r="I45" s="1"/>
      <c r="J45" s="1"/>
    </row>
    <row r="46" spans="6:10">
      <c r="F46" s="1"/>
      <c r="G46" s="1"/>
      <c r="H46" s="1"/>
      <c r="I46" s="1"/>
      <c r="J46" s="1"/>
    </row>
    <row r="47" spans="6:10">
      <c r="F47" s="1"/>
      <c r="G47" s="1"/>
      <c r="H47" s="1"/>
      <c r="I47" s="1"/>
      <c r="J47" s="1"/>
    </row>
    <row r="48" spans="6:10">
      <c r="F48" s="1"/>
      <c r="G48" s="1"/>
      <c r="H48" s="1"/>
      <c r="I48" s="1"/>
      <c r="J48" s="1"/>
    </row>
    <row r="49" spans="6:10">
      <c r="F49" s="1"/>
      <c r="G49" s="1"/>
      <c r="H49" s="1"/>
      <c r="I49" s="1"/>
      <c r="J49" s="1"/>
    </row>
    <row r="50" spans="6:10">
      <c r="F50" s="1"/>
      <c r="G50" s="1"/>
      <c r="H50" s="1"/>
      <c r="I50" s="1"/>
      <c r="J50" s="1"/>
    </row>
    <row r="51" spans="6:10">
      <c r="F51" s="1"/>
      <c r="G51" s="1"/>
      <c r="H51" s="1"/>
      <c r="I51" s="1"/>
      <c r="J51" s="1"/>
    </row>
    <row r="52" spans="6:10">
      <c r="F52" s="1"/>
      <c r="G52" s="1"/>
      <c r="H52" s="1"/>
      <c r="I52" s="1"/>
      <c r="J52" s="1"/>
    </row>
    <row r="53" spans="6:10">
      <c r="F53" s="1"/>
      <c r="G53" s="1"/>
      <c r="H53" s="1"/>
      <c r="I53" s="1"/>
      <c r="J53" s="1"/>
    </row>
  </sheetData>
  <mergeCells count="30">
    <mergeCell ref="C16:D16"/>
    <mergeCell ref="C17:D17"/>
    <mergeCell ref="C18:D18"/>
    <mergeCell ref="C19:D19"/>
    <mergeCell ref="G16:H16"/>
    <mergeCell ref="G17:H17"/>
    <mergeCell ref="A1:V1"/>
    <mergeCell ref="C9:D9"/>
    <mergeCell ref="G13:H13"/>
    <mergeCell ref="G14:H14"/>
    <mergeCell ref="G15:H15"/>
    <mergeCell ref="F12:H12"/>
    <mergeCell ref="F9:N9"/>
    <mergeCell ref="F10:H10"/>
    <mergeCell ref="C26:D26"/>
    <mergeCell ref="C27:D27"/>
    <mergeCell ref="C28:D28"/>
    <mergeCell ref="C29:D29"/>
    <mergeCell ref="C10:D10"/>
    <mergeCell ref="C11:D11"/>
    <mergeCell ref="C12:D12"/>
    <mergeCell ref="C13:D13"/>
    <mergeCell ref="C20:D20"/>
    <mergeCell ref="C21:D21"/>
    <mergeCell ref="C22:D22"/>
    <mergeCell ref="C23:D23"/>
    <mergeCell ref="C24:D24"/>
    <mergeCell ref="C25:D25"/>
    <mergeCell ref="C14:D14"/>
    <mergeCell ref="C15:D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F386-3B6B-4EC9-A427-CDCC335E7C35}">
  <dimension ref="A1:W36"/>
  <sheetViews>
    <sheetView tabSelected="1" zoomScaleNormal="100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G31" sqref="G31:H31"/>
    </sheetView>
  </sheetViews>
  <sheetFormatPr defaultRowHeight="15"/>
  <cols>
    <col min="1" max="1" width="36.42578125" style="7" customWidth="1"/>
    <col min="2" max="21" width="9.140625" style="7"/>
    <col min="22" max="22" width="9.5703125" style="7" customWidth="1"/>
    <col min="23" max="23" width="23" style="7" bestFit="1" customWidth="1"/>
    <col min="24" max="16384" width="9.140625" style="7"/>
  </cols>
  <sheetData>
    <row r="1" spans="1:21" ht="15.75">
      <c r="A1" s="11"/>
      <c r="B1" s="12" t="s">
        <v>6</v>
      </c>
      <c r="C1" s="12" t="s">
        <v>7</v>
      </c>
      <c r="D1" s="12" t="s">
        <v>8</v>
      </c>
      <c r="E1" s="12" t="s">
        <v>13</v>
      </c>
      <c r="F1" s="12" t="s">
        <v>2</v>
      </c>
      <c r="G1" s="12" t="s">
        <v>10</v>
      </c>
      <c r="H1" s="12" t="s">
        <v>3</v>
      </c>
      <c r="I1" s="12" t="s">
        <v>19</v>
      </c>
      <c r="J1" s="12" t="s">
        <v>11</v>
      </c>
      <c r="K1" s="12" t="s">
        <v>15</v>
      </c>
      <c r="L1" s="12" t="s">
        <v>4</v>
      </c>
      <c r="M1" s="12" t="s">
        <v>17</v>
      </c>
      <c r="N1" s="12" t="s">
        <v>16</v>
      </c>
      <c r="O1" s="12" t="s">
        <v>5</v>
      </c>
      <c r="P1" s="12" t="s">
        <v>18</v>
      </c>
      <c r="Q1" s="13" t="s">
        <v>21</v>
      </c>
      <c r="R1" s="12" t="s">
        <v>1</v>
      </c>
      <c r="S1" s="12" t="s">
        <v>9</v>
      </c>
      <c r="T1" s="12" t="s">
        <v>0</v>
      </c>
      <c r="U1" s="14" t="s">
        <v>14</v>
      </c>
    </row>
    <row r="2" spans="1:21" ht="15.75" thickBot="1">
      <c r="A2" s="71" t="s">
        <v>61</v>
      </c>
      <c r="B2" s="72">
        <f>AVERAGE(TSSL!B2:B62)</f>
        <v>3.0056316276991478E-3</v>
      </c>
      <c r="C2" s="72">
        <f>AVERAGE(TSSL!C2:C62)</f>
        <v>-2.0595048033942925E-4</v>
      </c>
      <c r="D2" s="72">
        <f>AVERAGE(TSSL!D2:D62)</f>
        <v>1.6297053927811975E-2</v>
      </c>
      <c r="E2" s="72">
        <f>AVERAGE(TSSL!E2:E62)</f>
        <v>1.7304144249305951E-2</v>
      </c>
      <c r="F2" s="72">
        <f>AVERAGE(TSSL!F2:F62)</f>
        <v>1.5445247735288071E-2</v>
      </c>
      <c r="G2" s="72">
        <f>AVERAGE(TSSL!G2:G62)</f>
        <v>2.8375650625609986E-2</v>
      </c>
      <c r="H2" s="72">
        <f>AVERAGE(TSSL!H2:H62)</f>
        <v>2.2425395684207896E-2</v>
      </c>
      <c r="I2" s="72">
        <f>AVERAGE(TSSL!I2:I62)</f>
        <v>9.9147214873550066E-3</v>
      </c>
      <c r="J2" s="72">
        <f>AVERAGE(TSSL!J2:J62)</f>
        <v>1.0267414022377809E-3</v>
      </c>
      <c r="K2" s="72">
        <f>AVERAGE(TSSL!K2:K62)</f>
        <v>2.0322801425049428E-2</v>
      </c>
      <c r="L2" s="72">
        <f>AVERAGE(TSSL!L2:L62)</f>
        <v>1.3445717414411402E-2</v>
      </c>
      <c r="M2" s="72">
        <f>AVERAGE(TSSL!M2:M62)</f>
        <v>-7.0458184688976114E-4</v>
      </c>
      <c r="N2" s="72">
        <f>AVERAGE(TSSL!N2:N62)</f>
        <v>1.3163613724633453E-2</v>
      </c>
      <c r="O2" s="72">
        <f>AVERAGE(TSSL!O2:O62)</f>
        <v>-7.9187878632608986E-3</v>
      </c>
      <c r="P2" s="72">
        <f>AVERAGE(TSSL!P2:P62)</f>
        <v>5.9744072845960327E-3</v>
      </c>
      <c r="Q2" s="72">
        <f>AVERAGE(TSSL!Q2:Q62)</f>
        <v>1.9659931384390116E-2</v>
      </c>
      <c r="R2" s="72">
        <f>AVERAGE(TSSL!R2:R62)</f>
        <v>1.7261426829864836E-2</v>
      </c>
      <c r="S2" s="72">
        <f>AVERAGE(TSSL!S2:S62)</f>
        <v>1.821804185955966E-2</v>
      </c>
      <c r="T2" s="72">
        <f>AVERAGE(TSSL!T2:T62)</f>
        <v>1.2801304704463079E-2</v>
      </c>
      <c r="U2" s="73">
        <f>AVERAGE(TSSL!U2:U62)</f>
        <v>1.8819730478435938E-3</v>
      </c>
    </row>
    <row r="3" spans="1:21" ht="22.5" customHeight="1" thickBot="1">
      <c r="A3" s="205" t="s">
        <v>31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</row>
    <row r="4" spans="1:21">
      <c r="A4" s="2"/>
      <c r="B4" s="8" t="s">
        <v>6</v>
      </c>
      <c r="C4" s="8" t="s">
        <v>7</v>
      </c>
      <c r="D4" s="8" t="s">
        <v>8</v>
      </c>
      <c r="E4" s="8" t="s">
        <v>13</v>
      </c>
      <c r="F4" s="8" t="s">
        <v>2</v>
      </c>
      <c r="G4" s="8" t="s">
        <v>10</v>
      </c>
      <c r="H4" s="8" t="s">
        <v>3</v>
      </c>
      <c r="I4" s="8" t="s">
        <v>19</v>
      </c>
      <c r="J4" s="8" t="s">
        <v>11</v>
      </c>
      <c r="K4" s="8" t="s">
        <v>15</v>
      </c>
      <c r="L4" s="8" t="s">
        <v>4</v>
      </c>
      <c r="M4" s="8" t="s">
        <v>17</v>
      </c>
      <c r="N4" s="8" t="s">
        <v>16</v>
      </c>
      <c r="O4" s="8" t="s">
        <v>5</v>
      </c>
      <c r="P4" s="8" t="s">
        <v>18</v>
      </c>
      <c r="Q4" s="8" t="s">
        <v>21</v>
      </c>
      <c r="R4" s="8" t="s">
        <v>1</v>
      </c>
      <c r="S4" s="8" t="s">
        <v>9</v>
      </c>
      <c r="T4" s="8" t="s">
        <v>0</v>
      </c>
      <c r="U4" s="9" t="s">
        <v>14</v>
      </c>
    </row>
    <row r="5" spans="1:21">
      <c r="A5" s="10" t="s">
        <v>6</v>
      </c>
      <c r="B5" s="3">
        <f t="array" ref="B5:U24">MMULT(TRANSPOSE(TSSL!B2:U62-'Các chỉ tiêu cơ bản'!B2:U2),TSSL!B2:U62-'Các chỉ tiêu cơ bản'!B2:U2)/61</f>
        <v>1.7331430016992267E-2</v>
      </c>
      <c r="C5" s="3">
        <v>1.1356875578397468E-2</v>
      </c>
      <c r="D5" s="3">
        <v>1.191333265960013E-2</v>
      </c>
      <c r="E5" s="3">
        <v>4.4035668351170764E-3</v>
      </c>
      <c r="F5" s="3">
        <v>2.9420677014500604E-3</v>
      </c>
      <c r="G5" s="3">
        <v>7.7061854815551776E-3</v>
      </c>
      <c r="H5" s="3">
        <v>4.4601810419295637E-3</v>
      </c>
      <c r="I5" s="3">
        <v>5.1961431638687791E-3</v>
      </c>
      <c r="J5" s="3">
        <v>3.5981619236016256E-3</v>
      </c>
      <c r="K5" s="3">
        <v>3.9088589854914622E-3</v>
      </c>
      <c r="L5" s="3">
        <v>4.83417763814596E-3</v>
      </c>
      <c r="M5" s="3">
        <v>5.5966939321274696E-3</v>
      </c>
      <c r="N5" s="3">
        <v>3.9041846044801307E-3</v>
      </c>
      <c r="O5" s="3">
        <v>1.6974418044208516E-3</v>
      </c>
      <c r="P5" s="3">
        <v>1.3145933712828975E-2</v>
      </c>
      <c r="Q5" s="3">
        <v>3.2729224313708147E-3</v>
      </c>
      <c r="R5" s="3">
        <v>5.3817854422589222E-3</v>
      </c>
      <c r="S5" s="3">
        <v>6.2980453823742186E-3</v>
      </c>
      <c r="T5" s="3">
        <v>7.5520291239693739E-3</v>
      </c>
      <c r="U5" s="4">
        <v>9.6242282186377436E-3</v>
      </c>
    </row>
    <row r="6" spans="1:21">
      <c r="A6" s="10" t="s">
        <v>7</v>
      </c>
      <c r="B6" s="3">
        <v>1.1356875578397468E-2</v>
      </c>
      <c r="C6" s="3">
        <v>3.376741467361797E-2</v>
      </c>
      <c r="D6" s="3">
        <v>2.319391643040156E-2</v>
      </c>
      <c r="E6" s="3">
        <v>6.78990373943693E-3</v>
      </c>
      <c r="F6" s="3">
        <v>6.1758943753862337E-3</v>
      </c>
      <c r="G6" s="3">
        <v>1.1397767798662783E-2</v>
      </c>
      <c r="H6" s="3">
        <v>6.4809190711603033E-3</v>
      </c>
      <c r="I6" s="3">
        <v>6.9565122335142442E-3</v>
      </c>
      <c r="J6" s="3">
        <v>7.8550062554487848E-3</v>
      </c>
      <c r="K6" s="3">
        <v>9.7546717093522882E-3</v>
      </c>
      <c r="L6" s="3">
        <v>5.4934183439338405E-3</v>
      </c>
      <c r="M6" s="3">
        <v>1.5421799697934833E-2</v>
      </c>
      <c r="N6" s="3">
        <v>8.251338747658047E-3</v>
      </c>
      <c r="O6" s="3">
        <v>4.0849158304005935E-3</v>
      </c>
      <c r="P6" s="3">
        <v>8.9863935958859002E-3</v>
      </c>
      <c r="Q6" s="3">
        <v>5.9823037076903165E-3</v>
      </c>
      <c r="R6" s="3">
        <v>7.7341287599130108E-3</v>
      </c>
      <c r="S6" s="3">
        <v>8.7949217590763979E-3</v>
      </c>
      <c r="T6" s="3">
        <v>1.0323382842742252E-2</v>
      </c>
      <c r="U6" s="4">
        <v>1.7531088152162182E-2</v>
      </c>
    </row>
    <row r="7" spans="1:21">
      <c r="A7" s="10" t="s">
        <v>8</v>
      </c>
      <c r="B7" s="3">
        <v>1.191333265960013E-2</v>
      </c>
      <c r="C7" s="3">
        <v>2.319391643040156E-2</v>
      </c>
      <c r="D7" s="3">
        <v>3.1051664258783616E-2</v>
      </c>
      <c r="E7" s="3">
        <v>8.1754763570974394E-3</v>
      </c>
      <c r="F7" s="3">
        <v>6.7264827662231142E-3</v>
      </c>
      <c r="G7" s="3">
        <v>1.1472880230791743E-2</v>
      </c>
      <c r="H7" s="3">
        <v>8.5735107008870996E-3</v>
      </c>
      <c r="I7" s="3">
        <v>9.3486330970173996E-3</v>
      </c>
      <c r="J7" s="3">
        <v>9.6084981824906025E-3</v>
      </c>
      <c r="K7" s="3">
        <v>1.0541537477023008E-2</v>
      </c>
      <c r="L7" s="3">
        <v>4.736808645410962E-3</v>
      </c>
      <c r="M7" s="3">
        <v>1.0711932903262042E-2</v>
      </c>
      <c r="N7" s="3">
        <v>7.4717440876747691E-3</v>
      </c>
      <c r="O7" s="3">
        <v>4.0777816518267739E-3</v>
      </c>
      <c r="P7" s="3">
        <v>1.0971917587641067E-2</v>
      </c>
      <c r="Q7" s="3">
        <v>7.1538231587681151E-3</v>
      </c>
      <c r="R7" s="3">
        <v>7.4776588854017952E-3</v>
      </c>
      <c r="S7" s="3">
        <v>1.0683889559798926E-2</v>
      </c>
      <c r="T7" s="3">
        <v>1.1404421505795997E-2</v>
      </c>
      <c r="U7" s="4">
        <v>1.6633383575835277E-2</v>
      </c>
    </row>
    <row r="8" spans="1:21">
      <c r="A8" s="10" t="s">
        <v>13</v>
      </c>
      <c r="B8" s="3">
        <v>4.4035668351170764E-3</v>
      </c>
      <c r="C8" s="29">
        <v>6.78990373943693E-3</v>
      </c>
      <c r="D8" s="3">
        <v>8.1754763570974394E-3</v>
      </c>
      <c r="E8" s="3">
        <v>1.1751646727573411E-2</v>
      </c>
      <c r="F8" s="3">
        <v>2.9503708691277471E-3</v>
      </c>
      <c r="G8" s="3">
        <v>6.1017826546181124E-3</v>
      </c>
      <c r="H8" s="3">
        <v>3.3222056185747881E-3</v>
      </c>
      <c r="I8" s="3">
        <v>4.3842492931067557E-3</v>
      </c>
      <c r="J8" s="3">
        <v>5.1603559469360696E-3</v>
      </c>
      <c r="K8" s="3">
        <v>4.8594240175641751E-3</v>
      </c>
      <c r="L8" s="3">
        <v>8.3908637866970839E-4</v>
      </c>
      <c r="M8" s="3">
        <v>2.5692646144978757E-3</v>
      </c>
      <c r="N8" s="3">
        <v>2.7564962296959339E-3</v>
      </c>
      <c r="O8" s="3">
        <v>2.0689985500930578E-3</v>
      </c>
      <c r="P8" s="3">
        <v>4.869179911182576E-3</v>
      </c>
      <c r="Q8" s="3">
        <v>3.5748170491900887E-3</v>
      </c>
      <c r="R8" s="3">
        <v>3.020938644698433E-3</v>
      </c>
      <c r="S8" s="3">
        <v>2.8373545314168565E-3</v>
      </c>
      <c r="T8" s="3">
        <v>2.4729024223141619E-3</v>
      </c>
      <c r="U8" s="4">
        <v>8.7930709141714868E-3</v>
      </c>
    </row>
    <row r="9" spans="1:21">
      <c r="A9" s="10" t="s">
        <v>2</v>
      </c>
      <c r="B9" s="3">
        <v>2.9420677014500604E-3</v>
      </c>
      <c r="C9" s="3">
        <v>6.1758943753862337E-3</v>
      </c>
      <c r="D9" s="3">
        <v>6.7264827662231142E-3</v>
      </c>
      <c r="E9" s="3">
        <v>2.9503708691277471E-3</v>
      </c>
      <c r="F9" s="3">
        <v>6.954944289785589E-3</v>
      </c>
      <c r="G9" s="3">
        <v>5.9432781243609779E-3</v>
      </c>
      <c r="H9" s="3">
        <v>4.3594370692667693E-3</v>
      </c>
      <c r="I9" s="3">
        <v>2.2731255442030658E-3</v>
      </c>
      <c r="J9" s="3">
        <v>3.8300700035067497E-3</v>
      </c>
      <c r="K9" s="3">
        <v>3.0769096075049444E-3</v>
      </c>
      <c r="L9" s="3">
        <v>3.3652546912412693E-3</v>
      </c>
      <c r="M9" s="3">
        <v>3.4664135047360618E-3</v>
      </c>
      <c r="N9" s="3">
        <v>4.3335352405171968E-3</v>
      </c>
      <c r="O9" s="3">
        <v>2.4836271910431583E-3</v>
      </c>
      <c r="P9" s="3">
        <v>5.4289508232298602E-3</v>
      </c>
      <c r="Q9" s="3">
        <v>3.7598160756820275E-3</v>
      </c>
      <c r="R9" s="3">
        <v>2.4020785814783288E-3</v>
      </c>
      <c r="S9" s="3">
        <v>4.3922920352739356E-3</v>
      </c>
      <c r="T9" s="3">
        <v>3.6049791666762257E-3</v>
      </c>
      <c r="U9" s="4">
        <v>6.4352440255722532E-3</v>
      </c>
    </row>
    <row r="10" spans="1:21">
      <c r="A10" s="10" t="s">
        <v>10</v>
      </c>
      <c r="B10" s="3">
        <v>7.7061854815551776E-3</v>
      </c>
      <c r="C10" s="3">
        <v>1.1397767798662783E-2</v>
      </c>
      <c r="D10" s="3">
        <v>1.1472880230791743E-2</v>
      </c>
      <c r="E10" s="3">
        <v>6.1017826546181124E-3</v>
      </c>
      <c r="F10" s="3">
        <v>5.9432781243609779E-3</v>
      </c>
      <c r="G10" s="3">
        <v>1.9682557848766959E-2</v>
      </c>
      <c r="H10" s="3">
        <v>6.5577936465289702E-3</v>
      </c>
      <c r="I10" s="3">
        <v>5.4706058541315527E-3</v>
      </c>
      <c r="J10" s="3">
        <v>6.3981150522634976E-3</v>
      </c>
      <c r="K10" s="3">
        <v>5.8545611569685956E-3</v>
      </c>
      <c r="L10" s="3">
        <v>5.2916712053475293E-3</v>
      </c>
      <c r="M10" s="3">
        <v>8.9388643651908597E-3</v>
      </c>
      <c r="N10" s="3">
        <v>7.2378041579975374E-3</v>
      </c>
      <c r="O10" s="3">
        <v>3.5126050529059325E-3</v>
      </c>
      <c r="P10" s="3">
        <v>1.0050506230862837E-2</v>
      </c>
      <c r="Q10" s="3">
        <v>4.786185662163849E-3</v>
      </c>
      <c r="R10" s="3">
        <v>4.5487678037437291E-3</v>
      </c>
      <c r="S10" s="3">
        <v>8.217021105044334E-3</v>
      </c>
      <c r="T10" s="3">
        <v>8.789785353266721E-3</v>
      </c>
      <c r="U10" s="4">
        <v>1.2429731865720878E-2</v>
      </c>
    </row>
    <row r="11" spans="1:21">
      <c r="A11" s="10" t="s">
        <v>3</v>
      </c>
      <c r="B11" s="3">
        <v>4.4601810419295637E-3</v>
      </c>
      <c r="C11" s="3">
        <v>6.4809190711603033E-3</v>
      </c>
      <c r="D11" s="3">
        <v>8.5735107008870996E-3</v>
      </c>
      <c r="E11" s="3">
        <v>3.3222056185747881E-3</v>
      </c>
      <c r="F11" s="3">
        <v>4.3594370692667693E-3</v>
      </c>
      <c r="G11" s="3">
        <v>6.5577936465289702E-3</v>
      </c>
      <c r="H11" s="3">
        <v>6.9581829225259613E-3</v>
      </c>
      <c r="I11" s="3">
        <v>3.4383943782748702E-3</v>
      </c>
      <c r="J11" s="3">
        <v>2.6433415661040989E-3</v>
      </c>
      <c r="K11" s="3">
        <v>2.0862576826746818E-3</v>
      </c>
      <c r="L11" s="3">
        <v>3.2173792002289036E-3</v>
      </c>
      <c r="M11" s="3">
        <v>4.3644499285043475E-3</v>
      </c>
      <c r="N11" s="3">
        <v>4.2115838782417004E-3</v>
      </c>
      <c r="O11" s="3">
        <v>1.4470541323772918E-3</v>
      </c>
      <c r="P11" s="3">
        <v>5.8999223851911847E-3</v>
      </c>
      <c r="Q11" s="3">
        <v>2.8651755418302922E-3</v>
      </c>
      <c r="R11" s="3">
        <v>2.4380402547996894E-3</v>
      </c>
      <c r="S11" s="3">
        <v>5.2556481427075072E-3</v>
      </c>
      <c r="T11" s="3">
        <v>3.585745938636831E-3</v>
      </c>
      <c r="U11" s="4">
        <v>6.7601069413025803E-3</v>
      </c>
    </row>
    <row r="12" spans="1:21">
      <c r="A12" s="10" t="s">
        <v>19</v>
      </c>
      <c r="B12" s="3">
        <v>5.1961431638687791E-3</v>
      </c>
      <c r="C12" s="3">
        <v>6.9565122335142442E-3</v>
      </c>
      <c r="D12" s="3">
        <v>9.3486330970173996E-3</v>
      </c>
      <c r="E12" s="3">
        <v>4.3842492931067557E-3</v>
      </c>
      <c r="F12" s="3">
        <v>2.2731255442030658E-3</v>
      </c>
      <c r="G12" s="3">
        <v>5.4706058541315527E-3</v>
      </c>
      <c r="H12" s="3">
        <v>3.4383943782748702E-3</v>
      </c>
      <c r="I12" s="3">
        <v>9.4280971299275703E-3</v>
      </c>
      <c r="J12" s="3">
        <v>5.1220154932562966E-3</v>
      </c>
      <c r="K12" s="3">
        <v>5.7401311214705037E-3</v>
      </c>
      <c r="L12" s="3">
        <v>1.527694256943679E-3</v>
      </c>
      <c r="M12" s="3">
        <v>4.2058694572642006E-3</v>
      </c>
      <c r="N12" s="3">
        <v>3.8690452857327337E-3</v>
      </c>
      <c r="O12" s="3">
        <v>2.215338375807477E-3</v>
      </c>
      <c r="P12" s="3">
        <v>4.3614747693857345E-3</v>
      </c>
      <c r="Q12" s="3">
        <v>4.0961580814859152E-3</v>
      </c>
      <c r="R12" s="3">
        <v>3.5431911223890969E-3</v>
      </c>
      <c r="S12" s="3">
        <v>3.5795967868501944E-3</v>
      </c>
      <c r="T12" s="3">
        <v>4.1659119371108356E-3</v>
      </c>
      <c r="U12" s="4">
        <v>8.2010270252568969E-3</v>
      </c>
    </row>
    <row r="13" spans="1:21">
      <c r="A13" s="10" t="s">
        <v>11</v>
      </c>
      <c r="B13" s="3">
        <v>3.5981619236016256E-3</v>
      </c>
      <c r="C13" s="3">
        <v>7.8550062554487848E-3</v>
      </c>
      <c r="D13" s="3">
        <v>9.6084981824906025E-3</v>
      </c>
      <c r="E13" s="3">
        <v>5.1603559469360696E-3</v>
      </c>
      <c r="F13" s="3">
        <v>3.8300700035067497E-3</v>
      </c>
      <c r="G13" s="3">
        <v>6.3981150522634976E-3</v>
      </c>
      <c r="H13" s="3">
        <v>2.6433415661040989E-3</v>
      </c>
      <c r="I13" s="3">
        <v>5.1220154932562966E-3</v>
      </c>
      <c r="J13" s="3">
        <v>1.46168275157253E-2</v>
      </c>
      <c r="K13" s="3">
        <v>6.0839061098942743E-3</v>
      </c>
      <c r="L13" s="3">
        <v>2.08240838372097E-4</v>
      </c>
      <c r="M13" s="3">
        <v>2.8339774539778944E-3</v>
      </c>
      <c r="N13" s="3">
        <v>4.54202644478356E-3</v>
      </c>
      <c r="O13" s="3">
        <v>2.456684117678624E-3</v>
      </c>
      <c r="P13" s="3">
        <v>5.5079124230874394E-3</v>
      </c>
      <c r="Q13" s="3">
        <v>5.6495974059186027E-3</v>
      </c>
      <c r="R13" s="3">
        <v>4.1047544828943299E-3</v>
      </c>
      <c r="S13" s="3">
        <v>6.4591781884397285E-3</v>
      </c>
      <c r="T13" s="3">
        <v>7.0249882093140403E-3</v>
      </c>
      <c r="U13" s="4">
        <v>8.8712214737876188E-3</v>
      </c>
    </row>
    <row r="14" spans="1:21">
      <c r="A14" s="10" t="s">
        <v>15</v>
      </c>
      <c r="B14" s="3">
        <v>3.9088589854914622E-3</v>
      </c>
      <c r="C14" s="3">
        <v>9.7546717093522882E-3</v>
      </c>
      <c r="D14" s="3">
        <v>1.0541537477023008E-2</v>
      </c>
      <c r="E14" s="3">
        <v>4.8594240175641751E-3</v>
      </c>
      <c r="F14" s="3">
        <v>3.0769096075049444E-3</v>
      </c>
      <c r="G14" s="3">
        <v>5.8545611569685956E-3</v>
      </c>
      <c r="H14" s="3">
        <v>2.0862576826746818E-3</v>
      </c>
      <c r="I14" s="3">
        <v>5.7401311214705037E-3</v>
      </c>
      <c r="J14" s="3">
        <v>6.0839061098942743E-3</v>
      </c>
      <c r="K14" s="3">
        <v>1.2977179788212844E-2</v>
      </c>
      <c r="L14" s="3">
        <v>3.0263041890263372E-3</v>
      </c>
      <c r="M14" s="3">
        <v>4.1848134986629598E-3</v>
      </c>
      <c r="N14" s="3">
        <v>3.3046791185206642E-3</v>
      </c>
      <c r="O14" s="3">
        <v>2.0421375882673626E-3</v>
      </c>
      <c r="P14" s="3">
        <v>3.8390924611279354E-3</v>
      </c>
      <c r="Q14" s="3">
        <v>3.0246963276534537E-3</v>
      </c>
      <c r="R14" s="3">
        <v>1.9773378783572268E-3</v>
      </c>
      <c r="S14" s="3">
        <v>2.9777593533828919E-3</v>
      </c>
      <c r="T14" s="3">
        <v>3.4600573571721776E-3</v>
      </c>
      <c r="U14" s="4">
        <v>8.0651735323518346E-3</v>
      </c>
    </row>
    <row r="15" spans="1:21">
      <c r="A15" s="10" t="s">
        <v>4</v>
      </c>
      <c r="B15" s="3">
        <v>4.83417763814596E-3</v>
      </c>
      <c r="C15" s="3">
        <v>5.4934183439338405E-3</v>
      </c>
      <c r="D15" s="3">
        <v>4.736808645410962E-3</v>
      </c>
      <c r="E15" s="3">
        <v>8.3908637866970839E-4</v>
      </c>
      <c r="F15" s="3">
        <v>3.3652546912412693E-3</v>
      </c>
      <c r="G15" s="3">
        <v>5.2916712053475293E-3</v>
      </c>
      <c r="H15" s="3">
        <v>3.2173792002289036E-3</v>
      </c>
      <c r="I15" s="3">
        <v>1.527694256943679E-3</v>
      </c>
      <c r="J15" s="3">
        <v>2.08240838372097E-4</v>
      </c>
      <c r="K15" s="3">
        <v>3.0263041890263372E-3</v>
      </c>
      <c r="L15" s="3">
        <v>1.479949932509257E-2</v>
      </c>
      <c r="M15" s="3">
        <v>2.5298651699586982E-3</v>
      </c>
      <c r="N15" s="3">
        <v>3.4038056497646624E-3</v>
      </c>
      <c r="O15" s="3">
        <v>2.5061751435386391E-3</v>
      </c>
      <c r="P15" s="3">
        <v>4.7433146402237978E-3</v>
      </c>
      <c r="Q15" s="3">
        <v>1.4452853924037017E-3</v>
      </c>
      <c r="R15" s="3">
        <v>1.393767060799753E-3</v>
      </c>
      <c r="S15" s="3">
        <v>1.8408029868982141E-3</v>
      </c>
      <c r="T15" s="3">
        <v>8.7490739803845904E-4</v>
      </c>
      <c r="U15" s="4">
        <v>4.3553896442336693E-3</v>
      </c>
    </row>
    <row r="16" spans="1:21">
      <c r="A16" s="10" t="s">
        <v>17</v>
      </c>
      <c r="B16" s="3">
        <v>5.5966939321274696E-3</v>
      </c>
      <c r="C16" s="3">
        <v>1.5421799697934833E-2</v>
      </c>
      <c r="D16" s="3">
        <v>1.0711932903262042E-2</v>
      </c>
      <c r="E16" s="3">
        <v>2.5692646144978757E-3</v>
      </c>
      <c r="F16" s="3">
        <v>3.4664135047360618E-3</v>
      </c>
      <c r="G16" s="3">
        <v>8.9388643651908597E-3</v>
      </c>
      <c r="H16" s="3">
        <v>4.3644499285043475E-3</v>
      </c>
      <c r="I16" s="3">
        <v>4.2058694572642006E-3</v>
      </c>
      <c r="J16" s="3">
        <v>2.8339774539778944E-3</v>
      </c>
      <c r="K16" s="3">
        <v>4.1848134986629598E-3</v>
      </c>
      <c r="L16" s="3">
        <v>2.5298651699586982E-3</v>
      </c>
      <c r="M16" s="3">
        <v>2.2180465326192438E-2</v>
      </c>
      <c r="N16" s="3">
        <v>6.2497671010762357E-3</v>
      </c>
      <c r="O16" s="3">
        <v>2.0711002811740695E-3</v>
      </c>
      <c r="P16" s="3">
        <v>7.5658576218924989E-3</v>
      </c>
      <c r="Q16" s="3">
        <v>1.778928551243505E-3</v>
      </c>
      <c r="R16" s="3">
        <v>4.9048583991882239E-3</v>
      </c>
      <c r="S16" s="3">
        <v>4.8914275823427203E-3</v>
      </c>
      <c r="T16" s="3">
        <v>5.5534538988055212E-3</v>
      </c>
      <c r="U16" s="4">
        <v>1.0698643160263194E-2</v>
      </c>
    </row>
    <row r="17" spans="1:23">
      <c r="A17" s="10" t="s">
        <v>16</v>
      </c>
      <c r="B17" s="3">
        <v>3.9041846044801307E-3</v>
      </c>
      <c r="C17" s="3">
        <v>8.251338747658047E-3</v>
      </c>
      <c r="D17" s="3">
        <v>7.4717440876747691E-3</v>
      </c>
      <c r="E17" s="3">
        <v>2.7564962296959339E-3</v>
      </c>
      <c r="F17" s="3">
        <v>4.3335352405171968E-3</v>
      </c>
      <c r="G17" s="3">
        <v>7.2378041579975374E-3</v>
      </c>
      <c r="H17" s="3">
        <v>4.2115838782417004E-3</v>
      </c>
      <c r="I17" s="3">
        <v>3.8690452857327337E-3</v>
      </c>
      <c r="J17" s="3">
        <v>4.54202644478356E-3</v>
      </c>
      <c r="K17" s="3">
        <v>3.3046791185206642E-3</v>
      </c>
      <c r="L17" s="3">
        <v>3.4038056497646624E-3</v>
      </c>
      <c r="M17" s="3">
        <v>6.2497671010762357E-3</v>
      </c>
      <c r="N17" s="3">
        <v>7.1408685670825024E-3</v>
      </c>
      <c r="O17" s="3">
        <v>2.2886456139273982E-3</v>
      </c>
      <c r="P17" s="3">
        <v>6.0147777387325029E-3</v>
      </c>
      <c r="Q17" s="3">
        <v>3.8122597750917262E-3</v>
      </c>
      <c r="R17" s="3">
        <v>2.9339476055642759E-3</v>
      </c>
      <c r="S17" s="3">
        <v>5.7781375149870435E-3</v>
      </c>
      <c r="T17" s="3">
        <v>5.4642645559359283E-3</v>
      </c>
      <c r="U17" s="4">
        <v>8.3191221012270805E-3</v>
      </c>
    </row>
    <row r="18" spans="1:23">
      <c r="A18" s="10" t="s">
        <v>5</v>
      </c>
      <c r="B18" s="3">
        <v>1.6974418044208516E-3</v>
      </c>
      <c r="C18" s="3">
        <v>4.0849158304005935E-3</v>
      </c>
      <c r="D18" s="3">
        <v>4.0777816518267739E-3</v>
      </c>
      <c r="E18" s="3">
        <v>2.0689985500930578E-3</v>
      </c>
      <c r="F18" s="3">
        <v>2.4836271910431583E-3</v>
      </c>
      <c r="G18" s="3">
        <v>3.5126050529059325E-3</v>
      </c>
      <c r="H18" s="3">
        <v>1.4470541323772918E-3</v>
      </c>
      <c r="I18" s="3">
        <v>2.215338375807477E-3</v>
      </c>
      <c r="J18" s="3">
        <v>2.456684117678624E-3</v>
      </c>
      <c r="K18" s="3">
        <v>2.0421375882673626E-3</v>
      </c>
      <c r="L18" s="3">
        <v>2.5061751435386391E-3</v>
      </c>
      <c r="M18" s="3">
        <v>2.0711002811740695E-3</v>
      </c>
      <c r="N18" s="3">
        <v>2.2886456139273982E-3</v>
      </c>
      <c r="O18" s="3">
        <v>4.9260515247496828E-3</v>
      </c>
      <c r="P18" s="3">
        <v>3.4008679557705102E-3</v>
      </c>
      <c r="Q18" s="3">
        <v>2.85611954182159E-3</v>
      </c>
      <c r="R18" s="3">
        <v>3.4027908875498875E-3</v>
      </c>
      <c r="S18" s="3">
        <v>3.202600511722766E-3</v>
      </c>
      <c r="T18" s="3">
        <v>3.85926699415627E-3</v>
      </c>
      <c r="U18" s="4">
        <v>4.8468980174317493E-3</v>
      </c>
    </row>
    <row r="19" spans="1:23">
      <c r="A19" s="10" t="s">
        <v>18</v>
      </c>
      <c r="B19" s="3">
        <v>1.3145933712828975E-2</v>
      </c>
      <c r="C19" s="3">
        <v>8.9863935958859002E-3</v>
      </c>
      <c r="D19" s="3">
        <v>1.0971917587641067E-2</v>
      </c>
      <c r="E19" s="3">
        <v>4.869179911182576E-3</v>
      </c>
      <c r="F19" s="3">
        <v>5.4289508232298602E-3</v>
      </c>
      <c r="G19" s="3">
        <v>1.0050506230862837E-2</v>
      </c>
      <c r="H19" s="3">
        <v>5.8999223851911847E-3</v>
      </c>
      <c r="I19" s="3">
        <v>4.3614747693857345E-3</v>
      </c>
      <c r="J19" s="3">
        <v>5.5079124230874394E-3</v>
      </c>
      <c r="K19" s="3">
        <v>3.8390924611279354E-3</v>
      </c>
      <c r="L19" s="3">
        <v>4.7433146402237978E-3</v>
      </c>
      <c r="M19" s="3">
        <v>7.5658576218924989E-3</v>
      </c>
      <c r="N19" s="3">
        <v>6.0147777387325029E-3</v>
      </c>
      <c r="O19" s="3">
        <v>3.4008679557705102E-3</v>
      </c>
      <c r="P19" s="3">
        <v>2.0622077915632891E-2</v>
      </c>
      <c r="Q19" s="3">
        <v>4.7672461533435368E-3</v>
      </c>
      <c r="R19" s="3">
        <v>4.7831489640223169E-3</v>
      </c>
      <c r="S19" s="3">
        <v>8.9753034487230435E-3</v>
      </c>
      <c r="T19" s="3">
        <v>9.7172364779587357E-3</v>
      </c>
      <c r="U19" s="4">
        <v>8.4733861933815602E-3</v>
      </c>
    </row>
    <row r="20" spans="1:23">
      <c r="A20" s="10" t="s">
        <v>21</v>
      </c>
      <c r="B20" s="3">
        <v>3.2729224313708147E-3</v>
      </c>
      <c r="C20" s="3">
        <v>5.9823037076903165E-3</v>
      </c>
      <c r="D20" s="3">
        <v>7.1538231587681151E-3</v>
      </c>
      <c r="E20" s="3">
        <v>3.5748170491900887E-3</v>
      </c>
      <c r="F20" s="3">
        <v>3.7598160756820275E-3</v>
      </c>
      <c r="G20" s="3">
        <v>4.786185662163849E-3</v>
      </c>
      <c r="H20" s="3">
        <v>2.8651755418302922E-3</v>
      </c>
      <c r="I20" s="3">
        <v>4.0961580814859152E-3</v>
      </c>
      <c r="J20" s="3">
        <v>5.6495974059186027E-3</v>
      </c>
      <c r="K20" s="3">
        <v>3.0246963276534537E-3</v>
      </c>
      <c r="L20" s="3">
        <v>1.4452853924037017E-3</v>
      </c>
      <c r="M20" s="3">
        <v>1.778928551243505E-3</v>
      </c>
      <c r="N20" s="3">
        <v>3.8122597750917262E-3</v>
      </c>
      <c r="O20" s="3">
        <v>2.85611954182159E-3</v>
      </c>
      <c r="P20" s="3">
        <v>4.7672461533435368E-3</v>
      </c>
      <c r="Q20" s="3">
        <v>6.1288630013695677E-3</v>
      </c>
      <c r="R20" s="3">
        <v>3.0741915825132464E-3</v>
      </c>
      <c r="S20" s="3">
        <v>3.7156066111048098E-3</v>
      </c>
      <c r="T20" s="3">
        <v>4.6606308709602117E-3</v>
      </c>
      <c r="U20" s="4">
        <v>6.8173047236230371E-3</v>
      </c>
    </row>
    <row r="21" spans="1:23">
      <c r="A21" s="10" t="s">
        <v>1</v>
      </c>
      <c r="B21" s="3">
        <v>5.3817854422589222E-3</v>
      </c>
      <c r="C21" s="3">
        <v>7.7341287599130108E-3</v>
      </c>
      <c r="D21" s="3">
        <v>7.4776588854017952E-3</v>
      </c>
      <c r="E21" s="3">
        <v>3.020938644698433E-3</v>
      </c>
      <c r="F21" s="3">
        <v>2.4020785814783288E-3</v>
      </c>
      <c r="G21" s="3">
        <v>4.5487678037437291E-3</v>
      </c>
      <c r="H21" s="3">
        <v>2.4380402547996894E-3</v>
      </c>
      <c r="I21" s="3">
        <v>3.5431911223890969E-3</v>
      </c>
      <c r="J21" s="3">
        <v>4.1047544828943299E-3</v>
      </c>
      <c r="K21" s="3">
        <v>1.9773378783572268E-3</v>
      </c>
      <c r="L21" s="3">
        <v>1.393767060799753E-3</v>
      </c>
      <c r="M21" s="3">
        <v>4.9048583991882239E-3</v>
      </c>
      <c r="N21" s="3">
        <v>2.9339476055642759E-3</v>
      </c>
      <c r="O21" s="3">
        <v>3.4027908875498875E-3</v>
      </c>
      <c r="P21" s="3">
        <v>4.7831489640223169E-3</v>
      </c>
      <c r="Q21" s="3">
        <v>3.0741915825132464E-3</v>
      </c>
      <c r="R21" s="3">
        <v>7.5402633851641377E-3</v>
      </c>
      <c r="S21" s="3">
        <v>7.2039309766488355E-3</v>
      </c>
      <c r="T21" s="3">
        <v>7.709881431788447E-3</v>
      </c>
      <c r="U21" s="4">
        <v>7.9876935030269401E-3</v>
      </c>
    </row>
    <row r="22" spans="1:23">
      <c r="A22" s="10" t="s">
        <v>9</v>
      </c>
      <c r="B22" s="3">
        <v>6.2980453823742186E-3</v>
      </c>
      <c r="C22" s="3">
        <v>8.7949217590763979E-3</v>
      </c>
      <c r="D22" s="3">
        <v>1.0683889559798926E-2</v>
      </c>
      <c r="E22" s="3">
        <v>2.8373545314168565E-3</v>
      </c>
      <c r="F22" s="3">
        <v>4.3922920352739356E-3</v>
      </c>
      <c r="G22" s="3">
        <v>8.217021105044334E-3</v>
      </c>
      <c r="H22" s="3">
        <v>5.2556481427075072E-3</v>
      </c>
      <c r="I22" s="3">
        <v>3.5795967868501944E-3</v>
      </c>
      <c r="J22" s="3">
        <v>6.4591781884397285E-3</v>
      </c>
      <c r="K22" s="3">
        <v>2.9777593533828919E-3</v>
      </c>
      <c r="L22" s="3">
        <v>1.8408029868982141E-3</v>
      </c>
      <c r="M22" s="3">
        <v>4.8914275823427203E-3</v>
      </c>
      <c r="N22" s="3">
        <v>5.7781375149870435E-3</v>
      </c>
      <c r="O22" s="3">
        <v>3.202600511722766E-3</v>
      </c>
      <c r="P22" s="3">
        <v>8.9753034487230435E-3</v>
      </c>
      <c r="Q22" s="3">
        <v>3.7156066111048098E-3</v>
      </c>
      <c r="R22" s="3">
        <v>7.2039309766488355E-3</v>
      </c>
      <c r="S22" s="3">
        <v>1.4005470369855359E-2</v>
      </c>
      <c r="T22" s="3">
        <v>1.1294660440450428E-2</v>
      </c>
      <c r="U22" s="4">
        <v>9.6178234480983702E-3</v>
      </c>
    </row>
    <row r="23" spans="1:23">
      <c r="A23" s="10" t="s">
        <v>0</v>
      </c>
      <c r="B23" s="3">
        <v>7.5520291239693739E-3</v>
      </c>
      <c r="C23" s="3">
        <v>1.0323382842742252E-2</v>
      </c>
      <c r="D23" s="3">
        <v>1.1404421505795997E-2</v>
      </c>
      <c r="E23" s="3">
        <v>2.4729024223141619E-3</v>
      </c>
      <c r="F23" s="3">
        <v>3.6049791666762257E-3</v>
      </c>
      <c r="G23" s="3">
        <v>8.789785353266721E-3</v>
      </c>
      <c r="H23" s="3">
        <v>3.585745938636831E-3</v>
      </c>
      <c r="I23" s="3">
        <v>4.1659119371108356E-3</v>
      </c>
      <c r="J23" s="3">
        <v>7.0249882093140403E-3</v>
      </c>
      <c r="K23" s="3">
        <v>3.4600573571721776E-3</v>
      </c>
      <c r="L23" s="3">
        <v>8.7490739803845904E-4</v>
      </c>
      <c r="M23" s="3">
        <v>5.5534538988055212E-3</v>
      </c>
      <c r="N23" s="3">
        <v>5.4642645559359283E-3</v>
      </c>
      <c r="O23" s="3">
        <v>3.85926699415627E-3</v>
      </c>
      <c r="P23" s="3">
        <v>9.7172364779587357E-3</v>
      </c>
      <c r="Q23" s="3">
        <v>4.6606308709602117E-3</v>
      </c>
      <c r="R23" s="3">
        <v>7.709881431788447E-3</v>
      </c>
      <c r="S23" s="3">
        <v>1.1294660440450428E-2</v>
      </c>
      <c r="T23" s="3">
        <v>1.6108644229751726E-2</v>
      </c>
      <c r="U23" s="4">
        <v>1.0273468071095387E-2</v>
      </c>
    </row>
    <row r="24" spans="1:23" ht="15.75" thickBot="1">
      <c r="A24" s="10" t="s">
        <v>14</v>
      </c>
      <c r="B24" s="5">
        <v>9.6242282186377436E-3</v>
      </c>
      <c r="C24" s="5">
        <v>1.7531088152162182E-2</v>
      </c>
      <c r="D24" s="5">
        <v>1.6633383575835277E-2</v>
      </c>
      <c r="E24" s="5">
        <v>8.7930709141714868E-3</v>
      </c>
      <c r="F24" s="5">
        <v>6.4352440255722532E-3</v>
      </c>
      <c r="G24" s="5">
        <v>1.2429731865720878E-2</v>
      </c>
      <c r="H24" s="5">
        <v>6.7601069413025803E-3</v>
      </c>
      <c r="I24" s="5">
        <v>8.2010270252568969E-3</v>
      </c>
      <c r="J24" s="5">
        <v>8.8712214737876188E-3</v>
      </c>
      <c r="K24" s="5">
        <v>8.0651735323518346E-3</v>
      </c>
      <c r="L24" s="5">
        <v>4.3553896442336693E-3</v>
      </c>
      <c r="M24" s="5">
        <v>1.0698643160263194E-2</v>
      </c>
      <c r="N24" s="5">
        <v>8.3191221012270805E-3</v>
      </c>
      <c r="O24" s="5">
        <v>4.8468980174317493E-3</v>
      </c>
      <c r="P24" s="5">
        <v>8.4733861933815602E-3</v>
      </c>
      <c r="Q24" s="5">
        <v>6.8173047236230371E-3</v>
      </c>
      <c r="R24" s="5">
        <v>7.9876935030269401E-3</v>
      </c>
      <c r="S24" s="5">
        <v>9.6178234480983702E-3</v>
      </c>
      <c r="T24" s="5">
        <v>1.0273468071095387E-2</v>
      </c>
      <c r="U24" s="6">
        <v>2.3088805021152101E-2</v>
      </c>
    </row>
    <row r="25" spans="1:23" ht="15.75" thickBot="1">
      <c r="A25" s="166" t="s">
        <v>35</v>
      </c>
      <c r="B25" s="169" t="s">
        <v>6</v>
      </c>
      <c r="C25" s="169" t="s">
        <v>7</v>
      </c>
      <c r="D25" s="169" t="s">
        <v>8</v>
      </c>
      <c r="E25" s="169" t="s">
        <v>13</v>
      </c>
      <c r="F25" s="169" t="s">
        <v>2</v>
      </c>
      <c r="G25" s="169" t="s">
        <v>10</v>
      </c>
      <c r="H25" s="169" t="s">
        <v>3</v>
      </c>
      <c r="I25" s="169" t="s">
        <v>19</v>
      </c>
      <c r="J25" s="169" t="s">
        <v>11</v>
      </c>
      <c r="K25" s="169" t="s">
        <v>15</v>
      </c>
      <c r="L25" s="169" t="s">
        <v>4</v>
      </c>
      <c r="M25" s="169" t="s">
        <v>17</v>
      </c>
      <c r="N25" s="169" t="s">
        <v>16</v>
      </c>
      <c r="O25" s="169" t="s">
        <v>5</v>
      </c>
      <c r="P25" s="169" t="s">
        <v>18</v>
      </c>
      <c r="Q25" s="169" t="s">
        <v>21</v>
      </c>
      <c r="R25" s="169" t="s">
        <v>1</v>
      </c>
      <c r="S25" s="169" t="s">
        <v>9</v>
      </c>
      <c r="T25" s="169" t="s">
        <v>0</v>
      </c>
      <c r="U25" s="170" t="s">
        <v>14</v>
      </c>
      <c r="V25" s="74" t="s">
        <v>64</v>
      </c>
      <c r="W25" s="75" t="s">
        <v>65</v>
      </c>
    </row>
    <row r="26" spans="1:23">
      <c r="A26" s="167" t="s">
        <v>60</v>
      </c>
      <c r="B26" s="90">
        <v>0</v>
      </c>
      <c r="C26" s="90">
        <v>0</v>
      </c>
      <c r="D26" s="90">
        <v>0</v>
      </c>
      <c r="E26" s="90">
        <v>1.2048355178036992E-3</v>
      </c>
      <c r="F26" s="90">
        <v>0</v>
      </c>
      <c r="G26" s="90">
        <v>0</v>
      </c>
      <c r="H26" s="90">
        <v>0.35492506351921077</v>
      </c>
      <c r="I26" s="90">
        <v>0</v>
      </c>
      <c r="J26" s="90">
        <v>0</v>
      </c>
      <c r="K26" s="90">
        <v>0.13629786030635607</v>
      </c>
      <c r="L26" s="90">
        <v>4.6889665954651695E-2</v>
      </c>
      <c r="M26" s="90">
        <v>0</v>
      </c>
      <c r="N26" s="90">
        <v>0</v>
      </c>
      <c r="O26" s="90">
        <v>0</v>
      </c>
      <c r="P26" s="90">
        <v>0</v>
      </c>
      <c r="Q26" s="90">
        <v>0.27823934817655621</v>
      </c>
      <c r="R26" s="90">
        <v>0.18244322678193506</v>
      </c>
      <c r="S26" s="90">
        <v>0</v>
      </c>
      <c r="T26" s="90">
        <v>0</v>
      </c>
      <c r="U26" s="91">
        <v>0</v>
      </c>
      <c r="V26" s="76">
        <f>SUM(B26:U26)</f>
        <v>1.0000000002565137</v>
      </c>
      <c r="W26" s="80">
        <f t="array" ref="W26">MMULT(MMULT(B26:U26,B5:U24),TRANSPOSE(B26:U26))</f>
        <v>3.8145669184856497E-3</v>
      </c>
    </row>
    <row r="27" spans="1:23">
      <c r="A27" s="167" t="s">
        <v>62</v>
      </c>
      <c r="B27" s="77" t="s">
        <v>98</v>
      </c>
      <c r="C27" s="77" t="s">
        <v>98</v>
      </c>
      <c r="D27" s="77" t="s">
        <v>98</v>
      </c>
      <c r="E27" s="77" t="s">
        <v>98</v>
      </c>
      <c r="F27" s="77" t="s">
        <v>98</v>
      </c>
      <c r="G27" s="77" t="s">
        <v>98</v>
      </c>
      <c r="H27" s="77" t="s">
        <v>98</v>
      </c>
      <c r="I27" s="77" t="s">
        <v>98</v>
      </c>
      <c r="J27" s="77" t="s">
        <v>98</v>
      </c>
      <c r="K27" s="77" t="s">
        <v>98</v>
      </c>
      <c r="L27" s="77" t="s">
        <v>98</v>
      </c>
      <c r="M27" s="77" t="s">
        <v>98</v>
      </c>
      <c r="N27" s="77" t="s">
        <v>98</v>
      </c>
      <c r="O27" s="77" t="s">
        <v>98</v>
      </c>
      <c r="P27" s="77" t="s">
        <v>98</v>
      </c>
      <c r="Q27" s="77" t="s">
        <v>98</v>
      </c>
      <c r="R27" s="77" t="s">
        <v>98</v>
      </c>
      <c r="S27" s="77" t="s">
        <v>98</v>
      </c>
      <c r="T27" s="77" t="s">
        <v>98</v>
      </c>
      <c r="U27" s="77" t="s">
        <v>98</v>
      </c>
      <c r="V27" s="76">
        <v>1</v>
      </c>
      <c r="W27" s="70"/>
    </row>
    <row r="28" spans="1:23" ht="15.75" thickBot="1">
      <c r="A28" s="168" t="s">
        <v>63</v>
      </c>
      <c r="B28" s="129" t="s">
        <v>97</v>
      </c>
      <c r="C28" s="129" t="s">
        <v>97</v>
      </c>
      <c r="D28" s="129" t="s">
        <v>97</v>
      </c>
      <c r="E28" s="129" t="s">
        <v>97</v>
      </c>
      <c r="F28" s="129" t="s">
        <v>97</v>
      </c>
      <c r="G28" s="129" t="s">
        <v>97</v>
      </c>
      <c r="H28" s="129" t="s">
        <v>97</v>
      </c>
      <c r="I28" s="129" t="s">
        <v>97</v>
      </c>
      <c r="J28" s="129" t="s">
        <v>97</v>
      </c>
      <c r="K28" s="129" t="s">
        <v>97</v>
      </c>
      <c r="L28" s="129" t="s">
        <v>97</v>
      </c>
      <c r="M28" s="129" t="s">
        <v>97</v>
      </c>
      <c r="N28" s="129" t="s">
        <v>97</v>
      </c>
      <c r="O28" s="129" t="s">
        <v>97</v>
      </c>
      <c r="P28" s="129" t="s">
        <v>97</v>
      </c>
      <c r="Q28" s="129" t="s">
        <v>97</v>
      </c>
      <c r="R28" s="129" t="s">
        <v>97</v>
      </c>
      <c r="S28" s="129" t="s">
        <v>97</v>
      </c>
      <c r="T28" s="129" t="s">
        <v>97</v>
      </c>
      <c r="U28" s="129" t="s">
        <v>97</v>
      </c>
      <c r="V28" s="79">
        <f>SUMPRODUCT(B2:U2,B26:U26)</f>
        <v>2.0000000086294614E-2</v>
      </c>
      <c r="W28" s="78" t="s">
        <v>69</v>
      </c>
    </row>
    <row r="29" spans="1:23" ht="15.75" thickBot="1"/>
    <row r="30" spans="1:23" ht="16.5">
      <c r="A30" s="82" t="s">
        <v>66</v>
      </c>
      <c r="B30" s="83"/>
      <c r="C30" s="83"/>
      <c r="D30" s="84"/>
      <c r="G30" s="206" t="s">
        <v>101</v>
      </c>
      <c r="H30" s="207"/>
      <c r="I30" s="207"/>
      <c r="J30" s="208"/>
      <c r="S30"/>
    </row>
    <row r="31" spans="1:23">
      <c r="A31" s="85" t="s">
        <v>67</v>
      </c>
      <c r="B31" s="86"/>
      <c r="C31" s="86"/>
      <c r="D31" s="87"/>
      <c r="G31" s="209" t="s">
        <v>4</v>
      </c>
      <c r="H31" s="210"/>
      <c r="I31" s="215">
        <f>L26</f>
        <v>4.6889665954651695E-2</v>
      </c>
      <c r="J31" s="216"/>
    </row>
    <row r="32" spans="1:23">
      <c r="A32" s="85" t="s">
        <v>70</v>
      </c>
      <c r="B32" s="86"/>
      <c r="C32" s="86"/>
      <c r="D32" s="87"/>
      <c r="G32" s="209" t="s">
        <v>15</v>
      </c>
      <c r="H32" s="210"/>
      <c r="I32" s="215">
        <f>K26</f>
        <v>0.13629786030635607</v>
      </c>
      <c r="J32" s="216"/>
    </row>
    <row r="33" spans="1:10" ht="30">
      <c r="A33" s="93" t="s">
        <v>68</v>
      </c>
      <c r="B33" s="86"/>
      <c r="C33" s="86"/>
      <c r="D33" s="87"/>
      <c r="G33" s="211" t="s">
        <v>1</v>
      </c>
      <c r="H33" s="212"/>
      <c r="I33" s="217">
        <f>R26</f>
        <v>0.18244322678193506</v>
      </c>
      <c r="J33" s="218"/>
    </row>
    <row r="34" spans="1:10" ht="30.75" thickBot="1">
      <c r="A34" s="92" t="s">
        <v>99</v>
      </c>
      <c r="B34" s="88"/>
      <c r="C34" s="88"/>
      <c r="D34" s="89"/>
      <c r="G34" s="211" t="s">
        <v>21</v>
      </c>
      <c r="H34" s="212"/>
      <c r="I34" s="217">
        <f>Q26</f>
        <v>0.27823934817655621</v>
      </c>
      <c r="J34" s="218"/>
    </row>
    <row r="35" spans="1:10">
      <c r="G35" s="209" t="s">
        <v>3</v>
      </c>
      <c r="H35" s="210"/>
      <c r="I35" s="217">
        <f>H26</f>
        <v>0.35492506351921077</v>
      </c>
      <c r="J35" s="218"/>
    </row>
    <row r="36" spans="1:10" ht="15.75" thickBot="1">
      <c r="G36" s="213" t="s">
        <v>64</v>
      </c>
      <c r="H36" s="214"/>
      <c r="I36" s="144">
        <f>SUM(I31:I35)</f>
        <v>0.99879516473870966</v>
      </c>
      <c r="J36" s="145"/>
    </row>
  </sheetData>
  <sortState xmlns:xlrd2="http://schemas.microsoft.com/office/spreadsheetml/2017/richdata2" ref="G31:H35">
    <sortCondition ref="H31:H35"/>
  </sortState>
  <mergeCells count="13">
    <mergeCell ref="G34:H34"/>
    <mergeCell ref="G35:H35"/>
    <mergeCell ref="G36:H36"/>
    <mergeCell ref="I31:J31"/>
    <mergeCell ref="I32:J32"/>
    <mergeCell ref="I33:J33"/>
    <mergeCell ref="I34:J34"/>
    <mergeCell ref="I35:J35"/>
    <mergeCell ref="A3:U3"/>
    <mergeCell ref="G30:J30"/>
    <mergeCell ref="G31:H31"/>
    <mergeCell ref="G32:H32"/>
    <mergeCell ref="G33:H3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8706-EE4E-484E-AC79-B6ABA6A2C801}">
  <dimension ref="A1:U86"/>
  <sheetViews>
    <sheetView topLeftCell="A49" zoomScaleNormal="100" workbookViewId="0">
      <selection activeCell="H25" sqref="H25"/>
    </sheetView>
  </sheetViews>
  <sheetFormatPr defaultRowHeight="15"/>
  <cols>
    <col min="1" max="1" width="17.140625" style="39" bestFit="1" customWidth="1"/>
    <col min="2" max="2" width="16.42578125" style="39" bestFit="1" customWidth="1"/>
    <col min="3" max="3" width="15.5703125" style="39" bestFit="1" customWidth="1"/>
    <col min="4" max="4" width="9.140625" style="39"/>
    <col min="5" max="5" width="17.140625" style="39" bestFit="1" customWidth="1"/>
    <col min="6" max="6" width="16.42578125" style="39" bestFit="1" customWidth="1"/>
    <col min="7" max="7" width="15.5703125" style="39" bestFit="1" customWidth="1"/>
    <col min="8" max="9" width="12" style="39" bestFit="1" customWidth="1"/>
    <col min="10" max="16384" width="9.140625" style="39"/>
  </cols>
  <sheetData>
    <row r="1" spans="1:21" ht="26.25" customHeight="1" thickBot="1">
      <c r="A1" s="233" t="s">
        <v>31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5"/>
    </row>
    <row r="2" spans="1:21">
      <c r="A2" s="30"/>
      <c r="B2" s="31" t="s">
        <v>6</v>
      </c>
      <c r="C2" s="31" t="s">
        <v>7</v>
      </c>
      <c r="D2" s="31" t="s">
        <v>8</v>
      </c>
      <c r="E2" s="31" t="s">
        <v>13</v>
      </c>
      <c r="F2" s="31" t="s">
        <v>2</v>
      </c>
      <c r="G2" s="31" t="s">
        <v>10</v>
      </c>
      <c r="H2" s="31" t="s">
        <v>3</v>
      </c>
      <c r="I2" s="31" t="s">
        <v>19</v>
      </c>
      <c r="J2" s="31" t="s">
        <v>11</v>
      </c>
      <c r="K2" s="31" t="s">
        <v>15</v>
      </c>
      <c r="L2" s="31" t="s">
        <v>4</v>
      </c>
      <c r="M2" s="31" t="s">
        <v>17</v>
      </c>
      <c r="N2" s="31" t="s">
        <v>16</v>
      </c>
      <c r="O2" s="31" t="s">
        <v>5</v>
      </c>
      <c r="P2" s="31" t="s">
        <v>18</v>
      </c>
      <c r="Q2" s="31" t="s">
        <v>21</v>
      </c>
      <c r="R2" s="31" t="s">
        <v>1</v>
      </c>
      <c r="S2" s="31" t="s">
        <v>9</v>
      </c>
      <c r="T2" s="31" t="s">
        <v>0</v>
      </c>
      <c r="U2" s="32" t="s">
        <v>14</v>
      </c>
    </row>
    <row r="3" spans="1:21">
      <c r="A3" s="33" t="s">
        <v>6</v>
      </c>
      <c r="B3" s="34">
        <v>1.733143001699226E-2</v>
      </c>
      <c r="C3" s="34">
        <v>1.1356875578397468E-2</v>
      </c>
      <c r="D3" s="34">
        <v>1.191333265960013E-2</v>
      </c>
      <c r="E3" s="34">
        <v>4.4035668351170764E-3</v>
      </c>
      <c r="F3" s="34">
        <v>2.9420677014500604E-3</v>
      </c>
      <c r="G3" s="34">
        <v>7.7061854815551776E-3</v>
      </c>
      <c r="H3" s="34">
        <v>4.4601810419295637E-3</v>
      </c>
      <c r="I3" s="34">
        <v>5.1961431638687791E-3</v>
      </c>
      <c r="J3" s="34">
        <v>3.5981619236016256E-3</v>
      </c>
      <c r="K3" s="34">
        <v>3.9088589854914622E-3</v>
      </c>
      <c r="L3" s="34">
        <v>4.83417763814596E-3</v>
      </c>
      <c r="M3" s="34">
        <v>5.5966939321274696E-3</v>
      </c>
      <c r="N3" s="34">
        <v>3.9041846044801307E-3</v>
      </c>
      <c r="O3" s="34">
        <v>1.6974418044208516E-3</v>
      </c>
      <c r="P3" s="34">
        <v>1.3145933712828975E-2</v>
      </c>
      <c r="Q3" s="34">
        <v>3.2729224313708147E-3</v>
      </c>
      <c r="R3" s="34">
        <v>5.3817854422589222E-3</v>
      </c>
      <c r="S3" s="34">
        <v>6.2980453823742186E-3</v>
      </c>
      <c r="T3" s="34">
        <v>7.5520291239693739E-3</v>
      </c>
      <c r="U3" s="35">
        <v>9.6242282186377436E-3</v>
      </c>
    </row>
    <row r="4" spans="1:21">
      <c r="A4" s="33" t="s">
        <v>7</v>
      </c>
      <c r="B4" s="34">
        <v>1.1356875578397468E-2</v>
      </c>
      <c r="C4" s="34">
        <v>3.3767414673617983E-2</v>
      </c>
      <c r="D4" s="34">
        <v>2.319391643040156E-2</v>
      </c>
      <c r="E4" s="34">
        <v>6.78990373943693E-3</v>
      </c>
      <c r="F4" s="34">
        <v>6.1758943753862337E-3</v>
      </c>
      <c r="G4" s="34">
        <v>1.1397767798662783E-2</v>
      </c>
      <c r="H4" s="34">
        <v>6.4809190711603033E-3</v>
      </c>
      <c r="I4" s="34">
        <v>6.9565122335142442E-3</v>
      </c>
      <c r="J4" s="34">
        <v>7.8550062554487848E-3</v>
      </c>
      <c r="K4" s="34">
        <v>9.7546717093522882E-3</v>
      </c>
      <c r="L4" s="34">
        <v>5.4934183439338405E-3</v>
      </c>
      <c r="M4" s="34">
        <v>1.5421799697934833E-2</v>
      </c>
      <c r="N4" s="34">
        <v>8.251338747658047E-3</v>
      </c>
      <c r="O4" s="34">
        <v>4.0849158304005935E-3</v>
      </c>
      <c r="P4" s="34">
        <v>8.9863935958859002E-3</v>
      </c>
      <c r="Q4" s="34">
        <v>5.9823037076903165E-3</v>
      </c>
      <c r="R4" s="34">
        <v>7.7341287599130108E-3</v>
      </c>
      <c r="S4" s="34">
        <v>8.7949217590763979E-3</v>
      </c>
      <c r="T4" s="34">
        <v>1.0323382842742252E-2</v>
      </c>
      <c r="U4" s="35">
        <v>1.7531088152162182E-2</v>
      </c>
    </row>
    <row r="5" spans="1:21">
      <c r="A5" s="33" t="s">
        <v>8</v>
      </c>
      <c r="B5" s="34">
        <v>1.191333265960013E-2</v>
      </c>
      <c r="C5" s="34">
        <v>2.319391643040156E-2</v>
      </c>
      <c r="D5" s="34">
        <v>3.1051664258783619E-2</v>
      </c>
      <c r="E5" s="34">
        <v>8.1754763570974394E-3</v>
      </c>
      <c r="F5" s="34">
        <v>6.7264827662231142E-3</v>
      </c>
      <c r="G5" s="34">
        <v>1.1472880230791743E-2</v>
      </c>
      <c r="H5" s="34">
        <v>8.5735107008870996E-3</v>
      </c>
      <c r="I5" s="34">
        <v>9.3486330970173996E-3</v>
      </c>
      <c r="J5" s="34">
        <v>9.6084981824906025E-3</v>
      </c>
      <c r="K5" s="34">
        <v>1.0541537477023008E-2</v>
      </c>
      <c r="L5" s="34">
        <v>4.736808645410962E-3</v>
      </c>
      <c r="M5" s="34">
        <v>1.0711932903262042E-2</v>
      </c>
      <c r="N5" s="34">
        <v>7.4717440876747691E-3</v>
      </c>
      <c r="O5" s="34">
        <v>4.0777816518267739E-3</v>
      </c>
      <c r="P5" s="34">
        <v>1.0971917587641067E-2</v>
      </c>
      <c r="Q5" s="34">
        <v>7.1538231587681151E-3</v>
      </c>
      <c r="R5" s="34">
        <v>7.4776588854017952E-3</v>
      </c>
      <c r="S5" s="34">
        <v>1.0683889559798926E-2</v>
      </c>
      <c r="T5" s="34">
        <v>1.1404421505795997E-2</v>
      </c>
      <c r="U5" s="35">
        <v>1.6633383575835277E-2</v>
      </c>
    </row>
    <row r="6" spans="1:21">
      <c r="A6" s="33" t="s">
        <v>13</v>
      </c>
      <c r="B6" s="34">
        <v>4.4035668351170764E-3</v>
      </c>
      <c r="C6" s="34">
        <v>6.78990373943693E-3</v>
      </c>
      <c r="D6" s="34">
        <v>8.1754763570974394E-3</v>
      </c>
      <c r="E6" s="34">
        <v>1.1751646727573409E-2</v>
      </c>
      <c r="F6" s="34">
        <v>2.9503708691277471E-3</v>
      </c>
      <c r="G6" s="34">
        <v>6.1017826546181124E-3</v>
      </c>
      <c r="H6" s="34">
        <v>3.3222056185747881E-3</v>
      </c>
      <c r="I6" s="34">
        <v>4.3842492931067557E-3</v>
      </c>
      <c r="J6" s="34">
        <v>5.1603559469360696E-3</v>
      </c>
      <c r="K6" s="34">
        <v>4.8594240175641751E-3</v>
      </c>
      <c r="L6" s="34">
        <v>8.3908637866970839E-4</v>
      </c>
      <c r="M6" s="34">
        <v>2.5692646144978757E-3</v>
      </c>
      <c r="N6" s="34">
        <v>2.7564962296959339E-3</v>
      </c>
      <c r="O6" s="34">
        <v>2.0689985500930578E-3</v>
      </c>
      <c r="P6" s="34">
        <v>4.869179911182576E-3</v>
      </c>
      <c r="Q6" s="34">
        <v>3.5748170491900887E-3</v>
      </c>
      <c r="R6" s="34">
        <v>3.020938644698433E-3</v>
      </c>
      <c r="S6" s="34">
        <v>2.8373545314168565E-3</v>
      </c>
      <c r="T6" s="34">
        <v>2.4729024223141619E-3</v>
      </c>
      <c r="U6" s="35">
        <v>8.7930709141714868E-3</v>
      </c>
    </row>
    <row r="7" spans="1:21">
      <c r="A7" s="33" t="s">
        <v>2</v>
      </c>
      <c r="B7" s="34">
        <v>2.9420677014500604E-3</v>
      </c>
      <c r="C7" s="34">
        <v>6.1758943753862337E-3</v>
      </c>
      <c r="D7" s="34">
        <v>6.7264827662231142E-3</v>
      </c>
      <c r="E7" s="34">
        <v>2.9503708691277471E-3</v>
      </c>
      <c r="F7" s="34">
        <v>6.9549442897855899E-3</v>
      </c>
      <c r="G7" s="34">
        <v>5.9432781243609779E-3</v>
      </c>
      <c r="H7" s="34">
        <v>4.3594370692667693E-3</v>
      </c>
      <c r="I7" s="34">
        <v>2.2731255442030658E-3</v>
      </c>
      <c r="J7" s="34">
        <v>3.8300700035067497E-3</v>
      </c>
      <c r="K7" s="34">
        <v>3.0769096075049444E-3</v>
      </c>
      <c r="L7" s="34">
        <v>3.3652546912412693E-3</v>
      </c>
      <c r="M7" s="34">
        <v>3.4664135047360618E-3</v>
      </c>
      <c r="N7" s="34">
        <v>4.3335352405171968E-3</v>
      </c>
      <c r="O7" s="34">
        <v>2.4836271910431583E-3</v>
      </c>
      <c r="P7" s="34">
        <v>5.4289508232298602E-3</v>
      </c>
      <c r="Q7" s="34">
        <v>3.7598160756820275E-3</v>
      </c>
      <c r="R7" s="34">
        <v>2.4020785814783288E-3</v>
      </c>
      <c r="S7" s="34">
        <v>4.3922920352739356E-3</v>
      </c>
      <c r="T7" s="34">
        <v>3.6049791666762257E-3</v>
      </c>
      <c r="U7" s="35">
        <v>6.4352440255722532E-3</v>
      </c>
    </row>
    <row r="8" spans="1:21">
      <c r="A8" s="33" t="s">
        <v>10</v>
      </c>
      <c r="B8" s="34">
        <v>7.7061854815551776E-3</v>
      </c>
      <c r="C8" s="34">
        <v>1.1397767798662783E-2</v>
      </c>
      <c r="D8" s="34">
        <v>1.1472880230791743E-2</v>
      </c>
      <c r="E8" s="34">
        <v>6.1017826546181124E-3</v>
      </c>
      <c r="F8" s="34">
        <v>5.9432781243609779E-3</v>
      </c>
      <c r="G8" s="34">
        <v>1.9682557848766959E-2</v>
      </c>
      <c r="H8" s="34">
        <v>6.5577936465289702E-3</v>
      </c>
      <c r="I8" s="34">
        <v>5.4706058541315527E-3</v>
      </c>
      <c r="J8" s="34">
        <v>6.3981150522634976E-3</v>
      </c>
      <c r="K8" s="34">
        <v>5.8545611569685956E-3</v>
      </c>
      <c r="L8" s="34">
        <v>5.2916712053475293E-3</v>
      </c>
      <c r="M8" s="34">
        <v>8.9388643651908597E-3</v>
      </c>
      <c r="N8" s="34">
        <v>7.2378041579975374E-3</v>
      </c>
      <c r="O8" s="34">
        <v>3.5126050529059325E-3</v>
      </c>
      <c r="P8" s="34">
        <v>1.0050506230862837E-2</v>
      </c>
      <c r="Q8" s="34">
        <v>4.786185662163849E-3</v>
      </c>
      <c r="R8" s="34">
        <v>4.5487678037437291E-3</v>
      </c>
      <c r="S8" s="34">
        <v>8.217021105044334E-3</v>
      </c>
      <c r="T8" s="34">
        <v>8.789785353266721E-3</v>
      </c>
      <c r="U8" s="35">
        <v>1.2429731865720878E-2</v>
      </c>
    </row>
    <row r="9" spans="1:21">
      <c r="A9" s="33" t="s">
        <v>3</v>
      </c>
      <c r="B9" s="34">
        <v>4.4601810419295637E-3</v>
      </c>
      <c r="C9" s="34">
        <v>6.4809190711603033E-3</v>
      </c>
      <c r="D9" s="34">
        <v>8.5735107008870996E-3</v>
      </c>
      <c r="E9" s="34">
        <v>3.3222056185747881E-3</v>
      </c>
      <c r="F9" s="34">
        <v>4.3594370692667693E-3</v>
      </c>
      <c r="G9" s="34">
        <v>6.5577936465289702E-3</v>
      </c>
      <c r="H9" s="34">
        <v>6.9581829225259587E-3</v>
      </c>
      <c r="I9" s="34">
        <v>3.4383943782748702E-3</v>
      </c>
      <c r="J9" s="34">
        <v>2.6433415661040989E-3</v>
      </c>
      <c r="K9" s="34">
        <v>2.0862576826746818E-3</v>
      </c>
      <c r="L9" s="34">
        <v>3.2173792002289036E-3</v>
      </c>
      <c r="M9" s="34">
        <v>4.3644499285043475E-3</v>
      </c>
      <c r="N9" s="34">
        <v>4.2115838782417004E-3</v>
      </c>
      <c r="O9" s="34">
        <v>1.4470541323772918E-3</v>
      </c>
      <c r="P9" s="34">
        <v>5.8999223851911847E-3</v>
      </c>
      <c r="Q9" s="34">
        <v>2.8651755418302922E-3</v>
      </c>
      <c r="R9" s="34">
        <v>2.4380402547996894E-3</v>
      </c>
      <c r="S9" s="34">
        <v>5.2556481427075072E-3</v>
      </c>
      <c r="T9" s="34">
        <v>3.585745938636831E-3</v>
      </c>
      <c r="U9" s="35">
        <v>6.7601069413025803E-3</v>
      </c>
    </row>
    <row r="10" spans="1:21">
      <c r="A10" s="33" t="s">
        <v>19</v>
      </c>
      <c r="B10" s="34">
        <v>5.1961431638687791E-3</v>
      </c>
      <c r="C10" s="34">
        <v>6.9565122335142442E-3</v>
      </c>
      <c r="D10" s="34">
        <v>9.3486330970173996E-3</v>
      </c>
      <c r="E10" s="34">
        <v>4.3842492931067557E-3</v>
      </c>
      <c r="F10" s="34">
        <v>2.2731255442030658E-3</v>
      </c>
      <c r="G10" s="34">
        <v>5.4706058541315527E-3</v>
      </c>
      <c r="H10" s="34">
        <v>3.4383943782748702E-3</v>
      </c>
      <c r="I10" s="34">
        <v>9.428097129927572E-3</v>
      </c>
      <c r="J10" s="34">
        <v>5.1220154932562966E-3</v>
      </c>
      <c r="K10" s="34">
        <v>5.7401311214705037E-3</v>
      </c>
      <c r="L10" s="34">
        <v>1.527694256943679E-3</v>
      </c>
      <c r="M10" s="34">
        <v>4.2058694572642006E-3</v>
      </c>
      <c r="N10" s="34">
        <v>3.8690452857327337E-3</v>
      </c>
      <c r="O10" s="34">
        <v>2.215338375807477E-3</v>
      </c>
      <c r="P10" s="34">
        <v>4.3614747693857345E-3</v>
      </c>
      <c r="Q10" s="34">
        <v>4.0961580814859152E-3</v>
      </c>
      <c r="R10" s="34">
        <v>3.5431911223890969E-3</v>
      </c>
      <c r="S10" s="34">
        <v>3.5795967868501944E-3</v>
      </c>
      <c r="T10" s="34">
        <v>4.1659119371108356E-3</v>
      </c>
      <c r="U10" s="35">
        <v>8.2010270252568969E-3</v>
      </c>
    </row>
    <row r="11" spans="1:21">
      <c r="A11" s="33" t="s">
        <v>11</v>
      </c>
      <c r="B11" s="34">
        <v>3.5981619236016256E-3</v>
      </c>
      <c r="C11" s="34">
        <v>7.8550062554487848E-3</v>
      </c>
      <c r="D11" s="34">
        <v>9.6084981824906025E-3</v>
      </c>
      <c r="E11" s="34">
        <v>5.1603559469360696E-3</v>
      </c>
      <c r="F11" s="34">
        <v>3.8300700035067497E-3</v>
      </c>
      <c r="G11" s="34">
        <v>6.3981150522634976E-3</v>
      </c>
      <c r="H11" s="34">
        <v>2.6433415661040989E-3</v>
      </c>
      <c r="I11" s="34">
        <v>5.1220154932562966E-3</v>
      </c>
      <c r="J11" s="34">
        <v>1.4616827515725309E-2</v>
      </c>
      <c r="K11" s="34">
        <v>6.0839061098942743E-3</v>
      </c>
      <c r="L11" s="34">
        <v>2.08240838372097E-4</v>
      </c>
      <c r="M11" s="34">
        <v>2.8339774539778944E-3</v>
      </c>
      <c r="N11" s="34">
        <v>4.54202644478356E-3</v>
      </c>
      <c r="O11" s="34">
        <v>2.456684117678624E-3</v>
      </c>
      <c r="P11" s="34">
        <v>5.5079124230874394E-3</v>
      </c>
      <c r="Q11" s="34">
        <v>5.6495974059186027E-3</v>
      </c>
      <c r="R11" s="34">
        <v>4.1047544828943299E-3</v>
      </c>
      <c r="S11" s="34">
        <v>6.4591781884397285E-3</v>
      </c>
      <c r="T11" s="34">
        <v>7.0249882093140403E-3</v>
      </c>
      <c r="U11" s="35">
        <v>8.8712214737876188E-3</v>
      </c>
    </row>
    <row r="12" spans="1:21">
      <c r="A12" s="33" t="s">
        <v>15</v>
      </c>
      <c r="B12" s="34">
        <v>3.9088589854914622E-3</v>
      </c>
      <c r="C12" s="34">
        <v>9.7546717093522882E-3</v>
      </c>
      <c r="D12" s="34">
        <v>1.0541537477023008E-2</v>
      </c>
      <c r="E12" s="34">
        <v>4.8594240175641751E-3</v>
      </c>
      <c r="F12" s="34">
        <v>3.0769096075049444E-3</v>
      </c>
      <c r="G12" s="34">
        <v>5.8545611569685956E-3</v>
      </c>
      <c r="H12" s="34">
        <v>2.0862576826746818E-3</v>
      </c>
      <c r="I12" s="34">
        <v>5.7401311214705037E-3</v>
      </c>
      <c r="J12" s="34">
        <v>6.0839061098942743E-3</v>
      </c>
      <c r="K12" s="34">
        <v>1.2977179788212844E-2</v>
      </c>
      <c r="L12" s="34">
        <v>3.0263041890263372E-3</v>
      </c>
      <c r="M12" s="34">
        <v>4.1848134986629598E-3</v>
      </c>
      <c r="N12" s="34">
        <v>3.3046791185206642E-3</v>
      </c>
      <c r="O12" s="34">
        <v>2.0421375882673626E-3</v>
      </c>
      <c r="P12" s="34">
        <v>3.8390924611279354E-3</v>
      </c>
      <c r="Q12" s="34">
        <v>3.0246963276534537E-3</v>
      </c>
      <c r="R12" s="34">
        <v>1.9773378783572268E-3</v>
      </c>
      <c r="S12" s="34">
        <v>2.9777593533828919E-3</v>
      </c>
      <c r="T12" s="34">
        <v>3.4600573571721776E-3</v>
      </c>
      <c r="U12" s="35">
        <v>8.0651735323518346E-3</v>
      </c>
    </row>
    <row r="13" spans="1:21">
      <c r="A13" s="33" t="s">
        <v>4</v>
      </c>
      <c r="B13" s="34">
        <v>4.83417763814596E-3</v>
      </c>
      <c r="C13" s="34">
        <v>5.4934183439338405E-3</v>
      </c>
      <c r="D13" s="34">
        <v>4.736808645410962E-3</v>
      </c>
      <c r="E13" s="34">
        <v>8.3908637866970839E-4</v>
      </c>
      <c r="F13" s="34">
        <v>3.3652546912412693E-3</v>
      </c>
      <c r="G13" s="34">
        <v>5.2916712053475293E-3</v>
      </c>
      <c r="H13" s="34">
        <v>3.2173792002289036E-3</v>
      </c>
      <c r="I13" s="34">
        <v>1.527694256943679E-3</v>
      </c>
      <c r="J13" s="34">
        <v>2.08240838372097E-4</v>
      </c>
      <c r="K13" s="34">
        <v>3.0263041890263372E-3</v>
      </c>
      <c r="L13" s="34">
        <v>1.4799499325092573E-2</v>
      </c>
      <c r="M13" s="34">
        <v>2.5298651699586982E-3</v>
      </c>
      <c r="N13" s="34">
        <v>3.4038056497646624E-3</v>
      </c>
      <c r="O13" s="34">
        <v>2.5061751435386391E-3</v>
      </c>
      <c r="P13" s="34">
        <v>4.7433146402237978E-3</v>
      </c>
      <c r="Q13" s="34">
        <v>1.4452853924037017E-3</v>
      </c>
      <c r="R13" s="34">
        <v>1.393767060799753E-3</v>
      </c>
      <c r="S13" s="34">
        <v>1.8408029868982141E-3</v>
      </c>
      <c r="T13" s="34">
        <v>8.7490739803845904E-4</v>
      </c>
      <c r="U13" s="35">
        <v>4.3553896442336693E-3</v>
      </c>
    </row>
    <row r="14" spans="1:21">
      <c r="A14" s="33" t="s">
        <v>17</v>
      </c>
      <c r="B14" s="34">
        <v>5.5966939321274696E-3</v>
      </c>
      <c r="C14" s="34">
        <v>1.5421799697934833E-2</v>
      </c>
      <c r="D14" s="34">
        <v>1.0711932903262042E-2</v>
      </c>
      <c r="E14" s="34">
        <v>2.5692646144978757E-3</v>
      </c>
      <c r="F14" s="34">
        <v>3.4664135047360618E-3</v>
      </c>
      <c r="G14" s="34">
        <v>8.9388643651908597E-3</v>
      </c>
      <c r="H14" s="34">
        <v>4.3644499285043475E-3</v>
      </c>
      <c r="I14" s="34">
        <v>4.2058694572642006E-3</v>
      </c>
      <c r="J14" s="34">
        <v>2.8339774539778944E-3</v>
      </c>
      <c r="K14" s="34">
        <v>4.1848134986629598E-3</v>
      </c>
      <c r="L14" s="34">
        <v>2.5298651699586982E-3</v>
      </c>
      <c r="M14" s="34">
        <v>2.2180465326192448E-2</v>
      </c>
      <c r="N14" s="34">
        <v>6.2497671010762357E-3</v>
      </c>
      <c r="O14" s="34">
        <v>2.0711002811740695E-3</v>
      </c>
      <c r="P14" s="34">
        <v>7.5658576218924989E-3</v>
      </c>
      <c r="Q14" s="34">
        <v>1.778928551243505E-3</v>
      </c>
      <c r="R14" s="34">
        <v>4.9048583991882239E-3</v>
      </c>
      <c r="S14" s="34">
        <v>4.8914275823427203E-3</v>
      </c>
      <c r="T14" s="34">
        <v>5.5534538988055212E-3</v>
      </c>
      <c r="U14" s="35">
        <v>1.0698643160263194E-2</v>
      </c>
    </row>
    <row r="15" spans="1:21">
      <c r="A15" s="33" t="s">
        <v>16</v>
      </c>
      <c r="B15" s="34">
        <v>3.9041846044801307E-3</v>
      </c>
      <c r="C15" s="34">
        <v>8.251338747658047E-3</v>
      </c>
      <c r="D15" s="34">
        <v>7.4717440876747691E-3</v>
      </c>
      <c r="E15" s="34">
        <v>2.7564962296959339E-3</v>
      </c>
      <c r="F15" s="34">
        <v>4.3335352405171968E-3</v>
      </c>
      <c r="G15" s="34">
        <v>7.2378041579975374E-3</v>
      </c>
      <c r="H15" s="34">
        <v>4.2115838782417004E-3</v>
      </c>
      <c r="I15" s="34">
        <v>3.8690452857327337E-3</v>
      </c>
      <c r="J15" s="34">
        <v>4.54202644478356E-3</v>
      </c>
      <c r="K15" s="34">
        <v>3.3046791185206642E-3</v>
      </c>
      <c r="L15" s="34">
        <v>3.4038056497646624E-3</v>
      </c>
      <c r="M15" s="34">
        <v>6.2497671010762357E-3</v>
      </c>
      <c r="N15" s="34">
        <v>7.1408685670825032E-3</v>
      </c>
      <c r="O15" s="34">
        <v>2.2886456139273982E-3</v>
      </c>
      <c r="P15" s="34">
        <v>6.0147777387325029E-3</v>
      </c>
      <c r="Q15" s="34">
        <v>3.8122597750917262E-3</v>
      </c>
      <c r="R15" s="34">
        <v>2.9339476055642759E-3</v>
      </c>
      <c r="S15" s="34">
        <v>5.7781375149870435E-3</v>
      </c>
      <c r="T15" s="34">
        <v>5.4642645559359283E-3</v>
      </c>
      <c r="U15" s="35">
        <v>8.3191221012270805E-3</v>
      </c>
    </row>
    <row r="16" spans="1:21">
      <c r="A16" s="33" t="s">
        <v>5</v>
      </c>
      <c r="B16" s="34">
        <v>1.6974418044208516E-3</v>
      </c>
      <c r="C16" s="34">
        <v>4.0849158304005935E-3</v>
      </c>
      <c r="D16" s="34">
        <v>4.0777816518267739E-3</v>
      </c>
      <c r="E16" s="34">
        <v>2.0689985500930578E-3</v>
      </c>
      <c r="F16" s="34">
        <v>2.4836271910431583E-3</v>
      </c>
      <c r="G16" s="34">
        <v>3.5126050529059325E-3</v>
      </c>
      <c r="H16" s="34">
        <v>1.4470541323772918E-3</v>
      </c>
      <c r="I16" s="34">
        <v>2.215338375807477E-3</v>
      </c>
      <c r="J16" s="34">
        <v>2.456684117678624E-3</v>
      </c>
      <c r="K16" s="34">
        <v>2.0421375882673626E-3</v>
      </c>
      <c r="L16" s="34">
        <v>2.5061751435386391E-3</v>
      </c>
      <c r="M16" s="34">
        <v>2.0711002811740695E-3</v>
      </c>
      <c r="N16" s="34">
        <v>2.2886456139273982E-3</v>
      </c>
      <c r="O16" s="34">
        <v>4.926051524749688E-3</v>
      </c>
      <c r="P16" s="34">
        <v>3.4008679557705102E-3</v>
      </c>
      <c r="Q16" s="34">
        <v>2.85611954182159E-3</v>
      </c>
      <c r="R16" s="34">
        <v>3.4027908875498875E-3</v>
      </c>
      <c r="S16" s="34">
        <v>3.202600511722766E-3</v>
      </c>
      <c r="T16" s="34">
        <v>3.85926699415627E-3</v>
      </c>
      <c r="U16" s="35">
        <v>4.8468980174317493E-3</v>
      </c>
    </row>
    <row r="17" spans="1:21">
      <c r="A17" s="33" t="s">
        <v>18</v>
      </c>
      <c r="B17" s="34">
        <v>1.3145933712828975E-2</v>
      </c>
      <c r="C17" s="34">
        <v>8.9863935958859002E-3</v>
      </c>
      <c r="D17" s="34">
        <v>1.0971917587641067E-2</v>
      </c>
      <c r="E17" s="34">
        <v>4.869179911182576E-3</v>
      </c>
      <c r="F17" s="34">
        <v>5.4289508232298602E-3</v>
      </c>
      <c r="G17" s="34">
        <v>1.0050506230862837E-2</v>
      </c>
      <c r="H17" s="34">
        <v>5.8999223851911847E-3</v>
      </c>
      <c r="I17" s="34">
        <v>4.3614747693857345E-3</v>
      </c>
      <c r="J17" s="34">
        <v>5.5079124230874394E-3</v>
      </c>
      <c r="K17" s="34">
        <v>3.8390924611279354E-3</v>
      </c>
      <c r="L17" s="34">
        <v>4.7433146402237978E-3</v>
      </c>
      <c r="M17" s="34">
        <v>7.5658576218924989E-3</v>
      </c>
      <c r="N17" s="34">
        <v>6.0147777387325029E-3</v>
      </c>
      <c r="O17" s="34">
        <v>3.4008679557705102E-3</v>
      </c>
      <c r="P17" s="34">
        <v>2.0622077915632902E-2</v>
      </c>
      <c r="Q17" s="34">
        <v>4.7672461533435368E-3</v>
      </c>
      <c r="R17" s="34">
        <v>4.7831489640223169E-3</v>
      </c>
      <c r="S17" s="34">
        <v>8.9753034487230435E-3</v>
      </c>
      <c r="T17" s="34">
        <v>9.7172364779587357E-3</v>
      </c>
      <c r="U17" s="35">
        <v>8.4733861933815602E-3</v>
      </c>
    </row>
    <row r="18" spans="1:21">
      <c r="A18" s="33" t="s">
        <v>21</v>
      </c>
      <c r="B18" s="34">
        <v>3.2729224313708147E-3</v>
      </c>
      <c r="C18" s="34">
        <v>5.9823037076903165E-3</v>
      </c>
      <c r="D18" s="34">
        <v>7.1538231587681151E-3</v>
      </c>
      <c r="E18" s="34">
        <v>3.5748170491900887E-3</v>
      </c>
      <c r="F18" s="34">
        <v>3.7598160756820275E-3</v>
      </c>
      <c r="G18" s="34">
        <v>4.786185662163849E-3</v>
      </c>
      <c r="H18" s="34">
        <v>2.8651755418302922E-3</v>
      </c>
      <c r="I18" s="34">
        <v>4.0961580814859152E-3</v>
      </c>
      <c r="J18" s="34">
        <v>5.6495974059186027E-3</v>
      </c>
      <c r="K18" s="34">
        <v>3.0246963276534537E-3</v>
      </c>
      <c r="L18" s="34">
        <v>1.4452853924037017E-3</v>
      </c>
      <c r="M18" s="34">
        <v>1.778928551243505E-3</v>
      </c>
      <c r="N18" s="34">
        <v>3.8122597750917262E-3</v>
      </c>
      <c r="O18" s="34">
        <v>2.85611954182159E-3</v>
      </c>
      <c r="P18" s="34">
        <v>4.7672461533435368E-3</v>
      </c>
      <c r="Q18" s="34">
        <v>6.1288630013695677E-3</v>
      </c>
      <c r="R18" s="34">
        <v>3.0741915825132464E-3</v>
      </c>
      <c r="S18" s="34">
        <v>3.7156066111048098E-3</v>
      </c>
      <c r="T18" s="34">
        <v>4.6606308709602117E-3</v>
      </c>
      <c r="U18" s="35">
        <v>6.8173047236230371E-3</v>
      </c>
    </row>
    <row r="19" spans="1:21">
      <c r="A19" s="33" t="s">
        <v>1</v>
      </c>
      <c r="B19" s="34">
        <v>5.3817854422589222E-3</v>
      </c>
      <c r="C19" s="34">
        <v>7.7341287599130108E-3</v>
      </c>
      <c r="D19" s="34">
        <v>7.4776588854017952E-3</v>
      </c>
      <c r="E19" s="34">
        <v>3.020938644698433E-3</v>
      </c>
      <c r="F19" s="34">
        <v>2.4020785814783288E-3</v>
      </c>
      <c r="G19" s="34">
        <v>4.5487678037437291E-3</v>
      </c>
      <c r="H19" s="34">
        <v>2.4380402547996894E-3</v>
      </c>
      <c r="I19" s="34">
        <v>3.5431911223890969E-3</v>
      </c>
      <c r="J19" s="34">
        <v>4.1047544828943299E-3</v>
      </c>
      <c r="K19" s="34">
        <v>1.9773378783572268E-3</v>
      </c>
      <c r="L19" s="34">
        <v>1.393767060799753E-3</v>
      </c>
      <c r="M19" s="34">
        <v>4.9048583991882239E-3</v>
      </c>
      <c r="N19" s="34">
        <v>2.9339476055642759E-3</v>
      </c>
      <c r="O19" s="34">
        <v>3.4027908875498875E-3</v>
      </c>
      <c r="P19" s="34">
        <v>4.7831489640223169E-3</v>
      </c>
      <c r="Q19" s="34">
        <v>3.0741915825132464E-3</v>
      </c>
      <c r="R19" s="34">
        <v>7.5402633851641403E-3</v>
      </c>
      <c r="S19" s="34">
        <v>7.2039309766488355E-3</v>
      </c>
      <c r="T19" s="34">
        <v>7.709881431788447E-3</v>
      </c>
      <c r="U19" s="35">
        <v>7.9876935030269401E-3</v>
      </c>
    </row>
    <row r="20" spans="1:21">
      <c r="A20" s="33" t="s">
        <v>9</v>
      </c>
      <c r="B20" s="34">
        <v>6.2980453823742186E-3</v>
      </c>
      <c r="C20" s="34">
        <v>8.7949217590763979E-3</v>
      </c>
      <c r="D20" s="34">
        <v>1.0683889559798926E-2</v>
      </c>
      <c r="E20" s="34">
        <v>2.8373545314168565E-3</v>
      </c>
      <c r="F20" s="34">
        <v>4.3922920352739356E-3</v>
      </c>
      <c r="G20" s="34">
        <v>8.217021105044334E-3</v>
      </c>
      <c r="H20" s="34">
        <v>5.2556481427075072E-3</v>
      </c>
      <c r="I20" s="34">
        <v>3.5795967868501944E-3</v>
      </c>
      <c r="J20" s="34">
        <v>6.4591781884397285E-3</v>
      </c>
      <c r="K20" s="34">
        <v>2.9777593533828919E-3</v>
      </c>
      <c r="L20" s="34">
        <v>1.8408029868982141E-3</v>
      </c>
      <c r="M20" s="34">
        <v>4.8914275823427203E-3</v>
      </c>
      <c r="N20" s="34">
        <v>5.7781375149870435E-3</v>
      </c>
      <c r="O20" s="34">
        <v>3.202600511722766E-3</v>
      </c>
      <c r="P20" s="34">
        <v>8.9753034487230435E-3</v>
      </c>
      <c r="Q20" s="34">
        <v>3.7156066111048098E-3</v>
      </c>
      <c r="R20" s="34">
        <v>7.2039309766488355E-3</v>
      </c>
      <c r="S20" s="34">
        <v>1.4005470369855357E-2</v>
      </c>
      <c r="T20" s="34">
        <v>1.1294660440450428E-2</v>
      </c>
      <c r="U20" s="35">
        <v>9.6178234480983702E-3</v>
      </c>
    </row>
    <row r="21" spans="1:21">
      <c r="A21" s="33" t="s">
        <v>0</v>
      </c>
      <c r="B21" s="34">
        <v>7.5520291239693739E-3</v>
      </c>
      <c r="C21" s="34">
        <v>1.0323382842742252E-2</v>
      </c>
      <c r="D21" s="34">
        <v>1.1404421505795997E-2</v>
      </c>
      <c r="E21" s="34">
        <v>2.4729024223141619E-3</v>
      </c>
      <c r="F21" s="34">
        <v>3.6049791666762257E-3</v>
      </c>
      <c r="G21" s="34">
        <v>8.789785353266721E-3</v>
      </c>
      <c r="H21" s="34">
        <v>3.585745938636831E-3</v>
      </c>
      <c r="I21" s="34">
        <v>4.1659119371108356E-3</v>
      </c>
      <c r="J21" s="34">
        <v>7.0249882093140403E-3</v>
      </c>
      <c r="K21" s="34">
        <v>3.4600573571721776E-3</v>
      </c>
      <c r="L21" s="34">
        <v>8.7490739803845904E-4</v>
      </c>
      <c r="M21" s="34">
        <v>5.5534538988055212E-3</v>
      </c>
      <c r="N21" s="34">
        <v>5.4642645559359283E-3</v>
      </c>
      <c r="O21" s="34">
        <v>3.85926699415627E-3</v>
      </c>
      <c r="P21" s="34">
        <v>9.7172364779587357E-3</v>
      </c>
      <c r="Q21" s="34">
        <v>4.6606308709602117E-3</v>
      </c>
      <c r="R21" s="34">
        <v>7.709881431788447E-3</v>
      </c>
      <c r="S21" s="34">
        <v>1.1294660440450428E-2</v>
      </c>
      <c r="T21" s="34">
        <v>1.610864422975173E-2</v>
      </c>
      <c r="U21" s="35">
        <v>1.0273468071095387E-2</v>
      </c>
    </row>
    <row r="22" spans="1:21" ht="15.75" thickBot="1">
      <c r="A22" s="36" t="s">
        <v>14</v>
      </c>
      <c r="B22" s="37">
        <v>9.6242282186377436E-3</v>
      </c>
      <c r="C22" s="37">
        <v>1.7531088152162182E-2</v>
      </c>
      <c r="D22" s="37">
        <v>1.6633383575835277E-2</v>
      </c>
      <c r="E22" s="37">
        <v>8.7930709141714868E-3</v>
      </c>
      <c r="F22" s="37">
        <v>6.4352440255722532E-3</v>
      </c>
      <c r="G22" s="37">
        <v>1.2429731865720878E-2</v>
      </c>
      <c r="H22" s="37">
        <v>6.7601069413025803E-3</v>
      </c>
      <c r="I22" s="37">
        <v>8.2010270252568969E-3</v>
      </c>
      <c r="J22" s="37">
        <v>8.8712214737876188E-3</v>
      </c>
      <c r="K22" s="37">
        <v>8.0651735323518346E-3</v>
      </c>
      <c r="L22" s="37">
        <v>4.3553896442336693E-3</v>
      </c>
      <c r="M22" s="37">
        <v>1.0698643160263194E-2</v>
      </c>
      <c r="N22" s="37">
        <v>8.3191221012270805E-3</v>
      </c>
      <c r="O22" s="37">
        <v>4.8468980174317493E-3</v>
      </c>
      <c r="P22" s="37">
        <v>8.4733861933815602E-3</v>
      </c>
      <c r="Q22" s="37">
        <v>6.8173047236230371E-3</v>
      </c>
      <c r="R22" s="37">
        <v>7.9876935030269401E-3</v>
      </c>
      <c r="S22" s="37">
        <v>9.6178234480983702E-3</v>
      </c>
      <c r="T22" s="37">
        <v>1.0273468071095387E-2</v>
      </c>
      <c r="U22" s="38">
        <v>2.3088805021152112E-2</v>
      </c>
    </row>
    <row r="23" spans="1:21" ht="15.75" thickBot="1"/>
    <row r="24" spans="1:21">
      <c r="A24" s="44" t="s">
        <v>71</v>
      </c>
      <c r="B24" s="243">
        <f>6.253%/12</f>
        <v>5.2108333333333338E-3</v>
      </c>
      <c r="C24" s="244"/>
      <c r="E24" s="44" t="s">
        <v>73</v>
      </c>
      <c r="F24" s="243">
        <f>4.048%/12</f>
        <v>3.3733333333333337E-3</v>
      </c>
      <c r="G24" s="244"/>
    </row>
    <row r="25" spans="1:21" ht="21" customHeight="1">
      <c r="A25" s="236" t="s">
        <v>80</v>
      </c>
      <c r="B25" s="237"/>
      <c r="C25" s="238"/>
      <c r="E25" s="236" t="s">
        <v>81</v>
      </c>
      <c r="F25" s="237"/>
      <c r="G25" s="238"/>
    </row>
    <row r="26" spans="1:21">
      <c r="A26" s="61" t="s">
        <v>35</v>
      </c>
      <c r="B26" s="62" t="s">
        <v>22</v>
      </c>
      <c r="C26" s="63" t="s">
        <v>72</v>
      </c>
      <c r="E26" s="61" t="s">
        <v>35</v>
      </c>
      <c r="F26" s="62" t="s">
        <v>22</v>
      </c>
      <c r="G26" s="63" t="s">
        <v>72</v>
      </c>
    </row>
    <row r="27" spans="1:21">
      <c r="A27" s="64" t="s">
        <v>6</v>
      </c>
      <c r="B27" s="66">
        <f>'Các chỉ tiêu cơ bản'!B2</f>
        <v>3.0056316276991478E-3</v>
      </c>
      <c r="C27" s="45">
        <f t="array" ref="C27:C46">MMULT(MINVERSE(B3:U22),B27:B46-B24)/SUM(MMULT(MINVERSE(B3:U22),B27:B46-B24))</f>
        <v>-0.45948175534601882</v>
      </c>
      <c r="E27" s="64" t="s">
        <v>6</v>
      </c>
      <c r="F27" s="66">
        <f>'Các chỉ tiêu cơ bản'!B2</f>
        <v>3.0056316276991478E-3</v>
      </c>
      <c r="G27" s="45">
        <f t="array" ref="G27:G46">MMULT(MINVERSE(B3:U22),F27:F46-F24)/SUM(MMULT(MINVERSE(B3:U22),F27:F46-F24))</f>
        <v>-0.32377364121164964</v>
      </c>
    </row>
    <row r="28" spans="1:21">
      <c r="A28" s="64" t="s">
        <v>7</v>
      </c>
      <c r="B28" s="66">
        <f>'Các chỉ tiêu cơ bản'!C2</f>
        <v>-2.0595048033942925E-4</v>
      </c>
      <c r="C28" s="45">
        <v>-0.25936727230568768</v>
      </c>
      <c r="E28" s="64" t="s">
        <v>7</v>
      </c>
      <c r="F28" s="66">
        <f>'Các chỉ tiêu cơ bản'!C2</f>
        <v>-2.0595048033942925E-4</v>
      </c>
      <c r="G28" s="45">
        <v>-0.21732590762282408</v>
      </c>
    </row>
    <row r="29" spans="1:21">
      <c r="A29" s="64" t="s">
        <v>8</v>
      </c>
      <c r="B29" s="66">
        <f>'Các chỉ tiêu cơ bản'!D2</f>
        <v>1.6297053927811975E-2</v>
      </c>
      <c r="C29" s="45">
        <v>-4.1277774413991573E-2</v>
      </c>
      <c r="E29" s="64" t="s">
        <v>8</v>
      </c>
      <c r="F29" s="66">
        <f>'Các chỉ tiêu cơ bản'!D2</f>
        <v>1.6297053927811975E-2</v>
      </c>
      <c r="G29" s="45">
        <v>-6.0898962839971378E-2</v>
      </c>
    </row>
    <row r="30" spans="1:21">
      <c r="A30" s="64" t="s">
        <v>13</v>
      </c>
      <c r="B30" s="66">
        <f>'Các chỉ tiêu cơ bản'!E2</f>
        <v>1.7304144249305951E-2</v>
      </c>
      <c r="C30" s="45">
        <v>0.17032401704256439</v>
      </c>
      <c r="E30" s="64" t="s">
        <v>13</v>
      </c>
      <c r="F30" s="66">
        <f>'Các chỉ tiêu cơ bản'!E2</f>
        <v>1.7304144249305951E-2</v>
      </c>
      <c r="G30" s="45">
        <v>0.16414606722502761</v>
      </c>
    </row>
    <row r="31" spans="1:21">
      <c r="A31" s="64" t="s">
        <v>2</v>
      </c>
      <c r="B31" s="66">
        <f>'Các chỉ tiêu cơ bản'!F2</f>
        <v>1.5445247735288071E-2</v>
      </c>
      <c r="C31" s="45">
        <v>-0.22452570363698479</v>
      </c>
      <c r="E31" s="64" t="s">
        <v>2</v>
      </c>
      <c r="F31" s="66">
        <f>'Các chỉ tiêu cơ bản'!F2</f>
        <v>1.5445247735288071E-2</v>
      </c>
      <c r="G31" s="45">
        <v>-0.17074808494249746</v>
      </c>
    </row>
    <row r="32" spans="1:21">
      <c r="A32" s="64" t="s">
        <v>10</v>
      </c>
      <c r="B32" s="66">
        <f>'Các chỉ tiêu cơ bản'!G2</f>
        <v>2.8375650625609986E-2</v>
      </c>
      <c r="C32" s="45">
        <v>0.42726449687633883</v>
      </c>
      <c r="E32" s="64" t="s">
        <v>10</v>
      </c>
      <c r="F32" s="66">
        <f>'Các chỉ tiêu cơ bản'!G2</f>
        <v>2.8375650625609986E-2</v>
      </c>
      <c r="G32" s="45">
        <v>0.31926630639231368</v>
      </c>
    </row>
    <row r="33" spans="1:7">
      <c r="A33" s="64" t="s">
        <v>3</v>
      </c>
      <c r="B33" s="66">
        <f>'Các chỉ tiêu cơ bản'!H2</f>
        <v>2.2425395684207896E-2</v>
      </c>
      <c r="C33" s="45">
        <v>0.7562248321515912</v>
      </c>
      <c r="E33" s="64" t="s">
        <v>3</v>
      </c>
      <c r="F33" s="66">
        <f>'Các chỉ tiêu cơ bản'!H2</f>
        <v>2.2425395684207896E-2</v>
      </c>
      <c r="G33" s="45">
        <v>0.66391580722496601</v>
      </c>
    </row>
    <row r="34" spans="1:7">
      <c r="A34" s="64" t="s">
        <v>19</v>
      </c>
      <c r="B34" s="66">
        <f>'Các chỉ tiêu cơ bản'!I2</f>
        <v>9.9147214873550066E-3</v>
      </c>
      <c r="C34" s="45">
        <v>-0.54565791543974451</v>
      </c>
      <c r="E34" s="64" t="s">
        <v>19</v>
      </c>
      <c r="F34" s="66">
        <f>'Các chỉ tiêu cơ bản'!I2</f>
        <v>9.9147214873550066E-3</v>
      </c>
      <c r="G34" s="45">
        <v>-0.43729348293293691</v>
      </c>
    </row>
    <row r="35" spans="1:7">
      <c r="A35" s="64" t="s">
        <v>11</v>
      </c>
      <c r="B35" s="66">
        <f>'Các chỉ tiêu cơ bản'!J2</f>
        <v>1.0267414022377809E-3</v>
      </c>
      <c r="C35" s="45">
        <v>-0.7074923225894858</v>
      </c>
      <c r="E35" s="64" t="s">
        <v>11</v>
      </c>
      <c r="F35" s="66">
        <f>'Các chỉ tiêu cơ bản'!J2</f>
        <v>1.0267414022377809E-3</v>
      </c>
      <c r="G35" s="45">
        <v>-0.55484800451027028</v>
      </c>
    </row>
    <row r="36" spans="1:7">
      <c r="A36" s="64" t="s">
        <v>15</v>
      </c>
      <c r="B36" s="66">
        <f>'Các chỉ tiêu cơ bản'!K2</f>
        <v>2.0322801425049428E-2</v>
      </c>
      <c r="C36" s="45">
        <v>0.90105446734014349</v>
      </c>
      <c r="E36" s="64" t="s">
        <v>15</v>
      </c>
      <c r="F36" s="66">
        <f>'Các chỉ tiêu cơ bản'!K2</f>
        <v>2.0322801425049428E-2</v>
      </c>
      <c r="G36" s="45">
        <v>0.74653023108009464</v>
      </c>
    </row>
    <row r="37" spans="1:7">
      <c r="A37" s="64" t="s">
        <v>4</v>
      </c>
      <c r="B37" s="66">
        <f>'Các chỉ tiêu cơ bản'!L2</f>
        <v>1.3445717414411402E-2</v>
      </c>
      <c r="C37" s="45">
        <v>0.16915430140842408</v>
      </c>
      <c r="E37" s="64" t="s">
        <v>4</v>
      </c>
      <c r="F37" s="66">
        <f>'Các chỉ tiêu cơ bản'!L2</f>
        <v>1.3445717414411402E-2</v>
      </c>
      <c r="G37" s="45">
        <v>0.14252312213375268</v>
      </c>
    </row>
    <row r="38" spans="1:7">
      <c r="A38" s="64" t="s">
        <v>17</v>
      </c>
      <c r="B38" s="66">
        <f>'Các chỉ tiêu cơ bản'!M2</f>
        <v>-7.0458184688976114E-4</v>
      </c>
      <c r="C38" s="45">
        <v>-0.17537749686528209</v>
      </c>
      <c r="E38" s="64" t="s">
        <v>17</v>
      </c>
      <c r="F38" s="66">
        <f>'Các chỉ tiêu cơ bản'!M2</f>
        <v>-7.0458184688976114E-4</v>
      </c>
      <c r="G38" s="45">
        <v>-0.11409237373871997</v>
      </c>
    </row>
    <row r="39" spans="1:7">
      <c r="A39" s="64" t="s">
        <v>16</v>
      </c>
      <c r="B39" s="66">
        <f>'Các chỉ tiêu cơ bản'!N2</f>
        <v>1.3163613724633453E-2</v>
      </c>
      <c r="C39" s="45">
        <v>0.42446826055309905</v>
      </c>
      <c r="E39" s="64" t="s">
        <v>16</v>
      </c>
      <c r="F39" s="66">
        <f>'Các chỉ tiêu cơ bản'!N2</f>
        <v>1.3163613724633453E-2</v>
      </c>
      <c r="G39" s="45">
        <v>0.36314833473680525</v>
      </c>
    </row>
    <row r="40" spans="1:7">
      <c r="A40" s="64" t="s">
        <v>5</v>
      </c>
      <c r="B40" s="66">
        <f>'Các chỉ tiêu cơ bản'!O2</f>
        <v>-7.9187878632608986E-3</v>
      </c>
      <c r="C40" s="45">
        <v>-2.2186807104629733</v>
      </c>
      <c r="E40" s="64" t="s">
        <v>5</v>
      </c>
      <c r="F40" s="66">
        <f>'Các chỉ tiêu cơ bản'!O2</f>
        <v>-7.9187878632608986E-3</v>
      </c>
      <c r="G40" s="45">
        <v>-1.7059681140591283</v>
      </c>
    </row>
    <row r="41" spans="1:7">
      <c r="A41" s="64" t="s">
        <v>18</v>
      </c>
      <c r="B41" s="66">
        <f>'Các chỉ tiêu cơ bản'!P2</f>
        <v>5.9744072845960327E-3</v>
      </c>
      <c r="C41" s="45">
        <v>-3.248938569795027E-2</v>
      </c>
      <c r="E41" s="64" t="s">
        <v>18</v>
      </c>
      <c r="F41" s="66">
        <f>'Các chỉ tiêu cơ bản'!P2</f>
        <v>5.9744072845960327E-3</v>
      </c>
      <c r="G41" s="45">
        <v>-6.857241358017728E-2</v>
      </c>
    </row>
    <row r="42" spans="1:7">
      <c r="A42" s="64" t="s">
        <v>21</v>
      </c>
      <c r="B42" s="66">
        <f>'Các chỉ tiêu cơ bản'!Q2</f>
        <v>1.9659931384390116E-2</v>
      </c>
      <c r="C42" s="45">
        <v>1.6196282732217113</v>
      </c>
      <c r="E42" s="64" t="s">
        <v>21</v>
      </c>
      <c r="F42" s="66">
        <f>'Các chỉ tiêu cơ bản'!Q2</f>
        <v>1.9659931384390116E-2</v>
      </c>
      <c r="G42" s="45">
        <v>1.3217474114103218</v>
      </c>
    </row>
    <row r="43" spans="1:7">
      <c r="A43" s="64" t="s">
        <v>1</v>
      </c>
      <c r="B43" s="66">
        <f>'Các chỉ tiêu cơ bản'!R2</f>
        <v>1.7261426829864836E-2</v>
      </c>
      <c r="C43" s="45">
        <v>2.1737287434590442</v>
      </c>
      <c r="E43" s="64" t="s">
        <v>1</v>
      </c>
      <c r="F43" s="66">
        <f>'Các chỉ tiêu cơ bản'!R2</f>
        <v>1.7261426829864836E-2</v>
      </c>
      <c r="G43" s="45">
        <v>1.7374125005268786</v>
      </c>
    </row>
    <row r="44" spans="1:7">
      <c r="A44" s="64" t="s">
        <v>9</v>
      </c>
      <c r="B44" s="66">
        <f>'Các chỉ tiêu cơ bản'!S2</f>
        <v>1.821804185955966E-2</v>
      </c>
      <c r="C44" s="45">
        <v>-0.31513686459088797</v>
      </c>
      <c r="E44" s="64" t="s">
        <v>9</v>
      </c>
      <c r="F44" s="66">
        <f>'Các chỉ tiêu cơ bản'!S2</f>
        <v>1.821804185955966E-2</v>
      </c>
      <c r="G44" s="45">
        <v>-0.24918982711573864</v>
      </c>
    </row>
    <row r="45" spans="1:7">
      <c r="A45" s="64" t="s">
        <v>0</v>
      </c>
      <c r="B45" s="66">
        <f>'Các chỉ tiêu cơ bản'!T2</f>
        <v>1.2801304704463079E-2</v>
      </c>
      <c r="C45" s="45">
        <v>-3.8060675343371438E-2</v>
      </c>
      <c r="E45" s="64" t="s">
        <v>0</v>
      </c>
      <c r="F45" s="66">
        <f>'Các chỉ tiêu cơ bản'!T2</f>
        <v>1.2801304704463079E-2</v>
      </c>
      <c r="G45" s="45">
        <v>-1.0765608716083409E-2</v>
      </c>
    </row>
    <row r="46" spans="1:7" ht="15.75" thickBot="1">
      <c r="A46" s="65" t="s">
        <v>14</v>
      </c>
      <c r="B46" s="66">
        <f>'Các chỉ tiêu cơ bản'!U2</f>
        <v>1.8819730478435938E-3</v>
      </c>
      <c r="C46" s="45">
        <v>-0.62429951536053807</v>
      </c>
      <c r="E46" s="64" t="s">
        <v>14</v>
      </c>
      <c r="F46" s="66">
        <f>'Các chỉ tiêu cơ bản'!U2</f>
        <v>1.8819730478435938E-3</v>
      </c>
      <c r="G46" s="45">
        <v>-0.54521335946016292</v>
      </c>
    </row>
    <row r="47" spans="1:7">
      <c r="A47" s="171" t="s">
        <v>64</v>
      </c>
      <c r="B47" s="53"/>
      <c r="C47" s="54">
        <f>SUM(C27:C46)</f>
        <v>1</v>
      </c>
      <c r="E47" s="58" t="s">
        <v>64</v>
      </c>
      <c r="F47" s="53"/>
      <c r="G47" s="54">
        <f>SUM(G27:G46)</f>
        <v>1</v>
      </c>
    </row>
    <row r="48" spans="1:7">
      <c r="A48" s="172" t="s">
        <v>74</v>
      </c>
      <c r="B48" s="55"/>
      <c r="C48" s="56">
        <f>SUMPRODUCT(B27:B46,C27:C46)</f>
        <v>0.12605796095206681</v>
      </c>
      <c r="E48" s="59" t="s">
        <v>77</v>
      </c>
      <c r="F48" s="55"/>
      <c r="G48" s="56">
        <f>SUMPRODUCT(F27:F46,G27:G46)</f>
        <v>0.10264514042292416</v>
      </c>
    </row>
    <row r="49" spans="1:7">
      <c r="A49" s="172" t="s">
        <v>75</v>
      </c>
      <c r="B49" s="55"/>
      <c r="C49" s="57">
        <f t="array" ref="C49">MMULT(MMULT(TRANSPOSE(C27:C46),B3:U22),C27:C46)</f>
        <v>2.6616954369359656E-2</v>
      </c>
      <c r="E49" s="59" t="s">
        <v>78</v>
      </c>
      <c r="F49" s="55"/>
      <c r="G49" s="57">
        <f t="array" ref="G49">MMULT(MMULT(TRANSPOSE(G27:G46),B3:U22),G27:G46)</f>
        <v>1.736479686977551E-2</v>
      </c>
    </row>
    <row r="50" spans="1:7" ht="15.75" thickBot="1">
      <c r="A50" s="173" t="s">
        <v>76</v>
      </c>
      <c r="B50" s="55"/>
      <c r="C50" s="56">
        <f>SQRT(C49)</f>
        <v>0.16314703297749444</v>
      </c>
      <c r="E50" s="59" t="s">
        <v>79</v>
      </c>
      <c r="F50" s="55"/>
      <c r="G50" s="56">
        <f>SQRT(G49)</f>
        <v>0.13177555490217263</v>
      </c>
    </row>
    <row r="51" spans="1:7" ht="24" customHeight="1" thickBot="1">
      <c r="A51" s="233" t="s">
        <v>82</v>
      </c>
      <c r="B51" s="234"/>
      <c r="C51" s="234"/>
      <c r="D51" s="234"/>
      <c r="E51" s="234"/>
      <c r="F51" s="234"/>
      <c r="G51" s="235"/>
    </row>
    <row r="52" spans="1:7">
      <c r="A52" s="239" t="s">
        <v>83</v>
      </c>
      <c r="B52" s="240"/>
      <c r="C52" s="240"/>
      <c r="D52" s="241">
        <f t="array" ref="D52">MMULT(MMULT(TRANSPOSE(C27:C46),B3:U22),G27:G46)</f>
        <v>2.1460208090306233E-2</v>
      </c>
      <c r="E52" s="241"/>
      <c r="F52" s="241"/>
      <c r="G52" s="242"/>
    </row>
    <row r="53" spans="1:7">
      <c r="A53" s="227" t="s">
        <v>84</v>
      </c>
      <c r="B53" s="228"/>
      <c r="C53" s="228"/>
      <c r="D53" s="219">
        <f>D52/(C50*G50)</f>
        <v>0.99820535437072544</v>
      </c>
      <c r="E53" s="219"/>
      <c r="F53" s="219"/>
      <c r="G53" s="220"/>
    </row>
    <row r="54" spans="1:7">
      <c r="A54" s="227" t="s">
        <v>85</v>
      </c>
      <c r="B54" s="228"/>
      <c r="C54" s="228"/>
      <c r="D54" s="221">
        <v>0.6</v>
      </c>
      <c r="E54" s="221"/>
      <c r="F54" s="221"/>
      <c r="G54" s="222"/>
    </row>
    <row r="55" spans="1:7" ht="17.25">
      <c r="A55" s="227" t="s">
        <v>90</v>
      </c>
      <c r="B55" s="228"/>
      <c r="C55" s="228"/>
      <c r="D55" s="223">
        <f>D54*C48+(1-D54)*G48</f>
        <v>0.11669283274040976</v>
      </c>
      <c r="E55" s="223"/>
      <c r="F55" s="223"/>
      <c r="G55" s="224"/>
    </row>
    <row r="56" spans="1:7" ht="18">
      <c r="A56" s="229" t="s">
        <v>91</v>
      </c>
      <c r="B56" s="230"/>
      <c r="C56" s="230"/>
      <c r="D56" s="219">
        <f>D54^2*C49+(1-D54)^2*G49+2*D54*(1-D54)*D52</f>
        <v>2.2661370955480549E-2</v>
      </c>
      <c r="E56" s="219"/>
      <c r="F56" s="219"/>
      <c r="G56" s="220"/>
    </row>
    <row r="57" spans="1:7" ht="17.25" thickBot="1">
      <c r="A57" s="231" t="s">
        <v>92</v>
      </c>
      <c r="B57" s="232"/>
      <c r="C57" s="232"/>
      <c r="D57" s="225">
        <f>SQRT(D56)</f>
        <v>0.1505369421619841</v>
      </c>
      <c r="E57" s="225"/>
      <c r="F57" s="225"/>
      <c r="G57" s="226"/>
    </row>
    <row r="58" spans="1:7" ht="15.75" thickBot="1"/>
    <row r="59" spans="1:7" ht="33.75" customHeight="1" thickBot="1">
      <c r="B59" s="123" t="s">
        <v>86</v>
      </c>
      <c r="C59" s="124" t="s">
        <v>87</v>
      </c>
      <c r="D59" s="125" t="s">
        <v>88</v>
      </c>
    </row>
    <row r="60" spans="1:7">
      <c r="B60" s="51"/>
      <c r="C60" s="40">
        <f>D57</f>
        <v>0.1505369421619841</v>
      </c>
      <c r="D60" s="41">
        <f>D55</f>
        <v>0.11669283274040976</v>
      </c>
    </row>
    <row r="61" spans="1:7">
      <c r="B61" s="51">
        <v>-4.25</v>
      </c>
      <c r="C61" s="40">
        <f t="dataTable" ref="C61:D86" dt2D="0" dtr="0" r1="D54"/>
        <v>4.1523077798143973E-2</v>
      </c>
      <c r="D61" s="41">
        <v>3.1406531740679755E-3</v>
      </c>
    </row>
    <row r="62" spans="1:7">
      <c r="A62" s="39">
        <v>0.2</v>
      </c>
      <c r="B62" s="51">
        <f>B61+$A$62</f>
        <v>-4.05</v>
      </c>
      <c r="C62" s="40">
        <v>4.0006427994703046E-2</v>
      </c>
      <c r="D62" s="41">
        <v>7.8232172798964328E-3</v>
      </c>
    </row>
    <row r="63" spans="1:7">
      <c r="B63" s="51">
        <f t="shared" ref="B63:B86" si="0">B62+$A$62</f>
        <v>-3.8499999999999996</v>
      </c>
      <c r="C63" s="40">
        <v>3.9519227935800615E-2</v>
      </c>
      <c r="D63" s="41">
        <v>1.2505781385724946E-2</v>
      </c>
    </row>
    <row r="64" spans="1:7">
      <c r="B64" s="51">
        <f t="shared" si="0"/>
        <v>-3.6499999999999995</v>
      </c>
      <c r="C64" s="40">
        <v>4.0099018405315337E-2</v>
      </c>
      <c r="D64" s="41">
        <v>1.7188345491553514E-2</v>
      </c>
    </row>
    <row r="65" spans="2:4">
      <c r="B65" s="51">
        <f t="shared" si="0"/>
        <v>-3.4499999999999993</v>
      </c>
      <c r="C65" s="40">
        <v>4.1701318710323385E-2</v>
      </c>
      <c r="D65" s="41">
        <v>2.1870909597382027E-2</v>
      </c>
    </row>
    <row r="66" spans="2:4">
      <c r="B66" s="51">
        <f t="shared" si="0"/>
        <v>-3.2499999999999991</v>
      </c>
      <c r="C66" s="40">
        <v>4.4215104794311962E-2</v>
      </c>
      <c r="D66" s="41">
        <v>2.6553473703210595E-2</v>
      </c>
    </row>
    <row r="67" spans="2:4">
      <c r="B67" s="51">
        <f t="shared" si="0"/>
        <v>-3.0499999999999989</v>
      </c>
      <c r="C67" s="40">
        <v>4.7495871467376501E-2</v>
      </c>
      <c r="D67" s="41">
        <v>3.1236037809039108E-2</v>
      </c>
    </row>
    <row r="68" spans="2:4">
      <c r="B68" s="51">
        <f t="shared" si="0"/>
        <v>-2.8499999999999988</v>
      </c>
      <c r="C68" s="40">
        <v>5.1396954438965477E-2</v>
      </c>
      <c r="D68" s="41">
        <v>3.5918601914867676E-2</v>
      </c>
    </row>
    <row r="69" spans="2:4">
      <c r="B69" s="51">
        <f t="shared" si="0"/>
        <v>-2.6499999999999986</v>
      </c>
      <c r="C69" s="40">
        <v>5.5788375576264974E-2</v>
      </c>
      <c r="D69" s="41">
        <v>4.0601166020696133E-2</v>
      </c>
    </row>
    <row r="70" spans="2:4">
      <c r="B70" s="51">
        <f t="shared" si="0"/>
        <v>-2.4499999999999984</v>
      </c>
      <c r="C70" s="40">
        <v>6.0563566423697146E-2</v>
      </c>
      <c r="D70" s="41">
        <v>4.5283730126524702E-2</v>
      </c>
    </row>
    <row r="71" spans="2:4">
      <c r="B71" s="51">
        <f t="shared" si="0"/>
        <v>-2.2499999999999982</v>
      </c>
      <c r="C71" s="40">
        <v>6.5638823200591126E-2</v>
      </c>
      <c r="D71" s="41">
        <v>4.9966294232353214E-2</v>
      </c>
    </row>
    <row r="72" spans="2:4">
      <c r="B72" s="51">
        <f t="shared" si="0"/>
        <v>-2.049999999999998</v>
      </c>
      <c r="C72" s="40">
        <v>7.0949781176838145E-2</v>
      </c>
      <c r="D72" s="41">
        <v>5.4648858338181783E-2</v>
      </c>
    </row>
    <row r="73" spans="2:4">
      <c r="B73" s="51">
        <f t="shared" si="0"/>
        <v>-1.8499999999999981</v>
      </c>
      <c r="C73" s="40">
        <v>7.6447332141846444E-2</v>
      </c>
      <c r="D73" s="41">
        <v>5.9331422444010296E-2</v>
      </c>
    </row>
    <row r="74" spans="2:4">
      <c r="B74" s="51">
        <f t="shared" si="0"/>
        <v>-1.6499999999999981</v>
      </c>
      <c r="C74" s="40">
        <v>8.2093998190197845E-2</v>
      </c>
      <c r="D74" s="41">
        <v>6.4013986549838864E-2</v>
      </c>
    </row>
    <row r="75" spans="2:4">
      <c r="B75" s="51">
        <f t="shared" si="0"/>
        <v>-1.4499999999999982</v>
      </c>
      <c r="C75" s="40">
        <v>8.7861033972862018E-2</v>
      </c>
      <c r="D75" s="41">
        <v>6.8696550655667377E-2</v>
      </c>
    </row>
    <row r="76" spans="2:4">
      <c r="B76" s="60">
        <f t="shared" si="0"/>
        <v>-1.2499999999999982</v>
      </c>
      <c r="C76" s="40">
        <v>9.3726222837530571E-2</v>
      </c>
      <c r="D76" s="41">
        <v>7.3379114761495889E-2</v>
      </c>
    </row>
    <row r="77" spans="2:4">
      <c r="B77" s="51">
        <f t="shared" si="0"/>
        <v>-1.0499999999999983</v>
      </c>
      <c r="C77" s="40">
        <v>9.967223890674004E-2</v>
      </c>
      <c r="D77" s="41">
        <v>7.8061678867324402E-2</v>
      </c>
    </row>
    <row r="78" spans="2:4">
      <c r="B78" s="51">
        <f t="shared" si="0"/>
        <v>-0.84999999999999831</v>
      </c>
      <c r="C78" s="40">
        <v>0.1056854406938626</v>
      </c>
      <c r="D78" s="41">
        <v>8.274424297315297E-2</v>
      </c>
    </row>
    <row r="79" spans="2:4">
      <c r="B79" s="51">
        <f t="shared" si="0"/>
        <v>-0.64999999999999836</v>
      </c>
      <c r="C79" s="40">
        <v>0.11175498353680441</v>
      </c>
      <c r="D79" s="41">
        <v>8.7426807078981483E-2</v>
      </c>
    </row>
    <row r="80" spans="2:4">
      <c r="B80" s="51">
        <f t="shared" si="0"/>
        <v>-0.44999999999999835</v>
      </c>
      <c r="C80" s="40">
        <v>0.11787216431646921</v>
      </c>
      <c r="D80" s="41">
        <v>9.2109371184810024E-2</v>
      </c>
    </row>
    <row r="81" spans="2:4">
      <c r="B81" s="51">
        <f t="shared" si="0"/>
        <v>-0.24999999999999833</v>
      </c>
      <c r="C81" s="40">
        <v>0.12402993469589439</v>
      </c>
      <c r="D81" s="41">
        <v>9.6791935290638509E-2</v>
      </c>
    </row>
    <row r="82" spans="2:4">
      <c r="B82" s="51">
        <f t="shared" si="0"/>
        <v>-4.9999999999998324E-2</v>
      </c>
      <c r="C82" s="40">
        <v>0.13022253677980919</v>
      </c>
      <c r="D82" s="41">
        <v>0.10147449939646706</v>
      </c>
    </row>
    <row r="83" spans="2:4">
      <c r="B83" s="51">
        <f t="shared" si="0"/>
        <v>0.15000000000000169</v>
      </c>
      <c r="C83" s="40">
        <v>0.13644522811279075</v>
      </c>
      <c r="D83" s="41">
        <v>0.1061570635022956</v>
      </c>
    </row>
    <row r="84" spans="2:4">
      <c r="B84" s="51">
        <f t="shared" si="0"/>
        <v>0.3500000000000017</v>
      </c>
      <c r="C84" s="40">
        <v>0.14269407229740155</v>
      </c>
      <c r="D84" s="41">
        <v>0.11083962760812413</v>
      </c>
    </row>
    <row r="85" spans="2:4">
      <c r="B85" s="51">
        <f t="shared" si="0"/>
        <v>0.55000000000000171</v>
      </c>
      <c r="C85" s="40">
        <v>0.1489657781759369</v>
      </c>
      <c r="D85" s="41">
        <v>0.11552219171395267</v>
      </c>
    </row>
    <row r="86" spans="2:4" ht="15.75" thickBot="1">
      <c r="B86" s="52">
        <f t="shared" si="0"/>
        <v>0.75000000000000178</v>
      </c>
      <c r="C86" s="42">
        <v>0.15525757524510883</v>
      </c>
      <c r="D86" s="43">
        <v>0.1202047558197812</v>
      </c>
    </row>
  </sheetData>
  <mergeCells count="18">
    <mergeCell ref="A1:U1"/>
    <mergeCell ref="A25:C25"/>
    <mergeCell ref="E25:G25"/>
    <mergeCell ref="A51:G51"/>
    <mergeCell ref="A52:C52"/>
    <mergeCell ref="D52:G52"/>
    <mergeCell ref="B24:C24"/>
    <mergeCell ref="F24:G24"/>
    <mergeCell ref="A53:C53"/>
    <mergeCell ref="A54:C54"/>
    <mergeCell ref="A55:C55"/>
    <mergeCell ref="A56:C56"/>
    <mergeCell ref="A57:C57"/>
    <mergeCell ref="D53:G53"/>
    <mergeCell ref="D54:G54"/>
    <mergeCell ref="D55:G55"/>
    <mergeCell ref="D56:G56"/>
    <mergeCell ref="D57:G5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11BE-E904-4A5A-B770-F8CBB440B705}">
  <dimension ref="A1:U50"/>
  <sheetViews>
    <sheetView zoomScale="87" zoomScaleNormal="87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/>
  <cols>
    <col min="1" max="1" width="27.85546875" style="39" bestFit="1" customWidth="1"/>
    <col min="2" max="2" width="16.42578125" style="39" bestFit="1" customWidth="1"/>
    <col min="3" max="3" width="15.5703125" style="39" bestFit="1" customWidth="1"/>
    <col min="4" max="4" width="9.140625" style="39"/>
    <col min="5" max="5" width="17.140625" style="39" bestFit="1" customWidth="1"/>
    <col min="6" max="7" width="14.42578125" style="39" bestFit="1" customWidth="1"/>
    <col min="8" max="9" width="12" style="39" bestFit="1" customWidth="1"/>
    <col min="10" max="16384" width="9.140625" style="39"/>
  </cols>
  <sheetData>
    <row r="1" spans="1:21" ht="26.25" customHeight="1" thickBot="1">
      <c r="A1" s="233" t="s">
        <v>31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5"/>
    </row>
    <row r="2" spans="1:21">
      <c r="A2" s="30"/>
      <c r="B2" s="31" t="s">
        <v>6</v>
      </c>
      <c r="C2" s="31" t="s">
        <v>7</v>
      </c>
      <c r="D2" s="31" t="s">
        <v>8</v>
      </c>
      <c r="E2" s="31" t="s">
        <v>13</v>
      </c>
      <c r="F2" s="31" t="s">
        <v>2</v>
      </c>
      <c r="G2" s="31" t="s">
        <v>10</v>
      </c>
      <c r="H2" s="31" t="s">
        <v>3</v>
      </c>
      <c r="I2" s="31" t="s">
        <v>19</v>
      </c>
      <c r="J2" s="31" t="s">
        <v>11</v>
      </c>
      <c r="K2" s="31" t="s">
        <v>15</v>
      </c>
      <c r="L2" s="31" t="s">
        <v>4</v>
      </c>
      <c r="M2" s="31" t="s">
        <v>17</v>
      </c>
      <c r="N2" s="31" t="s">
        <v>16</v>
      </c>
      <c r="O2" s="31" t="s">
        <v>5</v>
      </c>
      <c r="P2" s="31" t="s">
        <v>18</v>
      </c>
      <c r="Q2" s="31" t="s">
        <v>21</v>
      </c>
      <c r="R2" s="31" t="s">
        <v>1</v>
      </c>
      <c r="S2" s="31" t="s">
        <v>9</v>
      </c>
      <c r="T2" s="31" t="s">
        <v>0</v>
      </c>
      <c r="U2" s="32" t="s">
        <v>14</v>
      </c>
    </row>
    <row r="3" spans="1:21">
      <c r="A3" s="33" t="s">
        <v>6</v>
      </c>
      <c r="B3" s="34">
        <v>1.733143001699226E-2</v>
      </c>
      <c r="C3" s="34">
        <v>1.1356875578397468E-2</v>
      </c>
      <c r="D3" s="34">
        <v>1.191333265960013E-2</v>
      </c>
      <c r="E3" s="34">
        <v>4.4035668351170764E-3</v>
      </c>
      <c r="F3" s="34">
        <v>2.9420677014500604E-3</v>
      </c>
      <c r="G3" s="34">
        <v>7.7061854815551776E-3</v>
      </c>
      <c r="H3" s="34">
        <v>4.4601810419295637E-3</v>
      </c>
      <c r="I3" s="34">
        <v>5.1961431638687791E-3</v>
      </c>
      <c r="J3" s="34">
        <v>3.5981619236016256E-3</v>
      </c>
      <c r="K3" s="34">
        <v>3.9088589854914622E-3</v>
      </c>
      <c r="L3" s="34">
        <v>4.83417763814596E-3</v>
      </c>
      <c r="M3" s="34">
        <v>5.5966939321274696E-3</v>
      </c>
      <c r="N3" s="34">
        <v>3.9041846044801307E-3</v>
      </c>
      <c r="O3" s="34">
        <v>1.6974418044208516E-3</v>
      </c>
      <c r="P3" s="34">
        <v>1.3145933712828975E-2</v>
      </c>
      <c r="Q3" s="34">
        <v>3.2729224313708147E-3</v>
      </c>
      <c r="R3" s="34">
        <v>5.3817854422589222E-3</v>
      </c>
      <c r="S3" s="34">
        <v>6.2980453823742186E-3</v>
      </c>
      <c r="T3" s="34">
        <v>7.5520291239693739E-3</v>
      </c>
      <c r="U3" s="35">
        <v>9.6242282186377436E-3</v>
      </c>
    </row>
    <row r="4" spans="1:21">
      <c r="A4" s="33" t="s">
        <v>7</v>
      </c>
      <c r="B4" s="34">
        <v>1.1356875578397468E-2</v>
      </c>
      <c r="C4" s="34">
        <v>3.3767414673617983E-2</v>
      </c>
      <c r="D4" s="34">
        <v>2.319391643040156E-2</v>
      </c>
      <c r="E4" s="34">
        <v>6.78990373943693E-3</v>
      </c>
      <c r="F4" s="34">
        <v>6.1758943753862337E-3</v>
      </c>
      <c r="G4" s="34">
        <v>1.1397767798662783E-2</v>
      </c>
      <c r="H4" s="34">
        <v>6.4809190711603033E-3</v>
      </c>
      <c r="I4" s="34">
        <v>6.9565122335142442E-3</v>
      </c>
      <c r="J4" s="34">
        <v>7.8550062554487848E-3</v>
      </c>
      <c r="K4" s="34">
        <v>9.7546717093522882E-3</v>
      </c>
      <c r="L4" s="34">
        <v>5.4934183439338405E-3</v>
      </c>
      <c r="M4" s="34">
        <v>1.5421799697934833E-2</v>
      </c>
      <c r="N4" s="34">
        <v>8.251338747658047E-3</v>
      </c>
      <c r="O4" s="34">
        <v>4.0849158304005935E-3</v>
      </c>
      <c r="P4" s="34">
        <v>8.9863935958859002E-3</v>
      </c>
      <c r="Q4" s="34">
        <v>5.9823037076903165E-3</v>
      </c>
      <c r="R4" s="34">
        <v>7.7341287599130108E-3</v>
      </c>
      <c r="S4" s="34">
        <v>8.7949217590763979E-3</v>
      </c>
      <c r="T4" s="34">
        <v>1.0323382842742252E-2</v>
      </c>
      <c r="U4" s="35">
        <v>1.7531088152162182E-2</v>
      </c>
    </row>
    <row r="5" spans="1:21">
      <c r="A5" s="33" t="s">
        <v>8</v>
      </c>
      <c r="B5" s="34">
        <v>1.191333265960013E-2</v>
      </c>
      <c r="C5" s="34">
        <v>2.319391643040156E-2</v>
      </c>
      <c r="D5" s="34">
        <v>3.1051664258783619E-2</v>
      </c>
      <c r="E5" s="34">
        <v>8.1754763570974394E-3</v>
      </c>
      <c r="F5" s="34">
        <v>6.7264827662231142E-3</v>
      </c>
      <c r="G5" s="34">
        <v>1.1472880230791743E-2</v>
      </c>
      <c r="H5" s="34">
        <v>8.5735107008870996E-3</v>
      </c>
      <c r="I5" s="34">
        <v>9.3486330970173996E-3</v>
      </c>
      <c r="J5" s="34">
        <v>9.6084981824906025E-3</v>
      </c>
      <c r="K5" s="34">
        <v>1.0541537477023008E-2</v>
      </c>
      <c r="L5" s="34">
        <v>4.736808645410962E-3</v>
      </c>
      <c r="M5" s="34">
        <v>1.0711932903262042E-2</v>
      </c>
      <c r="N5" s="34">
        <v>7.4717440876747691E-3</v>
      </c>
      <c r="O5" s="34">
        <v>4.0777816518267739E-3</v>
      </c>
      <c r="P5" s="34">
        <v>1.0971917587641067E-2</v>
      </c>
      <c r="Q5" s="34">
        <v>7.1538231587681151E-3</v>
      </c>
      <c r="R5" s="34">
        <v>7.4776588854017952E-3</v>
      </c>
      <c r="S5" s="34">
        <v>1.0683889559798926E-2</v>
      </c>
      <c r="T5" s="34">
        <v>1.1404421505795997E-2</v>
      </c>
      <c r="U5" s="35">
        <v>1.6633383575835277E-2</v>
      </c>
    </row>
    <row r="6" spans="1:21">
      <c r="A6" s="33" t="s">
        <v>13</v>
      </c>
      <c r="B6" s="34">
        <v>4.4035668351170764E-3</v>
      </c>
      <c r="C6" s="34">
        <v>6.78990373943693E-3</v>
      </c>
      <c r="D6" s="34">
        <v>8.1754763570974394E-3</v>
      </c>
      <c r="E6" s="34">
        <v>1.1751646727573409E-2</v>
      </c>
      <c r="F6" s="34">
        <v>2.9503708691277471E-3</v>
      </c>
      <c r="G6" s="34">
        <v>6.1017826546181124E-3</v>
      </c>
      <c r="H6" s="34">
        <v>3.3222056185747881E-3</v>
      </c>
      <c r="I6" s="34">
        <v>4.3842492931067557E-3</v>
      </c>
      <c r="J6" s="34">
        <v>5.1603559469360696E-3</v>
      </c>
      <c r="K6" s="34">
        <v>4.8594240175641751E-3</v>
      </c>
      <c r="L6" s="34">
        <v>8.3908637866970839E-4</v>
      </c>
      <c r="M6" s="34">
        <v>2.5692646144978757E-3</v>
      </c>
      <c r="N6" s="34">
        <v>2.7564962296959339E-3</v>
      </c>
      <c r="O6" s="34">
        <v>2.0689985500930578E-3</v>
      </c>
      <c r="P6" s="34">
        <v>4.869179911182576E-3</v>
      </c>
      <c r="Q6" s="34">
        <v>3.5748170491900887E-3</v>
      </c>
      <c r="R6" s="34">
        <v>3.020938644698433E-3</v>
      </c>
      <c r="S6" s="34">
        <v>2.8373545314168565E-3</v>
      </c>
      <c r="T6" s="34">
        <v>2.4729024223141619E-3</v>
      </c>
      <c r="U6" s="35">
        <v>8.7930709141714868E-3</v>
      </c>
    </row>
    <row r="7" spans="1:21">
      <c r="A7" s="33" t="s">
        <v>2</v>
      </c>
      <c r="B7" s="34">
        <v>2.9420677014500604E-3</v>
      </c>
      <c r="C7" s="34">
        <v>6.1758943753862337E-3</v>
      </c>
      <c r="D7" s="34">
        <v>6.7264827662231142E-3</v>
      </c>
      <c r="E7" s="34">
        <v>2.9503708691277471E-3</v>
      </c>
      <c r="F7" s="34">
        <v>6.9549442897855899E-3</v>
      </c>
      <c r="G7" s="34">
        <v>5.9432781243609779E-3</v>
      </c>
      <c r="H7" s="34">
        <v>4.3594370692667693E-3</v>
      </c>
      <c r="I7" s="34">
        <v>2.2731255442030658E-3</v>
      </c>
      <c r="J7" s="34">
        <v>3.8300700035067497E-3</v>
      </c>
      <c r="K7" s="34">
        <v>3.0769096075049444E-3</v>
      </c>
      <c r="L7" s="34">
        <v>3.3652546912412693E-3</v>
      </c>
      <c r="M7" s="34">
        <v>3.4664135047360618E-3</v>
      </c>
      <c r="N7" s="34">
        <v>4.3335352405171968E-3</v>
      </c>
      <c r="O7" s="34">
        <v>2.4836271910431583E-3</v>
      </c>
      <c r="P7" s="34">
        <v>5.4289508232298602E-3</v>
      </c>
      <c r="Q7" s="34">
        <v>3.7598160756820275E-3</v>
      </c>
      <c r="R7" s="34">
        <v>2.4020785814783288E-3</v>
      </c>
      <c r="S7" s="34">
        <v>4.3922920352739356E-3</v>
      </c>
      <c r="T7" s="34">
        <v>3.6049791666762257E-3</v>
      </c>
      <c r="U7" s="35">
        <v>6.4352440255722532E-3</v>
      </c>
    </row>
    <row r="8" spans="1:21">
      <c r="A8" s="33" t="s">
        <v>10</v>
      </c>
      <c r="B8" s="34">
        <v>7.7061854815551776E-3</v>
      </c>
      <c r="C8" s="34">
        <v>1.1397767798662783E-2</v>
      </c>
      <c r="D8" s="34">
        <v>1.1472880230791743E-2</v>
      </c>
      <c r="E8" s="34">
        <v>6.1017826546181124E-3</v>
      </c>
      <c r="F8" s="34">
        <v>5.9432781243609779E-3</v>
      </c>
      <c r="G8" s="34">
        <v>1.9682557848766959E-2</v>
      </c>
      <c r="H8" s="34">
        <v>6.5577936465289702E-3</v>
      </c>
      <c r="I8" s="34">
        <v>5.4706058541315527E-3</v>
      </c>
      <c r="J8" s="34">
        <v>6.3981150522634976E-3</v>
      </c>
      <c r="K8" s="34">
        <v>5.8545611569685956E-3</v>
      </c>
      <c r="L8" s="34">
        <v>5.2916712053475293E-3</v>
      </c>
      <c r="M8" s="34">
        <v>8.9388643651908597E-3</v>
      </c>
      <c r="N8" s="34">
        <v>7.2378041579975374E-3</v>
      </c>
      <c r="O8" s="34">
        <v>3.5126050529059325E-3</v>
      </c>
      <c r="P8" s="34">
        <v>1.0050506230862837E-2</v>
      </c>
      <c r="Q8" s="34">
        <v>4.786185662163849E-3</v>
      </c>
      <c r="R8" s="34">
        <v>4.5487678037437291E-3</v>
      </c>
      <c r="S8" s="34">
        <v>8.217021105044334E-3</v>
      </c>
      <c r="T8" s="34">
        <v>8.789785353266721E-3</v>
      </c>
      <c r="U8" s="35">
        <v>1.2429731865720878E-2</v>
      </c>
    </row>
    <row r="9" spans="1:21">
      <c r="A9" s="33" t="s">
        <v>3</v>
      </c>
      <c r="B9" s="34">
        <v>4.4601810419295637E-3</v>
      </c>
      <c r="C9" s="34">
        <v>6.4809190711603033E-3</v>
      </c>
      <c r="D9" s="34">
        <v>8.5735107008870996E-3</v>
      </c>
      <c r="E9" s="34">
        <v>3.3222056185747881E-3</v>
      </c>
      <c r="F9" s="34">
        <v>4.3594370692667693E-3</v>
      </c>
      <c r="G9" s="34">
        <v>6.5577936465289702E-3</v>
      </c>
      <c r="H9" s="34">
        <v>6.9581829225259587E-3</v>
      </c>
      <c r="I9" s="34">
        <v>3.4383943782748702E-3</v>
      </c>
      <c r="J9" s="34">
        <v>2.6433415661040989E-3</v>
      </c>
      <c r="K9" s="34">
        <v>2.0862576826746818E-3</v>
      </c>
      <c r="L9" s="34">
        <v>3.2173792002289036E-3</v>
      </c>
      <c r="M9" s="34">
        <v>4.3644499285043475E-3</v>
      </c>
      <c r="N9" s="34">
        <v>4.2115838782417004E-3</v>
      </c>
      <c r="O9" s="34">
        <v>1.4470541323772918E-3</v>
      </c>
      <c r="P9" s="34">
        <v>5.8999223851911847E-3</v>
      </c>
      <c r="Q9" s="34">
        <v>2.8651755418302922E-3</v>
      </c>
      <c r="R9" s="34">
        <v>2.4380402547996894E-3</v>
      </c>
      <c r="S9" s="34">
        <v>5.2556481427075072E-3</v>
      </c>
      <c r="T9" s="34">
        <v>3.585745938636831E-3</v>
      </c>
      <c r="U9" s="35">
        <v>6.7601069413025803E-3</v>
      </c>
    </row>
    <row r="10" spans="1:21">
      <c r="A10" s="33" t="s">
        <v>19</v>
      </c>
      <c r="B10" s="34">
        <v>5.1961431638687791E-3</v>
      </c>
      <c r="C10" s="34">
        <v>6.9565122335142442E-3</v>
      </c>
      <c r="D10" s="34">
        <v>9.3486330970173996E-3</v>
      </c>
      <c r="E10" s="34">
        <v>4.3842492931067557E-3</v>
      </c>
      <c r="F10" s="34">
        <v>2.2731255442030658E-3</v>
      </c>
      <c r="G10" s="34">
        <v>5.4706058541315527E-3</v>
      </c>
      <c r="H10" s="34">
        <v>3.4383943782748702E-3</v>
      </c>
      <c r="I10" s="34">
        <v>9.428097129927572E-3</v>
      </c>
      <c r="J10" s="34">
        <v>5.1220154932562966E-3</v>
      </c>
      <c r="K10" s="34">
        <v>5.7401311214705037E-3</v>
      </c>
      <c r="L10" s="34">
        <v>1.527694256943679E-3</v>
      </c>
      <c r="M10" s="34">
        <v>4.2058694572642006E-3</v>
      </c>
      <c r="N10" s="34">
        <v>3.8690452857327337E-3</v>
      </c>
      <c r="O10" s="34">
        <v>2.215338375807477E-3</v>
      </c>
      <c r="P10" s="34">
        <v>4.3614747693857345E-3</v>
      </c>
      <c r="Q10" s="34">
        <v>4.0961580814859152E-3</v>
      </c>
      <c r="R10" s="34">
        <v>3.5431911223890969E-3</v>
      </c>
      <c r="S10" s="34">
        <v>3.5795967868501944E-3</v>
      </c>
      <c r="T10" s="34">
        <v>4.1659119371108356E-3</v>
      </c>
      <c r="U10" s="35">
        <v>8.2010270252568969E-3</v>
      </c>
    </row>
    <row r="11" spans="1:21">
      <c r="A11" s="33" t="s">
        <v>11</v>
      </c>
      <c r="B11" s="34">
        <v>3.5981619236016256E-3</v>
      </c>
      <c r="C11" s="34">
        <v>7.8550062554487848E-3</v>
      </c>
      <c r="D11" s="34">
        <v>9.6084981824906025E-3</v>
      </c>
      <c r="E11" s="34">
        <v>5.1603559469360696E-3</v>
      </c>
      <c r="F11" s="34">
        <v>3.8300700035067497E-3</v>
      </c>
      <c r="G11" s="34">
        <v>6.3981150522634976E-3</v>
      </c>
      <c r="H11" s="34">
        <v>2.6433415661040989E-3</v>
      </c>
      <c r="I11" s="34">
        <v>5.1220154932562966E-3</v>
      </c>
      <c r="J11" s="34">
        <v>1.4616827515725309E-2</v>
      </c>
      <c r="K11" s="34">
        <v>6.0839061098942743E-3</v>
      </c>
      <c r="L11" s="34">
        <v>2.08240838372097E-4</v>
      </c>
      <c r="M11" s="34">
        <v>2.8339774539778944E-3</v>
      </c>
      <c r="N11" s="34">
        <v>4.54202644478356E-3</v>
      </c>
      <c r="O11" s="34">
        <v>2.456684117678624E-3</v>
      </c>
      <c r="P11" s="34">
        <v>5.5079124230874394E-3</v>
      </c>
      <c r="Q11" s="34">
        <v>5.6495974059186027E-3</v>
      </c>
      <c r="R11" s="34">
        <v>4.1047544828943299E-3</v>
      </c>
      <c r="S11" s="34">
        <v>6.4591781884397285E-3</v>
      </c>
      <c r="T11" s="34">
        <v>7.0249882093140403E-3</v>
      </c>
      <c r="U11" s="35">
        <v>8.8712214737876188E-3</v>
      </c>
    </row>
    <row r="12" spans="1:21">
      <c r="A12" s="33" t="s">
        <v>15</v>
      </c>
      <c r="B12" s="34">
        <v>3.9088589854914622E-3</v>
      </c>
      <c r="C12" s="34">
        <v>9.7546717093522882E-3</v>
      </c>
      <c r="D12" s="34">
        <v>1.0541537477023008E-2</v>
      </c>
      <c r="E12" s="34">
        <v>4.8594240175641751E-3</v>
      </c>
      <c r="F12" s="34">
        <v>3.0769096075049444E-3</v>
      </c>
      <c r="G12" s="34">
        <v>5.8545611569685956E-3</v>
      </c>
      <c r="H12" s="34">
        <v>2.0862576826746818E-3</v>
      </c>
      <c r="I12" s="34">
        <v>5.7401311214705037E-3</v>
      </c>
      <c r="J12" s="34">
        <v>6.0839061098942743E-3</v>
      </c>
      <c r="K12" s="34">
        <v>1.2977179788212844E-2</v>
      </c>
      <c r="L12" s="34">
        <v>3.0263041890263372E-3</v>
      </c>
      <c r="M12" s="34">
        <v>4.1848134986629598E-3</v>
      </c>
      <c r="N12" s="34">
        <v>3.3046791185206642E-3</v>
      </c>
      <c r="O12" s="34">
        <v>2.0421375882673626E-3</v>
      </c>
      <c r="P12" s="34">
        <v>3.8390924611279354E-3</v>
      </c>
      <c r="Q12" s="34">
        <v>3.0246963276534537E-3</v>
      </c>
      <c r="R12" s="34">
        <v>1.9773378783572268E-3</v>
      </c>
      <c r="S12" s="34">
        <v>2.9777593533828919E-3</v>
      </c>
      <c r="T12" s="34">
        <v>3.4600573571721776E-3</v>
      </c>
      <c r="U12" s="35">
        <v>8.0651735323518346E-3</v>
      </c>
    </row>
    <row r="13" spans="1:21">
      <c r="A13" s="33" t="s">
        <v>4</v>
      </c>
      <c r="B13" s="34">
        <v>4.83417763814596E-3</v>
      </c>
      <c r="C13" s="34">
        <v>5.4934183439338405E-3</v>
      </c>
      <c r="D13" s="34">
        <v>4.736808645410962E-3</v>
      </c>
      <c r="E13" s="34">
        <v>8.3908637866970839E-4</v>
      </c>
      <c r="F13" s="34">
        <v>3.3652546912412693E-3</v>
      </c>
      <c r="G13" s="34">
        <v>5.2916712053475293E-3</v>
      </c>
      <c r="H13" s="34">
        <v>3.2173792002289036E-3</v>
      </c>
      <c r="I13" s="34">
        <v>1.527694256943679E-3</v>
      </c>
      <c r="J13" s="34">
        <v>2.08240838372097E-4</v>
      </c>
      <c r="K13" s="34">
        <v>3.0263041890263372E-3</v>
      </c>
      <c r="L13" s="34">
        <v>1.4799499325092573E-2</v>
      </c>
      <c r="M13" s="34">
        <v>2.5298651699586982E-3</v>
      </c>
      <c r="N13" s="34">
        <v>3.4038056497646624E-3</v>
      </c>
      <c r="O13" s="34">
        <v>2.5061751435386391E-3</v>
      </c>
      <c r="P13" s="34">
        <v>4.7433146402237978E-3</v>
      </c>
      <c r="Q13" s="34">
        <v>1.4452853924037017E-3</v>
      </c>
      <c r="R13" s="34">
        <v>1.393767060799753E-3</v>
      </c>
      <c r="S13" s="34">
        <v>1.8408029868982141E-3</v>
      </c>
      <c r="T13" s="34">
        <v>8.7490739803845904E-4</v>
      </c>
      <c r="U13" s="35">
        <v>4.3553896442336693E-3</v>
      </c>
    </row>
    <row r="14" spans="1:21">
      <c r="A14" s="33" t="s">
        <v>17</v>
      </c>
      <c r="B14" s="34">
        <v>5.5966939321274696E-3</v>
      </c>
      <c r="C14" s="34">
        <v>1.5421799697934833E-2</v>
      </c>
      <c r="D14" s="34">
        <v>1.0711932903262042E-2</v>
      </c>
      <c r="E14" s="34">
        <v>2.5692646144978757E-3</v>
      </c>
      <c r="F14" s="34">
        <v>3.4664135047360618E-3</v>
      </c>
      <c r="G14" s="34">
        <v>8.9388643651908597E-3</v>
      </c>
      <c r="H14" s="34">
        <v>4.3644499285043475E-3</v>
      </c>
      <c r="I14" s="34">
        <v>4.2058694572642006E-3</v>
      </c>
      <c r="J14" s="34">
        <v>2.8339774539778944E-3</v>
      </c>
      <c r="K14" s="34">
        <v>4.1848134986629598E-3</v>
      </c>
      <c r="L14" s="34">
        <v>2.5298651699586982E-3</v>
      </c>
      <c r="M14" s="34">
        <v>2.2180465326192448E-2</v>
      </c>
      <c r="N14" s="34">
        <v>6.2497671010762357E-3</v>
      </c>
      <c r="O14" s="34">
        <v>2.0711002811740695E-3</v>
      </c>
      <c r="P14" s="34">
        <v>7.5658576218924989E-3</v>
      </c>
      <c r="Q14" s="34">
        <v>1.778928551243505E-3</v>
      </c>
      <c r="R14" s="34">
        <v>4.9048583991882239E-3</v>
      </c>
      <c r="S14" s="34">
        <v>4.8914275823427203E-3</v>
      </c>
      <c r="T14" s="34">
        <v>5.5534538988055212E-3</v>
      </c>
      <c r="U14" s="35">
        <v>1.0698643160263194E-2</v>
      </c>
    </row>
    <row r="15" spans="1:21">
      <c r="A15" s="33" t="s">
        <v>16</v>
      </c>
      <c r="B15" s="34">
        <v>3.9041846044801307E-3</v>
      </c>
      <c r="C15" s="34">
        <v>8.251338747658047E-3</v>
      </c>
      <c r="D15" s="34">
        <v>7.4717440876747691E-3</v>
      </c>
      <c r="E15" s="34">
        <v>2.7564962296959339E-3</v>
      </c>
      <c r="F15" s="34">
        <v>4.3335352405171968E-3</v>
      </c>
      <c r="G15" s="34">
        <v>7.2378041579975374E-3</v>
      </c>
      <c r="H15" s="34">
        <v>4.2115838782417004E-3</v>
      </c>
      <c r="I15" s="34">
        <v>3.8690452857327337E-3</v>
      </c>
      <c r="J15" s="34">
        <v>4.54202644478356E-3</v>
      </c>
      <c r="K15" s="34">
        <v>3.3046791185206642E-3</v>
      </c>
      <c r="L15" s="34">
        <v>3.4038056497646624E-3</v>
      </c>
      <c r="M15" s="34">
        <v>6.2497671010762357E-3</v>
      </c>
      <c r="N15" s="34">
        <v>7.1408685670825032E-3</v>
      </c>
      <c r="O15" s="34">
        <v>2.2886456139273982E-3</v>
      </c>
      <c r="P15" s="34">
        <v>6.0147777387325029E-3</v>
      </c>
      <c r="Q15" s="34">
        <v>3.8122597750917262E-3</v>
      </c>
      <c r="R15" s="34">
        <v>2.9339476055642759E-3</v>
      </c>
      <c r="S15" s="34">
        <v>5.7781375149870435E-3</v>
      </c>
      <c r="T15" s="34">
        <v>5.4642645559359283E-3</v>
      </c>
      <c r="U15" s="35">
        <v>8.3191221012270805E-3</v>
      </c>
    </row>
    <row r="16" spans="1:21">
      <c r="A16" s="33" t="s">
        <v>5</v>
      </c>
      <c r="B16" s="34">
        <v>1.6974418044208516E-3</v>
      </c>
      <c r="C16" s="34">
        <v>4.0849158304005935E-3</v>
      </c>
      <c r="D16" s="34">
        <v>4.0777816518267739E-3</v>
      </c>
      <c r="E16" s="34">
        <v>2.0689985500930578E-3</v>
      </c>
      <c r="F16" s="34">
        <v>2.4836271910431583E-3</v>
      </c>
      <c r="G16" s="34">
        <v>3.5126050529059325E-3</v>
      </c>
      <c r="H16" s="34">
        <v>1.4470541323772918E-3</v>
      </c>
      <c r="I16" s="34">
        <v>2.215338375807477E-3</v>
      </c>
      <c r="J16" s="34">
        <v>2.456684117678624E-3</v>
      </c>
      <c r="K16" s="34">
        <v>2.0421375882673626E-3</v>
      </c>
      <c r="L16" s="34">
        <v>2.5061751435386391E-3</v>
      </c>
      <c r="M16" s="34">
        <v>2.0711002811740695E-3</v>
      </c>
      <c r="N16" s="34">
        <v>2.2886456139273982E-3</v>
      </c>
      <c r="O16" s="34">
        <v>4.926051524749688E-3</v>
      </c>
      <c r="P16" s="34">
        <v>3.4008679557705102E-3</v>
      </c>
      <c r="Q16" s="34">
        <v>2.85611954182159E-3</v>
      </c>
      <c r="R16" s="34">
        <v>3.4027908875498875E-3</v>
      </c>
      <c r="S16" s="34">
        <v>3.202600511722766E-3</v>
      </c>
      <c r="T16" s="34">
        <v>3.85926699415627E-3</v>
      </c>
      <c r="U16" s="35">
        <v>4.8468980174317493E-3</v>
      </c>
    </row>
    <row r="17" spans="1:21">
      <c r="A17" s="33" t="s">
        <v>18</v>
      </c>
      <c r="B17" s="34">
        <v>1.3145933712828975E-2</v>
      </c>
      <c r="C17" s="34">
        <v>8.9863935958859002E-3</v>
      </c>
      <c r="D17" s="34">
        <v>1.0971917587641067E-2</v>
      </c>
      <c r="E17" s="34">
        <v>4.869179911182576E-3</v>
      </c>
      <c r="F17" s="34">
        <v>5.4289508232298602E-3</v>
      </c>
      <c r="G17" s="34">
        <v>1.0050506230862837E-2</v>
      </c>
      <c r="H17" s="34">
        <v>5.8999223851911847E-3</v>
      </c>
      <c r="I17" s="34">
        <v>4.3614747693857345E-3</v>
      </c>
      <c r="J17" s="34">
        <v>5.5079124230874394E-3</v>
      </c>
      <c r="K17" s="34">
        <v>3.8390924611279354E-3</v>
      </c>
      <c r="L17" s="34">
        <v>4.7433146402237978E-3</v>
      </c>
      <c r="M17" s="34">
        <v>7.5658576218924989E-3</v>
      </c>
      <c r="N17" s="34">
        <v>6.0147777387325029E-3</v>
      </c>
      <c r="O17" s="34">
        <v>3.4008679557705102E-3</v>
      </c>
      <c r="P17" s="34">
        <v>2.0622077915632902E-2</v>
      </c>
      <c r="Q17" s="34">
        <v>4.7672461533435368E-3</v>
      </c>
      <c r="R17" s="34">
        <v>4.7831489640223169E-3</v>
      </c>
      <c r="S17" s="34">
        <v>8.9753034487230435E-3</v>
      </c>
      <c r="T17" s="34">
        <v>9.7172364779587357E-3</v>
      </c>
      <c r="U17" s="35">
        <v>8.4733861933815602E-3</v>
      </c>
    </row>
    <row r="18" spans="1:21">
      <c r="A18" s="33" t="s">
        <v>21</v>
      </c>
      <c r="B18" s="34">
        <v>3.2729224313708147E-3</v>
      </c>
      <c r="C18" s="34">
        <v>5.9823037076903165E-3</v>
      </c>
      <c r="D18" s="34">
        <v>7.1538231587681151E-3</v>
      </c>
      <c r="E18" s="34">
        <v>3.5748170491900887E-3</v>
      </c>
      <c r="F18" s="34">
        <v>3.7598160756820275E-3</v>
      </c>
      <c r="G18" s="34">
        <v>4.786185662163849E-3</v>
      </c>
      <c r="H18" s="34">
        <v>2.8651755418302922E-3</v>
      </c>
      <c r="I18" s="34">
        <v>4.0961580814859152E-3</v>
      </c>
      <c r="J18" s="34">
        <v>5.6495974059186027E-3</v>
      </c>
      <c r="K18" s="34">
        <v>3.0246963276534537E-3</v>
      </c>
      <c r="L18" s="34">
        <v>1.4452853924037017E-3</v>
      </c>
      <c r="M18" s="34">
        <v>1.778928551243505E-3</v>
      </c>
      <c r="N18" s="34">
        <v>3.8122597750917262E-3</v>
      </c>
      <c r="O18" s="34">
        <v>2.85611954182159E-3</v>
      </c>
      <c r="P18" s="34">
        <v>4.7672461533435368E-3</v>
      </c>
      <c r="Q18" s="34">
        <v>6.1288630013695677E-3</v>
      </c>
      <c r="R18" s="34">
        <v>3.0741915825132464E-3</v>
      </c>
      <c r="S18" s="34">
        <v>3.7156066111048098E-3</v>
      </c>
      <c r="T18" s="34">
        <v>4.6606308709602117E-3</v>
      </c>
      <c r="U18" s="35">
        <v>6.8173047236230371E-3</v>
      </c>
    </row>
    <row r="19" spans="1:21">
      <c r="A19" s="33" t="s">
        <v>1</v>
      </c>
      <c r="B19" s="34">
        <v>5.3817854422589222E-3</v>
      </c>
      <c r="C19" s="34">
        <v>7.7341287599130108E-3</v>
      </c>
      <c r="D19" s="34">
        <v>7.4776588854017952E-3</v>
      </c>
      <c r="E19" s="34">
        <v>3.020938644698433E-3</v>
      </c>
      <c r="F19" s="34">
        <v>2.4020785814783288E-3</v>
      </c>
      <c r="G19" s="34">
        <v>4.5487678037437291E-3</v>
      </c>
      <c r="H19" s="34">
        <v>2.4380402547996894E-3</v>
      </c>
      <c r="I19" s="34">
        <v>3.5431911223890969E-3</v>
      </c>
      <c r="J19" s="34">
        <v>4.1047544828943299E-3</v>
      </c>
      <c r="K19" s="34">
        <v>1.9773378783572268E-3</v>
      </c>
      <c r="L19" s="34">
        <v>1.393767060799753E-3</v>
      </c>
      <c r="M19" s="34">
        <v>4.9048583991882239E-3</v>
      </c>
      <c r="N19" s="34">
        <v>2.9339476055642759E-3</v>
      </c>
      <c r="O19" s="34">
        <v>3.4027908875498875E-3</v>
      </c>
      <c r="P19" s="34">
        <v>4.7831489640223169E-3</v>
      </c>
      <c r="Q19" s="34">
        <v>3.0741915825132464E-3</v>
      </c>
      <c r="R19" s="34">
        <v>7.5402633851641403E-3</v>
      </c>
      <c r="S19" s="34">
        <v>7.2039309766488355E-3</v>
      </c>
      <c r="T19" s="34">
        <v>7.709881431788447E-3</v>
      </c>
      <c r="U19" s="35">
        <v>7.9876935030269401E-3</v>
      </c>
    </row>
    <row r="20" spans="1:21">
      <c r="A20" s="33" t="s">
        <v>9</v>
      </c>
      <c r="B20" s="34">
        <v>6.2980453823742186E-3</v>
      </c>
      <c r="C20" s="34">
        <v>8.7949217590763979E-3</v>
      </c>
      <c r="D20" s="34">
        <v>1.0683889559798926E-2</v>
      </c>
      <c r="E20" s="34">
        <v>2.8373545314168565E-3</v>
      </c>
      <c r="F20" s="34">
        <v>4.3922920352739356E-3</v>
      </c>
      <c r="G20" s="34">
        <v>8.217021105044334E-3</v>
      </c>
      <c r="H20" s="34">
        <v>5.2556481427075072E-3</v>
      </c>
      <c r="I20" s="34">
        <v>3.5795967868501944E-3</v>
      </c>
      <c r="J20" s="34">
        <v>6.4591781884397285E-3</v>
      </c>
      <c r="K20" s="34">
        <v>2.9777593533828919E-3</v>
      </c>
      <c r="L20" s="34">
        <v>1.8408029868982141E-3</v>
      </c>
      <c r="M20" s="34">
        <v>4.8914275823427203E-3</v>
      </c>
      <c r="N20" s="34">
        <v>5.7781375149870435E-3</v>
      </c>
      <c r="O20" s="34">
        <v>3.202600511722766E-3</v>
      </c>
      <c r="P20" s="34">
        <v>8.9753034487230435E-3</v>
      </c>
      <c r="Q20" s="34">
        <v>3.7156066111048098E-3</v>
      </c>
      <c r="R20" s="34">
        <v>7.2039309766488355E-3</v>
      </c>
      <c r="S20" s="34">
        <v>1.4005470369855357E-2</v>
      </c>
      <c r="T20" s="34">
        <v>1.1294660440450428E-2</v>
      </c>
      <c r="U20" s="35">
        <v>9.6178234480983702E-3</v>
      </c>
    </row>
    <row r="21" spans="1:21">
      <c r="A21" s="33" t="s">
        <v>0</v>
      </c>
      <c r="B21" s="34">
        <v>7.5520291239693739E-3</v>
      </c>
      <c r="C21" s="34">
        <v>1.0323382842742252E-2</v>
      </c>
      <c r="D21" s="34">
        <v>1.1404421505795997E-2</v>
      </c>
      <c r="E21" s="34">
        <v>2.4729024223141619E-3</v>
      </c>
      <c r="F21" s="34">
        <v>3.6049791666762257E-3</v>
      </c>
      <c r="G21" s="34">
        <v>8.789785353266721E-3</v>
      </c>
      <c r="H21" s="34">
        <v>3.585745938636831E-3</v>
      </c>
      <c r="I21" s="34">
        <v>4.1659119371108356E-3</v>
      </c>
      <c r="J21" s="34">
        <v>7.0249882093140403E-3</v>
      </c>
      <c r="K21" s="34">
        <v>3.4600573571721776E-3</v>
      </c>
      <c r="L21" s="34">
        <v>8.7490739803845904E-4</v>
      </c>
      <c r="M21" s="34">
        <v>5.5534538988055212E-3</v>
      </c>
      <c r="N21" s="34">
        <v>5.4642645559359283E-3</v>
      </c>
      <c r="O21" s="34">
        <v>3.85926699415627E-3</v>
      </c>
      <c r="P21" s="34">
        <v>9.7172364779587357E-3</v>
      </c>
      <c r="Q21" s="34">
        <v>4.6606308709602117E-3</v>
      </c>
      <c r="R21" s="34">
        <v>7.709881431788447E-3</v>
      </c>
      <c r="S21" s="34">
        <v>1.1294660440450428E-2</v>
      </c>
      <c r="T21" s="34">
        <v>1.610864422975173E-2</v>
      </c>
      <c r="U21" s="35">
        <v>1.0273468071095387E-2</v>
      </c>
    </row>
    <row r="22" spans="1:21" ht="15.75" thickBot="1">
      <c r="A22" s="36" t="s">
        <v>14</v>
      </c>
      <c r="B22" s="37">
        <v>9.6242282186377436E-3</v>
      </c>
      <c r="C22" s="37">
        <v>1.7531088152162182E-2</v>
      </c>
      <c r="D22" s="37">
        <v>1.6633383575835277E-2</v>
      </c>
      <c r="E22" s="37">
        <v>8.7930709141714868E-3</v>
      </c>
      <c r="F22" s="37">
        <v>6.4352440255722532E-3</v>
      </c>
      <c r="G22" s="37">
        <v>1.2429731865720878E-2</v>
      </c>
      <c r="H22" s="37">
        <v>6.7601069413025803E-3</v>
      </c>
      <c r="I22" s="37">
        <v>8.2010270252568969E-3</v>
      </c>
      <c r="J22" s="37">
        <v>8.8712214737876188E-3</v>
      </c>
      <c r="K22" s="37">
        <v>8.0651735323518346E-3</v>
      </c>
      <c r="L22" s="37">
        <v>4.3553896442336693E-3</v>
      </c>
      <c r="M22" s="37">
        <v>1.0698643160263194E-2</v>
      </c>
      <c r="N22" s="37">
        <v>8.3191221012270805E-3</v>
      </c>
      <c r="O22" s="37">
        <v>4.8468980174317493E-3</v>
      </c>
      <c r="P22" s="37">
        <v>8.4733861933815602E-3</v>
      </c>
      <c r="Q22" s="37">
        <v>6.8173047236230371E-3</v>
      </c>
      <c r="R22" s="37">
        <v>7.9876935030269401E-3</v>
      </c>
      <c r="S22" s="37">
        <v>9.6178234480983702E-3</v>
      </c>
      <c r="T22" s="37">
        <v>1.0273468071095387E-2</v>
      </c>
      <c r="U22" s="38">
        <v>2.3088805021152112E-2</v>
      </c>
    </row>
    <row r="23" spans="1:21" ht="15.75" thickBot="1"/>
    <row r="24" spans="1:21" ht="24.75" customHeight="1">
      <c r="A24" s="233" t="s">
        <v>80</v>
      </c>
      <c r="B24" s="234"/>
      <c r="C24" s="235"/>
      <c r="E24" s="247" t="s">
        <v>100</v>
      </c>
      <c r="F24" s="248"/>
      <c r="G24" s="248"/>
      <c r="H24" s="249"/>
    </row>
    <row r="25" spans="1:21">
      <c r="A25" s="61" t="s">
        <v>35</v>
      </c>
      <c r="B25" s="62" t="s">
        <v>22</v>
      </c>
      <c r="C25" s="63" t="s">
        <v>72</v>
      </c>
      <c r="E25" s="181"/>
      <c r="F25" s="182" t="s">
        <v>10</v>
      </c>
      <c r="G25" s="223">
        <f>C31</f>
        <v>2.4135657802330332E-2</v>
      </c>
      <c r="H25" s="224"/>
    </row>
    <row r="26" spans="1:21">
      <c r="A26" s="64" t="s">
        <v>6</v>
      </c>
      <c r="B26" s="66">
        <f>'Các chỉ tiêu cơ bản'!B2</f>
        <v>3.0056316276991478E-3</v>
      </c>
      <c r="C26" s="45">
        <v>0</v>
      </c>
      <c r="E26" s="181"/>
      <c r="F26" s="182" t="s">
        <v>1</v>
      </c>
      <c r="G26" s="223">
        <f>C42</f>
        <v>0.12818095473236718</v>
      </c>
      <c r="H26" s="224"/>
    </row>
    <row r="27" spans="1:21">
      <c r="A27" s="64" t="s">
        <v>7</v>
      </c>
      <c r="B27" s="66">
        <f>'Các chỉ tiêu cơ bản'!C2</f>
        <v>-2.0595048033942925E-4</v>
      </c>
      <c r="C27" s="45">
        <v>0</v>
      </c>
      <c r="E27" s="181"/>
      <c r="F27" s="182" t="s">
        <v>15</v>
      </c>
      <c r="G27" s="223">
        <f>C35</f>
        <v>0.1466161452812173</v>
      </c>
      <c r="H27" s="224"/>
    </row>
    <row r="28" spans="1:21">
      <c r="A28" s="64" t="s">
        <v>8</v>
      </c>
      <c r="B28" s="66">
        <f>'Các chỉ tiêu cơ bản'!D2</f>
        <v>1.6297053927811975E-2</v>
      </c>
      <c r="C28" s="45">
        <v>0</v>
      </c>
      <c r="E28" s="181"/>
      <c r="F28" s="182" t="s">
        <v>21</v>
      </c>
      <c r="G28" s="223">
        <f>C41</f>
        <v>0.27192038197792495</v>
      </c>
      <c r="H28" s="224"/>
    </row>
    <row r="29" spans="1:21">
      <c r="A29" s="64" t="s">
        <v>13</v>
      </c>
      <c r="B29" s="66">
        <f>'Các chỉ tiêu cơ bản'!E2</f>
        <v>1.7304144249305951E-2</v>
      </c>
      <c r="C29" s="45">
        <v>0</v>
      </c>
      <c r="E29" s="181"/>
      <c r="F29" s="182" t="s">
        <v>3</v>
      </c>
      <c r="G29" s="223">
        <f>C32</f>
        <v>0.42914686524736539</v>
      </c>
      <c r="H29" s="224"/>
    </row>
    <row r="30" spans="1:21" ht="15.75" thickBot="1">
      <c r="A30" s="64" t="s">
        <v>2</v>
      </c>
      <c r="B30" s="66">
        <f>'Các chỉ tiêu cơ bản'!F2</f>
        <v>1.5445247735288071E-2</v>
      </c>
      <c r="C30" s="45">
        <v>0</v>
      </c>
      <c r="E30" s="245" t="s">
        <v>64</v>
      </c>
      <c r="F30" s="246"/>
      <c r="G30" s="142">
        <f>SUM(G25:G29)</f>
        <v>1.0000000050412052</v>
      </c>
      <c r="H30" s="143"/>
    </row>
    <row r="31" spans="1:21">
      <c r="A31" s="64" t="s">
        <v>10</v>
      </c>
      <c r="B31" s="66">
        <f>'Các chỉ tiêu cơ bản'!G2</f>
        <v>2.8375650625609986E-2</v>
      </c>
      <c r="C31" s="45">
        <v>2.4135657802330332E-2</v>
      </c>
    </row>
    <row r="32" spans="1:21">
      <c r="A32" s="64" t="s">
        <v>3</v>
      </c>
      <c r="B32" s="66">
        <f>'Các chỉ tiêu cơ bản'!H2</f>
        <v>2.2425395684207896E-2</v>
      </c>
      <c r="C32" s="45">
        <v>0.42914686524736539</v>
      </c>
    </row>
    <row r="33" spans="1:3">
      <c r="A33" s="64" t="s">
        <v>19</v>
      </c>
      <c r="B33" s="66">
        <f>'Các chỉ tiêu cơ bản'!I2</f>
        <v>9.9147214873550066E-3</v>
      </c>
      <c r="C33" s="45">
        <v>0</v>
      </c>
    </row>
    <row r="34" spans="1:3">
      <c r="A34" s="64" t="s">
        <v>11</v>
      </c>
      <c r="B34" s="66">
        <f>'Các chỉ tiêu cơ bản'!J2</f>
        <v>1.0267414022377809E-3</v>
      </c>
      <c r="C34" s="45">
        <v>0</v>
      </c>
    </row>
    <row r="35" spans="1:3">
      <c r="A35" s="64" t="s">
        <v>15</v>
      </c>
      <c r="B35" s="66">
        <f>'Các chỉ tiêu cơ bản'!K2</f>
        <v>2.0322801425049428E-2</v>
      </c>
      <c r="C35" s="45">
        <v>0.1466161452812173</v>
      </c>
    </row>
    <row r="36" spans="1:3">
      <c r="A36" s="64" t="s">
        <v>4</v>
      </c>
      <c r="B36" s="66">
        <f>'Các chỉ tiêu cơ bản'!L2</f>
        <v>1.3445717414411402E-2</v>
      </c>
      <c r="C36" s="45">
        <v>0</v>
      </c>
    </row>
    <row r="37" spans="1:3">
      <c r="A37" s="64" t="s">
        <v>17</v>
      </c>
      <c r="B37" s="66">
        <f>'Các chỉ tiêu cơ bản'!M2</f>
        <v>-7.0458184688976114E-4</v>
      </c>
      <c r="C37" s="45">
        <v>0</v>
      </c>
    </row>
    <row r="38" spans="1:3">
      <c r="A38" s="64" t="s">
        <v>16</v>
      </c>
      <c r="B38" s="66">
        <f>'Các chỉ tiêu cơ bản'!N2</f>
        <v>1.3163613724633453E-2</v>
      </c>
      <c r="C38" s="45">
        <v>0</v>
      </c>
    </row>
    <row r="39" spans="1:3">
      <c r="A39" s="64" t="s">
        <v>5</v>
      </c>
      <c r="B39" s="66">
        <f>'Các chỉ tiêu cơ bản'!O2</f>
        <v>-7.9187878632608986E-3</v>
      </c>
      <c r="C39" s="45">
        <v>0</v>
      </c>
    </row>
    <row r="40" spans="1:3">
      <c r="A40" s="64" t="s">
        <v>18</v>
      </c>
      <c r="B40" s="66">
        <f>'Các chỉ tiêu cơ bản'!P2</f>
        <v>5.9744072845960327E-3</v>
      </c>
      <c r="C40" s="45">
        <v>0</v>
      </c>
    </row>
    <row r="41" spans="1:3">
      <c r="A41" s="64" t="s">
        <v>21</v>
      </c>
      <c r="B41" s="66">
        <f>'Các chỉ tiêu cơ bản'!Q2</f>
        <v>1.9659931384390116E-2</v>
      </c>
      <c r="C41" s="45">
        <v>0.27192038197792495</v>
      </c>
    </row>
    <row r="42" spans="1:3">
      <c r="A42" s="64" t="s">
        <v>1</v>
      </c>
      <c r="B42" s="66">
        <f>'Các chỉ tiêu cơ bản'!R2</f>
        <v>1.7261426829864836E-2</v>
      </c>
      <c r="C42" s="45">
        <v>0.12818095473236718</v>
      </c>
    </row>
    <row r="43" spans="1:3">
      <c r="A43" s="64" t="s">
        <v>9</v>
      </c>
      <c r="B43" s="66">
        <f>'Các chỉ tiêu cơ bản'!S2</f>
        <v>1.821804185955966E-2</v>
      </c>
      <c r="C43" s="45">
        <v>0</v>
      </c>
    </row>
    <row r="44" spans="1:3">
      <c r="A44" s="64" t="s">
        <v>0</v>
      </c>
      <c r="B44" s="66">
        <f>'Các chỉ tiêu cơ bản'!T2</f>
        <v>1.2801304704463079E-2</v>
      </c>
      <c r="C44" s="45">
        <v>0</v>
      </c>
    </row>
    <row r="45" spans="1:3" ht="15.75" thickBot="1">
      <c r="A45" s="64" t="s">
        <v>14</v>
      </c>
      <c r="B45" s="66">
        <f>'Các chỉ tiêu cơ bản'!U2</f>
        <v>1.8819730478435938E-3</v>
      </c>
      <c r="C45" s="45">
        <v>0</v>
      </c>
    </row>
    <row r="46" spans="1:3">
      <c r="A46" s="58" t="s">
        <v>64</v>
      </c>
      <c r="B46" s="46"/>
      <c r="C46" s="47">
        <f>SUM(C26:C45)</f>
        <v>1.0000000050412052</v>
      </c>
    </row>
    <row r="47" spans="1:3">
      <c r="A47" s="67" t="s">
        <v>93</v>
      </c>
      <c r="B47" s="48"/>
      <c r="C47" s="49">
        <f>AVERAGE('DMĐT hiệu quả có bán khống'!B24:C24,'DMĐT hiệu quả có bán khống'!F24:G24)</f>
        <v>4.2920833333333335E-3</v>
      </c>
    </row>
    <row r="48" spans="1:3">
      <c r="A48" s="59" t="s">
        <v>89</v>
      </c>
      <c r="B48" s="48"/>
      <c r="C48" s="49">
        <f>SUMPRODUCT(B26:B45,C26:C45)</f>
        <v>2.0846826282282325E-2</v>
      </c>
    </row>
    <row r="49" spans="1:3">
      <c r="A49" s="59" t="s">
        <v>95</v>
      </c>
      <c r="B49" s="48"/>
      <c r="C49" s="49">
        <f t="array" ref="C49">SQRT(MMULT(MMULT(TRANSPOSE(C26:C45),B3:U22),C26:C45))</f>
        <v>6.4393044983619807E-2</v>
      </c>
    </row>
    <row r="50" spans="1:3" ht="15.75" thickBot="1">
      <c r="A50" s="68" t="s">
        <v>94</v>
      </c>
      <c r="B50" s="50"/>
      <c r="C50" s="69">
        <f>(C48-C47)/C49</f>
        <v>0.25708899079334052</v>
      </c>
    </row>
  </sheetData>
  <mergeCells count="9">
    <mergeCell ref="G27:H27"/>
    <mergeCell ref="G28:H28"/>
    <mergeCell ref="E30:F30"/>
    <mergeCell ref="A1:U1"/>
    <mergeCell ref="A24:C24"/>
    <mergeCell ref="E24:H24"/>
    <mergeCell ref="G25:H25"/>
    <mergeCell ref="G26:H26"/>
    <mergeCell ref="G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Lịch sử giá</vt:lpstr>
      <vt:lpstr>TSSL</vt:lpstr>
      <vt:lpstr>Các chỉ tiêu cơ bản</vt:lpstr>
      <vt:lpstr>Các ma trận</vt:lpstr>
      <vt:lpstr>Mô hình CAPM &amp; SML</vt:lpstr>
      <vt:lpstr>DM tối ưu hóa</vt:lpstr>
      <vt:lpstr>DMĐT hiệu quả có bán khống</vt:lpstr>
      <vt:lpstr>DMĐT hiệu quả ko bán khống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Nhung Phan Thi Hong</cp:lastModifiedBy>
  <dcterms:created xsi:type="dcterms:W3CDTF">2021-12-06T13:51:56Z</dcterms:created>
  <dcterms:modified xsi:type="dcterms:W3CDTF">2021-12-16T02:18:43Z</dcterms:modified>
</cp:coreProperties>
</file>